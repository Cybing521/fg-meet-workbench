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FG-MEEP-O" sheetId="1" r:id="rId1"/>
    <sheet name="Sheet3" sheetId="3" r:id="rId2"/>
    <sheet name="Sheet1" sheetId="4" r:id="rId3"/>
  </sheets>
  <calcPr calcId="144525"/>
</workbook>
</file>

<file path=xl/calcChain.xml><?xml version="1.0" encoding="utf-8"?>
<calcChain xmlns="http://schemas.openxmlformats.org/spreadsheetml/2006/main">
  <c r="S135" i="1" l="1"/>
  <c r="R135" i="1"/>
  <c r="N135" i="1"/>
  <c r="M135" i="1"/>
  <c r="S134" i="1"/>
  <c r="R134" i="1"/>
  <c r="N134" i="1"/>
  <c r="M134" i="1"/>
  <c r="Q134" i="1" s="1"/>
  <c r="P134" i="1" s="1"/>
  <c r="S133" i="1"/>
  <c r="R133" i="1"/>
  <c r="N133" i="1"/>
  <c r="M133" i="1"/>
  <c r="Q133" i="1" s="1"/>
  <c r="S132" i="1"/>
  <c r="R132" i="1"/>
  <c r="N132" i="1"/>
  <c r="M132" i="1"/>
  <c r="S131" i="1"/>
  <c r="R131" i="1"/>
  <c r="N131" i="1"/>
  <c r="M131" i="1"/>
  <c r="S130" i="1"/>
  <c r="R130" i="1"/>
  <c r="N130" i="1"/>
  <c r="M130" i="1"/>
  <c r="S129" i="1"/>
  <c r="R129" i="1"/>
  <c r="N129" i="1"/>
  <c r="M129" i="1"/>
  <c r="S128" i="1"/>
  <c r="R128" i="1"/>
  <c r="N128" i="1"/>
  <c r="M128" i="1"/>
  <c r="S127" i="1"/>
  <c r="R127" i="1"/>
  <c r="N127" i="1"/>
  <c r="M127" i="1"/>
  <c r="Q127" i="1" s="1"/>
  <c r="S126" i="1"/>
  <c r="R126" i="1"/>
  <c r="N126" i="1"/>
  <c r="M126" i="1"/>
  <c r="S125" i="1"/>
  <c r="R125" i="1"/>
  <c r="N125" i="1"/>
  <c r="M125" i="1"/>
  <c r="Q125" i="1" s="1"/>
  <c r="S124" i="1"/>
  <c r="R124" i="1"/>
  <c r="N124" i="1"/>
  <c r="M124" i="1"/>
  <c r="I111" i="1"/>
  <c r="G111" i="1"/>
  <c r="J111" i="1" s="1"/>
  <c r="E101" i="1"/>
  <c r="I101" i="1" s="1"/>
  <c r="I100" i="1"/>
  <c r="G100" i="1"/>
  <c r="J100" i="1" s="1"/>
  <c r="J96" i="1"/>
  <c r="I96" i="1"/>
  <c r="G96" i="1"/>
  <c r="I86" i="1"/>
  <c r="G86" i="1"/>
  <c r="J86" i="1" s="1"/>
  <c r="E86" i="1"/>
  <c r="E87" i="1" s="1"/>
  <c r="I85" i="1"/>
  <c r="J85" i="1" s="1"/>
  <c r="G85" i="1"/>
  <c r="I81" i="1"/>
  <c r="G81" i="1"/>
  <c r="J81" i="1" s="1"/>
  <c r="E71" i="1"/>
  <c r="E72" i="1" s="1"/>
  <c r="J70" i="1"/>
  <c r="I70" i="1"/>
  <c r="G70" i="1"/>
  <c r="J66" i="1"/>
  <c r="I66" i="1"/>
  <c r="G66" i="1"/>
  <c r="I56" i="1"/>
  <c r="E56" i="1"/>
  <c r="E57" i="1" s="1"/>
  <c r="I55" i="1"/>
  <c r="G55" i="1"/>
  <c r="J55" i="1" s="1"/>
  <c r="I51" i="1"/>
  <c r="G51" i="1"/>
  <c r="J51" i="1" s="1"/>
  <c r="E41" i="1"/>
  <c r="I41" i="1" s="1"/>
  <c r="I40" i="1"/>
  <c r="G40" i="1"/>
  <c r="J40" i="1" s="1"/>
  <c r="J36" i="1"/>
  <c r="I36" i="1"/>
  <c r="G36" i="1"/>
  <c r="I27" i="1"/>
  <c r="E27" i="1"/>
  <c r="E28" i="1" s="1"/>
  <c r="I26" i="1"/>
  <c r="G26" i="1"/>
  <c r="J26" i="1" s="1"/>
  <c r="E26" i="1"/>
  <c r="I25" i="1"/>
  <c r="G25" i="1"/>
  <c r="J25" i="1" s="1"/>
  <c r="I20" i="1"/>
  <c r="G20" i="1"/>
  <c r="J20" i="1" s="1"/>
  <c r="E11" i="1"/>
  <c r="I11" i="1" s="1"/>
  <c r="E10" i="1"/>
  <c r="I10" i="1" s="1"/>
  <c r="J9" i="1"/>
  <c r="I9" i="1"/>
  <c r="G9" i="1"/>
  <c r="Q129" i="1" l="1"/>
  <c r="Q124" i="1"/>
  <c r="P124" i="1" s="1"/>
  <c r="Q126" i="1"/>
  <c r="P126" i="1" s="1"/>
  <c r="Q128" i="1"/>
  <c r="P128" i="1" s="1"/>
  <c r="Q130" i="1"/>
  <c r="P130" i="1" s="1"/>
  <c r="Q132" i="1"/>
  <c r="P132" i="1" s="1"/>
  <c r="Q131" i="1"/>
  <c r="P131" i="1" s="1"/>
  <c r="Q135" i="1"/>
  <c r="P135" i="1" s="1"/>
  <c r="P125" i="1"/>
  <c r="P129" i="1"/>
  <c r="P133" i="1"/>
  <c r="P127" i="1"/>
  <c r="E58" i="1"/>
  <c r="I57" i="1"/>
  <c r="G57" i="1"/>
  <c r="J57" i="1" s="1"/>
  <c r="I72" i="1"/>
  <c r="G72" i="1"/>
  <c r="E73" i="1"/>
  <c r="I28" i="1"/>
  <c r="E29" i="1"/>
  <c r="G28" i="1"/>
  <c r="E88" i="1"/>
  <c r="I87" i="1"/>
  <c r="G87" i="1"/>
  <c r="E12" i="1"/>
  <c r="E42" i="1"/>
  <c r="E102" i="1"/>
  <c r="G10" i="1"/>
  <c r="J10" i="1" s="1"/>
  <c r="G71" i="1"/>
  <c r="I71" i="1"/>
  <c r="G27" i="1"/>
  <c r="J27" i="1" s="1"/>
  <c r="G56" i="1"/>
  <c r="J56" i="1" s="1"/>
  <c r="G11" i="1"/>
  <c r="J11" i="1" s="1"/>
  <c r="G41" i="1"/>
  <c r="J41" i="1" s="1"/>
  <c r="G101" i="1"/>
  <c r="J101" i="1" s="1"/>
  <c r="E30" i="1" l="1"/>
  <c r="I29" i="1"/>
  <c r="G29" i="1"/>
  <c r="J29" i="1" s="1"/>
  <c r="E43" i="1"/>
  <c r="I42" i="1"/>
  <c r="G42" i="1"/>
  <c r="J42" i="1" s="1"/>
  <c r="E74" i="1"/>
  <c r="I73" i="1"/>
  <c r="G73" i="1"/>
  <c r="J73" i="1" s="1"/>
  <c r="E13" i="1"/>
  <c r="I12" i="1"/>
  <c r="G12" i="1"/>
  <c r="J72" i="1"/>
  <c r="E103" i="1"/>
  <c r="I102" i="1"/>
  <c r="G102" i="1"/>
  <c r="J102" i="1" s="1"/>
  <c r="J87" i="1"/>
  <c r="E89" i="1"/>
  <c r="I88" i="1"/>
  <c r="G88" i="1"/>
  <c r="J71" i="1"/>
  <c r="J28" i="1"/>
  <c r="E59" i="1"/>
  <c r="I58" i="1"/>
  <c r="G58" i="1"/>
  <c r="E60" i="1" l="1"/>
  <c r="I59" i="1"/>
  <c r="G59" i="1"/>
  <c r="J59" i="1" s="1"/>
  <c r="I74" i="1"/>
  <c r="G74" i="1"/>
  <c r="J74" i="1" s="1"/>
  <c r="E75" i="1"/>
  <c r="I103" i="1"/>
  <c r="G103" i="1"/>
  <c r="E104" i="1"/>
  <c r="J88" i="1"/>
  <c r="J12" i="1"/>
  <c r="I43" i="1"/>
  <c r="G43" i="1"/>
  <c r="J43" i="1" s="1"/>
  <c r="E44" i="1"/>
  <c r="E90" i="1"/>
  <c r="I89" i="1"/>
  <c r="G89" i="1"/>
  <c r="I13" i="1"/>
  <c r="G13" i="1"/>
  <c r="J13" i="1" s="1"/>
  <c r="E14" i="1"/>
  <c r="J58" i="1"/>
  <c r="E31" i="1"/>
  <c r="I30" i="1"/>
  <c r="G30" i="1"/>
  <c r="J30" i="1" l="1"/>
  <c r="J103" i="1"/>
  <c r="E91" i="1"/>
  <c r="I90" i="1"/>
  <c r="G90" i="1"/>
  <c r="J90" i="1" s="1"/>
  <c r="E32" i="1"/>
  <c r="I31" i="1"/>
  <c r="G31" i="1"/>
  <c r="J31" i="1" s="1"/>
  <c r="E45" i="1"/>
  <c r="I44" i="1"/>
  <c r="G44" i="1"/>
  <c r="J44" i="1" s="1"/>
  <c r="E76" i="1"/>
  <c r="I75" i="1"/>
  <c r="G75" i="1"/>
  <c r="J75" i="1" s="1"/>
  <c r="I14" i="1"/>
  <c r="E15" i="1"/>
  <c r="G14" i="1"/>
  <c r="J89" i="1"/>
  <c r="E105" i="1"/>
  <c r="I104" i="1"/>
  <c r="G104" i="1"/>
  <c r="J104" i="1" s="1"/>
  <c r="E61" i="1"/>
  <c r="I60" i="1"/>
  <c r="G60" i="1"/>
  <c r="J60" i="1" s="1"/>
  <c r="I15" i="1" l="1"/>
  <c r="G15" i="1"/>
  <c r="J15" i="1" s="1"/>
  <c r="E16" i="1"/>
  <c r="E62" i="1"/>
  <c r="I61" i="1"/>
  <c r="G61" i="1"/>
  <c r="J61" i="1" s="1"/>
  <c r="E33" i="1"/>
  <c r="I32" i="1"/>
  <c r="G32" i="1"/>
  <c r="I76" i="1"/>
  <c r="G76" i="1"/>
  <c r="J76" i="1" s="1"/>
  <c r="E77" i="1"/>
  <c r="I105" i="1"/>
  <c r="G105" i="1"/>
  <c r="J105" i="1" s="1"/>
  <c r="E106" i="1"/>
  <c r="E92" i="1"/>
  <c r="I91" i="1"/>
  <c r="G91" i="1"/>
  <c r="J91" i="1" s="1"/>
  <c r="J14" i="1"/>
  <c r="I45" i="1"/>
  <c r="G45" i="1"/>
  <c r="E46" i="1"/>
  <c r="E93" i="1" l="1"/>
  <c r="I92" i="1"/>
  <c r="G92" i="1"/>
  <c r="J92" i="1" s="1"/>
  <c r="E107" i="1"/>
  <c r="I106" i="1"/>
  <c r="G106" i="1"/>
  <c r="J106" i="1" s="1"/>
  <c r="E34" i="1"/>
  <c r="I33" i="1"/>
  <c r="G33" i="1"/>
  <c r="E47" i="1"/>
  <c r="I46" i="1"/>
  <c r="G46" i="1"/>
  <c r="J45" i="1"/>
  <c r="E78" i="1"/>
  <c r="I77" i="1"/>
  <c r="G77" i="1"/>
  <c r="J77" i="1" s="1"/>
  <c r="E63" i="1"/>
  <c r="I62" i="1"/>
  <c r="G62" i="1"/>
  <c r="J62" i="1" s="1"/>
  <c r="I16" i="1"/>
  <c r="G16" i="1"/>
  <c r="E17" i="1"/>
  <c r="J32" i="1"/>
  <c r="E35" i="1" l="1"/>
  <c r="I34" i="1"/>
  <c r="G34" i="1"/>
  <c r="J34" i="1" s="1"/>
  <c r="I17" i="1"/>
  <c r="G17" i="1"/>
  <c r="E18" i="1"/>
  <c r="I78" i="1"/>
  <c r="G78" i="1"/>
  <c r="J78" i="1" s="1"/>
  <c r="E79" i="1"/>
  <c r="J16" i="1"/>
  <c r="J46" i="1"/>
  <c r="I107" i="1"/>
  <c r="G107" i="1"/>
  <c r="E108" i="1"/>
  <c r="I47" i="1"/>
  <c r="G47" i="1"/>
  <c r="J47" i="1" s="1"/>
  <c r="E48" i="1"/>
  <c r="E64" i="1"/>
  <c r="I63" i="1"/>
  <c r="G63" i="1"/>
  <c r="J63" i="1" s="1"/>
  <c r="J33" i="1"/>
  <c r="E94" i="1"/>
  <c r="I93" i="1"/>
  <c r="G93" i="1"/>
  <c r="J93" i="1" s="1"/>
  <c r="E95" i="1" l="1"/>
  <c r="I94" i="1"/>
  <c r="G94" i="1"/>
  <c r="J94" i="1" s="1"/>
  <c r="E109" i="1"/>
  <c r="I108" i="1"/>
  <c r="G108" i="1"/>
  <c r="J108" i="1" s="1"/>
  <c r="E19" i="1"/>
  <c r="I18" i="1"/>
  <c r="G18" i="1"/>
  <c r="J107" i="1"/>
  <c r="J17" i="1"/>
  <c r="E65" i="1"/>
  <c r="I64" i="1"/>
  <c r="G64" i="1"/>
  <c r="J64" i="1" s="1"/>
  <c r="E49" i="1"/>
  <c r="I48" i="1"/>
  <c r="G48" i="1"/>
  <c r="E80" i="1"/>
  <c r="I79" i="1"/>
  <c r="G79" i="1"/>
  <c r="I35" i="1"/>
  <c r="G35" i="1"/>
  <c r="J35" i="1" s="1"/>
  <c r="I80" i="1" l="1"/>
  <c r="G80" i="1"/>
  <c r="J80" i="1" s="1"/>
  <c r="I19" i="1"/>
  <c r="G19" i="1"/>
  <c r="I49" i="1"/>
  <c r="G49" i="1"/>
  <c r="J49" i="1" s="1"/>
  <c r="E50" i="1"/>
  <c r="J79" i="1"/>
  <c r="I65" i="1"/>
  <c r="G65" i="1"/>
  <c r="J65" i="1" s="1"/>
  <c r="I109" i="1"/>
  <c r="G109" i="1"/>
  <c r="E110" i="1"/>
  <c r="J48" i="1"/>
  <c r="J18" i="1"/>
  <c r="I95" i="1"/>
  <c r="G95" i="1"/>
  <c r="I50" i="1" l="1"/>
  <c r="G50" i="1"/>
  <c r="J50" i="1" s="1"/>
  <c r="I110" i="1"/>
  <c r="G110" i="1"/>
  <c r="J110" i="1" s="1"/>
  <c r="J109" i="1"/>
  <c r="J19" i="1"/>
  <c r="J95" i="1"/>
  <c r="C151" i="1" l="1"/>
  <c r="C152" i="1" s="1"/>
  <c r="C153" i="1" s="1"/>
  <c r="C154" i="1" s="1"/>
  <c r="C155" i="1" s="1"/>
  <c r="C156" i="1" s="1"/>
  <c r="C157" i="1" s="1"/>
  <c r="C158" i="1" s="1"/>
  <c r="C159" i="1" s="1"/>
  <c r="C160" i="1" s="1"/>
  <c r="M151" i="1" l="1"/>
  <c r="M152" i="1"/>
  <c r="M153" i="1"/>
  <c r="M154" i="1"/>
  <c r="M155" i="1"/>
  <c r="M156" i="1"/>
  <c r="M157" i="1"/>
  <c r="M158" i="1"/>
  <c r="M159" i="1"/>
  <c r="M160" i="1"/>
  <c r="M161" i="1"/>
  <c r="M150" i="1"/>
  <c r="L151" i="1"/>
  <c r="L152" i="1"/>
  <c r="L153" i="1"/>
  <c r="L154" i="1"/>
  <c r="L155" i="1"/>
  <c r="L156" i="1"/>
  <c r="L157" i="1"/>
  <c r="L158" i="1"/>
  <c r="L159" i="1"/>
  <c r="L160" i="1"/>
  <c r="L161" i="1"/>
  <c r="L150" i="1"/>
  <c r="D151" i="1"/>
  <c r="D152" i="1"/>
  <c r="F152" i="1" s="1"/>
  <c r="K152" i="1" s="1"/>
  <c r="D153" i="1"/>
  <c r="F153" i="1" s="1"/>
  <c r="D154" i="1"/>
  <c r="F154" i="1" s="1"/>
  <c r="K154" i="1" s="1"/>
  <c r="D155" i="1"/>
  <c r="F155" i="1" s="1"/>
  <c r="D156" i="1"/>
  <c r="F156" i="1" s="1"/>
  <c r="K156" i="1" s="1"/>
  <c r="D157" i="1"/>
  <c r="F157" i="1" s="1"/>
  <c r="D158" i="1"/>
  <c r="F158" i="1" s="1"/>
  <c r="K158" i="1" s="1"/>
  <c r="D159" i="1"/>
  <c r="D160" i="1"/>
  <c r="F160" i="1" s="1"/>
  <c r="K160" i="1" s="1"/>
  <c r="D161" i="1"/>
  <c r="F161" i="1" s="1"/>
  <c r="D150" i="1"/>
  <c r="F150" i="1" s="1"/>
  <c r="K150" i="1" s="1"/>
  <c r="F159" i="1"/>
  <c r="F151" i="1"/>
  <c r="K155" i="1" l="1"/>
  <c r="J155" i="1"/>
  <c r="K153" i="1"/>
  <c r="J153" i="1"/>
  <c r="K159" i="1"/>
  <c r="J159" i="1"/>
  <c r="K151" i="1"/>
  <c r="J151" i="1"/>
  <c r="K157" i="1"/>
  <c r="J157" i="1"/>
  <c r="K161" i="1"/>
  <c r="J161" i="1"/>
  <c r="J150" i="1"/>
  <c r="J152" i="1"/>
  <c r="J154" i="1"/>
  <c r="J156" i="1"/>
  <c r="J158" i="1"/>
  <c r="J160" i="1"/>
  <c r="O150" i="1" l="1"/>
  <c r="O153" i="1" l="1"/>
  <c r="R153" i="1" s="1"/>
  <c r="R150" i="1"/>
  <c r="N151" i="1"/>
  <c r="Q151" i="1" s="1"/>
  <c r="N156" i="1"/>
  <c r="Q156" i="1" s="1"/>
  <c r="N152" i="1"/>
  <c r="Q152" i="1" s="1"/>
  <c r="N153" i="1"/>
  <c r="Q153" i="1" s="1"/>
  <c r="N159" i="1"/>
  <c r="Q159" i="1" s="1"/>
  <c r="N150" i="1"/>
  <c r="N157" i="1"/>
  <c r="Q157" i="1" s="1"/>
  <c r="N160" i="1"/>
  <c r="Q160" i="1" s="1"/>
  <c r="N154" i="1"/>
  <c r="Q154" i="1" s="1"/>
  <c r="N155" i="1"/>
  <c r="Q155" i="1" s="1"/>
  <c r="N161" i="1"/>
  <c r="Q161" i="1" s="1"/>
  <c r="N158" i="1"/>
  <c r="Q158" i="1" s="1"/>
  <c r="S152" i="1" l="1"/>
  <c r="O152" i="1"/>
  <c r="R152" i="1" s="1"/>
  <c r="O158" i="1"/>
  <c r="R158" i="1" s="1"/>
  <c r="O161" i="1"/>
  <c r="R161" i="1" s="1"/>
  <c r="O157" i="1"/>
  <c r="R157" i="1" s="1"/>
  <c r="O156" i="1"/>
  <c r="R156" i="1" s="1"/>
  <c r="O160" i="1"/>
  <c r="R160" i="1" s="1"/>
  <c r="O155" i="1"/>
  <c r="R155" i="1" s="1"/>
  <c r="O159" i="1"/>
  <c r="R159" i="1" s="1"/>
  <c r="O151" i="1"/>
  <c r="O154" i="1"/>
  <c r="R154" i="1" s="1"/>
  <c r="Q150" i="1"/>
  <c r="S150" i="1" s="1"/>
  <c r="W152" i="1" l="1"/>
  <c r="T152" i="1"/>
  <c r="U150" i="1"/>
  <c r="T150" i="1"/>
  <c r="W150" i="1"/>
  <c r="S157" i="1"/>
  <c r="U152" i="1"/>
  <c r="R151" i="1"/>
  <c r="S155" i="1" s="1"/>
  <c r="Y150" i="1"/>
  <c r="AC150" i="1"/>
  <c r="V150" i="1"/>
  <c r="Z150" i="1"/>
  <c r="AB150" i="1"/>
  <c r="AA150" i="1"/>
  <c r="X150" i="1"/>
  <c r="U155" i="1" l="1"/>
  <c r="T155" i="1"/>
  <c r="U157" i="1"/>
  <c r="T157" i="1"/>
  <c r="Y152" i="1"/>
  <c r="AA152" i="1"/>
  <c r="AB152" i="1"/>
  <c r="AC152" i="1"/>
  <c r="V152" i="1"/>
  <c r="X152" i="1"/>
  <c r="Z152" i="1"/>
  <c r="Z155" i="1"/>
  <c r="X155" i="1"/>
  <c r="AA155" i="1"/>
  <c r="AB155" i="1"/>
  <c r="V155" i="1"/>
  <c r="AC155" i="1"/>
  <c r="Y155" i="1"/>
  <c r="W155" i="1"/>
  <c r="Y157" i="1"/>
  <c r="AB157" i="1"/>
  <c r="V157" i="1"/>
  <c r="X157" i="1"/>
  <c r="W157" i="1"/>
  <c r="AC157" i="1"/>
  <c r="AA157" i="1"/>
  <c r="Z157" i="1"/>
  <c r="V47" i="1" l="1"/>
  <c r="T47" i="1"/>
  <c r="W47" i="1" s="1"/>
  <c r="R38" i="1"/>
  <c r="R39" i="1" s="1"/>
  <c r="T37" i="1"/>
  <c r="R37" i="1"/>
  <c r="V37" i="1" s="1"/>
  <c r="W37" i="1" s="1"/>
  <c r="V36" i="1"/>
  <c r="T36" i="1"/>
  <c r="W36" i="1" s="1"/>
  <c r="W33" i="1"/>
  <c r="X33" i="1" s="1"/>
  <c r="V33" i="1"/>
  <c r="T33" i="1"/>
  <c r="R24" i="1"/>
  <c r="T24" i="1" s="1"/>
  <c r="V23" i="1"/>
  <c r="R23" i="1"/>
  <c r="T23" i="1" s="1"/>
  <c r="W23" i="1" s="1"/>
  <c r="X23" i="1" s="1"/>
  <c r="V22" i="1"/>
  <c r="T22" i="1"/>
  <c r="W22" i="1" s="1"/>
  <c r="X22" i="1" s="1"/>
  <c r="V20" i="1"/>
  <c r="W20" i="1" s="1"/>
  <c r="T20" i="1"/>
  <c r="R11" i="1"/>
  <c r="R12" i="1" s="1"/>
  <c r="W10" i="1"/>
  <c r="V10" i="1"/>
  <c r="T10" i="1"/>
  <c r="R10" i="1"/>
  <c r="V9" i="1"/>
  <c r="T9" i="1"/>
  <c r="W9" i="1" s="1"/>
  <c r="W24" i="1" l="1"/>
  <c r="X24" i="1" s="1"/>
  <c r="V39" i="1"/>
  <c r="T39" i="1"/>
  <c r="W39" i="1" s="1"/>
  <c r="R40" i="1"/>
  <c r="V12" i="1"/>
  <c r="T12" i="1"/>
  <c r="W12" i="1" s="1"/>
  <c r="R13" i="1"/>
  <c r="T38" i="1"/>
  <c r="W38" i="1" s="1"/>
  <c r="V38" i="1"/>
  <c r="V11" i="1"/>
  <c r="T11" i="1"/>
  <c r="W11" i="1" s="1"/>
  <c r="V24" i="1"/>
  <c r="R25" i="1"/>
  <c r="R14" i="1" l="1"/>
  <c r="V13" i="1"/>
  <c r="T13" i="1"/>
  <c r="W13" i="1" s="1"/>
  <c r="T25" i="1"/>
  <c r="W25" i="1" s="1"/>
  <c r="X25" i="1" s="1"/>
  <c r="V25" i="1"/>
  <c r="R26" i="1"/>
  <c r="R41" i="1"/>
  <c r="V40" i="1"/>
  <c r="T40" i="1"/>
  <c r="V41" i="1" l="1"/>
  <c r="T41" i="1"/>
  <c r="R42" i="1"/>
  <c r="V26" i="1"/>
  <c r="T26" i="1"/>
  <c r="W26" i="1" s="1"/>
  <c r="X26" i="1" s="1"/>
  <c r="R27" i="1"/>
  <c r="W40" i="1"/>
  <c r="V14" i="1"/>
  <c r="T14" i="1"/>
  <c r="W14" i="1" s="1"/>
  <c r="R15" i="1"/>
  <c r="R28" i="1" l="1"/>
  <c r="T27" i="1"/>
  <c r="V27" i="1"/>
  <c r="R43" i="1"/>
  <c r="V42" i="1"/>
  <c r="T42" i="1"/>
  <c r="W42" i="1" s="1"/>
  <c r="T15" i="1"/>
  <c r="W15" i="1" s="1"/>
  <c r="R16" i="1"/>
  <c r="V15" i="1"/>
  <c r="W41" i="1"/>
  <c r="V43" i="1" l="1"/>
  <c r="T43" i="1"/>
  <c r="R44" i="1"/>
  <c r="W27" i="1"/>
  <c r="X27" i="1" s="1"/>
  <c r="V16" i="1"/>
  <c r="T16" i="1"/>
  <c r="R17" i="1"/>
  <c r="V28" i="1"/>
  <c r="T28" i="1"/>
  <c r="W28" i="1" s="1"/>
  <c r="X28" i="1" s="1"/>
  <c r="R29" i="1"/>
  <c r="R18" i="1" l="1"/>
  <c r="V17" i="1"/>
  <c r="T17" i="1"/>
  <c r="W17" i="1" s="1"/>
  <c r="W16" i="1"/>
  <c r="R45" i="1"/>
  <c r="V44" i="1"/>
  <c r="T44" i="1"/>
  <c r="W44" i="1" s="1"/>
  <c r="R30" i="1"/>
  <c r="V29" i="1"/>
  <c r="T29" i="1"/>
  <c r="W29" i="1" s="1"/>
  <c r="X29" i="1" s="1"/>
  <c r="W43" i="1"/>
  <c r="V45" i="1" l="1"/>
  <c r="T45" i="1"/>
  <c r="W45" i="1" s="1"/>
  <c r="R46" i="1"/>
  <c r="T30" i="1"/>
  <c r="R31" i="1"/>
  <c r="V30" i="1"/>
  <c r="V18" i="1"/>
  <c r="T18" i="1"/>
  <c r="W18" i="1" s="1"/>
  <c r="R19" i="1"/>
  <c r="V31" i="1" l="1"/>
  <c r="T31" i="1"/>
  <c r="W31" i="1" s="1"/>
  <c r="X31" i="1" s="1"/>
  <c r="R32" i="1"/>
  <c r="W30" i="1"/>
  <c r="X30" i="1" s="1"/>
  <c r="V46" i="1"/>
  <c r="T46" i="1"/>
  <c r="W46" i="1" s="1"/>
  <c r="V19" i="1"/>
  <c r="T19" i="1"/>
  <c r="W19" i="1" s="1"/>
  <c r="V32" i="1" l="1"/>
  <c r="T32" i="1"/>
  <c r="W32" i="1" s="1"/>
  <c r="X32" i="1" s="1"/>
</calcChain>
</file>

<file path=xl/sharedStrings.xml><?xml version="1.0" encoding="utf-8"?>
<sst xmlns="http://schemas.openxmlformats.org/spreadsheetml/2006/main" count="195" uniqueCount="110">
  <si>
    <r>
      <t>P</t>
    </r>
    <r>
      <rPr>
        <sz val="8"/>
        <color theme="1"/>
        <rFont val="宋体"/>
        <family val="3"/>
        <charset val="134"/>
        <scheme val="minor"/>
      </rPr>
      <t>F</t>
    </r>
    <phoneticPr fontId="1" type="noConversion"/>
  </si>
  <si>
    <r>
      <t>P</t>
    </r>
    <r>
      <rPr>
        <sz val="8"/>
        <color theme="1"/>
        <rFont val="宋体"/>
        <family val="3"/>
        <charset val="134"/>
        <scheme val="minor"/>
      </rPr>
      <t>B</t>
    </r>
    <phoneticPr fontId="1" type="noConversion"/>
  </si>
  <si>
    <t>总厚度(h)</t>
    <phoneticPr fontId="1" type="noConversion"/>
  </si>
  <si>
    <t>中性面距离(z)</t>
    <phoneticPr fontId="1" type="noConversion"/>
  </si>
  <si>
    <t>指数(n)</t>
    <phoneticPr fontId="1" type="noConversion"/>
  </si>
  <si>
    <t>Vc（z）</t>
    <phoneticPr fontId="1" type="noConversion"/>
  </si>
  <si>
    <t>P</t>
    <phoneticPr fontId="1" type="noConversion"/>
  </si>
  <si>
    <t>Vpor</t>
    <phoneticPr fontId="1" type="noConversion"/>
  </si>
  <si>
    <t>G12</t>
    <phoneticPr fontId="1" type="noConversion"/>
  </si>
  <si>
    <t>A1</t>
    <phoneticPr fontId="1" type="noConversion"/>
  </si>
  <si>
    <t>Mfg</t>
    <phoneticPr fontId="1" type="noConversion"/>
  </si>
  <si>
    <t>HC（热传导系数）</t>
    <phoneticPr fontId="1" type="noConversion"/>
  </si>
  <si>
    <t>总厚度</t>
    <phoneticPr fontId="1" type="noConversion"/>
  </si>
  <si>
    <t>中性面距离</t>
    <phoneticPr fontId="1" type="noConversion"/>
  </si>
  <si>
    <t>指数</t>
    <phoneticPr fontId="1" type="noConversion"/>
  </si>
  <si>
    <t>1/K</t>
    <phoneticPr fontId="1" type="noConversion"/>
  </si>
  <si>
    <t>Density</t>
  </si>
  <si>
    <r>
      <t>P</t>
    </r>
    <r>
      <rPr>
        <sz val="8"/>
        <color theme="1"/>
        <rFont val="宋体"/>
        <family val="3"/>
        <charset val="134"/>
        <scheme val="minor"/>
      </rPr>
      <t>F</t>
    </r>
    <phoneticPr fontId="1" type="noConversion"/>
  </si>
  <si>
    <r>
      <t>P</t>
    </r>
    <r>
      <rPr>
        <sz val="8"/>
        <color theme="1"/>
        <rFont val="宋体"/>
        <family val="3"/>
        <charset val="134"/>
        <scheme val="minor"/>
      </rPr>
      <t>B</t>
    </r>
    <phoneticPr fontId="1" type="noConversion"/>
  </si>
  <si>
    <t>总厚度(h)</t>
    <phoneticPr fontId="1" type="noConversion"/>
  </si>
  <si>
    <t>中性面距离(z)</t>
    <phoneticPr fontId="1" type="noConversion"/>
  </si>
  <si>
    <t>指数(n)</t>
    <phoneticPr fontId="1" type="noConversion"/>
  </si>
  <si>
    <t>Vc（z）</t>
    <phoneticPr fontId="1" type="noConversion"/>
  </si>
  <si>
    <t>P</t>
    <phoneticPr fontId="1" type="noConversion"/>
  </si>
  <si>
    <t>Vpor</t>
    <phoneticPr fontId="1" type="noConversion"/>
  </si>
  <si>
    <t>Mfg</t>
    <phoneticPr fontId="1" type="noConversion"/>
  </si>
  <si>
    <t>index</t>
  </si>
  <si>
    <t>E1</t>
  </si>
  <si>
    <t>E2</t>
  </si>
  <si>
    <t>v12</t>
  </si>
  <si>
    <t>v23</t>
  </si>
  <si>
    <t>G13</t>
  </si>
  <si>
    <t>G23</t>
  </si>
  <si>
    <t>d31</t>
  </si>
  <si>
    <t>d32</t>
  </si>
  <si>
    <t>Angel</t>
  </si>
  <si>
    <t>HE</t>
  </si>
  <si>
    <t>q31</t>
  </si>
  <si>
    <t>q32</t>
  </si>
  <si>
    <t>g33</t>
  </si>
  <si>
    <t>k33</t>
  </si>
  <si>
    <t>r33</t>
  </si>
  <si>
    <t>A2</t>
    <phoneticPr fontId="1" type="noConversion"/>
  </si>
  <si>
    <t>PyroE</t>
    <phoneticPr fontId="1" type="noConversion"/>
  </si>
  <si>
    <t>PyroM</t>
    <phoneticPr fontId="1" type="noConversion"/>
  </si>
  <si>
    <t>zC1</t>
  </si>
  <si>
    <t>Zc2</t>
  </si>
  <si>
    <t>IsSmtLay(2)</t>
  </si>
  <si>
    <t>%%%%%%%%%%%%%%%%%%%%%%%%%%%%%%%%%%%%%%%%%%%%%%%%%%%%%%%%%%%%%%%%%%%%%%%%%%%%%%%%%%%%%%%%%%%555</t>
    <phoneticPr fontId="1" type="noConversion"/>
  </si>
  <si>
    <t>LTR</t>
    <phoneticPr fontId="1" type="noConversion"/>
  </si>
  <si>
    <t>σ11</t>
  </si>
  <si>
    <t>σ22</t>
  </si>
  <si>
    <t>W*h(m^2)</t>
  </si>
  <si>
    <t>F1</t>
  </si>
  <si>
    <t>F2</t>
  </si>
  <si>
    <t>力臂</t>
  </si>
  <si>
    <t>弯矩1</t>
  </si>
  <si>
    <t>弯矩2</t>
  </si>
  <si>
    <t>弯矩1和</t>
  </si>
  <si>
    <t>10X10</t>
  </si>
  <si>
    <t>15X15</t>
  </si>
  <si>
    <t>20X20</t>
  </si>
  <si>
    <t>25X25</t>
  </si>
  <si>
    <t>30X30</t>
  </si>
  <si>
    <t>40X40</t>
  </si>
  <si>
    <t>50X50</t>
  </si>
  <si>
    <t>60X60</t>
    <phoneticPr fontId="1" type="noConversion"/>
  </si>
  <si>
    <t>集中力1和</t>
    <phoneticPr fontId="1" type="noConversion"/>
  </si>
  <si>
    <t>网格划分4X4</t>
    <phoneticPr fontId="1" type="noConversion"/>
  </si>
  <si>
    <t>层数</t>
    <phoneticPr fontId="1" type="noConversion"/>
  </si>
  <si>
    <t>中性面距离</t>
    <phoneticPr fontId="1" type="noConversion"/>
  </si>
  <si>
    <t>▲T</t>
    <phoneticPr fontId="1" type="noConversion"/>
  </si>
  <si>
    <t>α</t>
    <phoneticPr fontId="1" type="noConversion"/>
  </si>
  <si>
    <t>α*▲T</t>
    <phoneticPr fontId="1" type="noConversion"/>
  </si>
  <si>
    <t>C11</t>
    <phoneticPr fontId="1" type="noConversion"/>
  </si>
  <si>
    <t>C22</t>
    <phoneticPr fontId="1" type="noConversion"/>
  </si>
  <si>
    <t>C12</t>
    <phoneticPr fontId="1" type="noConversion"/>
  </si>
  <si>
    <t>网格划分2X2</t>
    <phoneticPr fontId="1" type="noConversion"/>
  </si>
  <si>
    <t>0，0</t>
    <phoneticPr fontId="1" type="noConversion"/>
  </si>
  <si>
    <t>C11=C22</t>
    <phoneticPr fontId="1" type="noConversion"/>
  </si>
  <si>
    <t>C12</t>
    <phoneticPr fontId="1" type="noConversion"/>
  </si>
  <si>
    <t>C13=C23</t>
    <phoneticPr fontId="1" type="noConversion"/>
  </si>
  <si>
    <t>C33</t>
    <phoneticPr fontId="1" type="noConversion"/>
  </si>
  <si>
    <t>C44</t>
    <phoneticPr fontId="1" type="noConversion"/>
  </si>
  <si>
    <t>C55</t>
    <phoneticPr fontId="1" type="noConversion"/>
  </si>
  <si>
    <t>C66</t>
    <phoneticPr fontId="1" type="noConversion"/>
  </si>
  <si>
    <t>F</t>
    <phoneticPr fontId="1" type="noConversion"/>
  </si>
  <si>
    <t>B</t>
    <phoneticPr fontId="1" type="noConversion"/>
  </si>
  <si>
    <t>C33矩阵</t>
    <phoneticPr fontId="1" type="noConversion"/>
  </si>
  <si>
    <r>
      <t>P</t>
    </r>
    <r>
      <rPr>
        <sz val="8"/>
        <color theme="1"/>
        <rFont val="宋体"/>
        <family val="3"/>
        <charset val="134"/>
        <scheme val="minor"/>
      </rPr>
      <t>F</t>
    </r>
    <phoneticPr fontId="1" type="noConversion"/>
  </si>
  <si>
    <r>
      <t>P</t>
    </r>
    <r>
      <rPr>
        <sz val="8"/>
        <color theme="1"/>
        <rFont val="宋体"/>
        <family val="3"/>
        <charset val="134"/>
        <scheme val="minor"/>
      </rPr>
      <t>B</t>
    </r>
    <phoneticPr fontId="1" type="noConversion"/>
  </si>
  <si>
    <t>总厚度(h)</t>
    <phoneticPr fontId="1" type="noConversion"/>
  </si>
  <si>
    <t>中性面距离(z)</t>
    <phoneticPr fontId="1" type="noConversion"/>
  </si>
  <si>
    <t>指数(n)</t>
    <phoneticPr fontId="1" type="noConversion"/>
  </si>
  <si>
    <t>Vc（z）</t>
    <phoneticPr fontId="1" type="noConversion"/>
  </si>
  <si>
    <t>P</t>
    <phoneticPr fontId="1" type="noConversion"/>
  </si>
  <si>
    <t>Vpor</t>
    <phoneticPr fontId="1" type="noConversion"/>
  </si>
  <si>
    <t>а</t>
    <phoneticPr fontId="1" type="noConversion"/>
  </si>
  <si>
    <t>C13矩阵</t>
    <phoneticPr fontId="1" type="noConversion"/>
  </si>
  <si>
    <t>C11矩阵</t>
    <phoneticPr fontId="1" type="noConversion"/>
  </si>
  <si>
    <t>C12矩阵</t>
    <phoneticPr fontId="1" type="noConversion"/>
  </si>
  <si>
    <t>C44矩阵</t>
    <phoneticPr fontId="1" type="noConversion"/>
  </si>
  <si>
    <t>C55矩阵</t>
    <phoneticPr fontId="1" type="noConversion"/>
  </si>
  <si>
    <t>C66矩阵</t>
    <phoneticPr fontId="1" type="noConversion"/>
  </si>
  <si>
    <t>三维</t>
    <phoneticPr fontId="1" type="noConversion"/>
  </si>
  <si>
    <t>刚度矩阵</t>
    <phoneticPr fontId="1" type="noConversion"/>
  </si>
  <si>
    <t>Y1=Y2</t>
    <phoneticPr fontId="1" type="noConversion"/>
  </si>
  <si>
    <t>v12</t>
    <phoneticPr fontId="1" type="noConversion"/>
  </si>
  <si>
    <t>G13=G23</t>
    <phoneticPr fontId="1" type="noConversion"/>
  </si>
  <si>
    <t>G12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</si>
</sst>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0E+00"/>
    <numFmt numFmtId="177" formatCode="0.0000E+00"/>
    <numFmt numFmtId="178" formatCode="0.00000000000_ "/>
    <numFmt numFmtId="179" formatCode="0.00000000_ 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u/>
      <sz val="11"/>
      <color theme="1"/>
      <name val="宋体"/>
      <family val="2"/>
      <scheme val="minor"/>
    </font>
    <font>
      <u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176" fontId="0" fillId="0" borderId="0" xfId="0" applyNumberFormat="1"/>
    <xf numFmtId="11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NumberFormat="1"/>
    <xf numFmtId="0" fontId="0" fillId="3" borderId="0" xfId="0" applyFill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1" fontId="3" fillId="0" borderId="0" xfId="0" applyNumberFormat="1" applyFont="1"/>
    <xf numFmtId="0" fontId="6" fillId="0" borderId="0" xfId="0" applyFont="1"/>
    <xf numFmtId="11" fontId="7" fillId="0" borderId="0" xfId="0" applyNumberFormat="1" applyFont="1"/>
    <xf numFmtId="0" fontId="7" fillId="0" borderId="0" xfId="0" applyFont="1"/>
    <xf numFmtId="11" fontId="0" fillId="0" borderId="0" xfId="0" applyNumberFormat="1" applyFont="1"/>
    <xf numFmtId="0" fontId="0" fillId="0" borderId="0" xfId="0" applyFont="1"/>
    <xf numFmtId="11" fontId="6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61"/>
  <sheetViews>
    <sheetView tabSelected="1" topLeftCell="M134" zoomScale="90" zoomScaleNormal="90" workbookViewId="0">
      <selection activeCell="X152" sqref="X152"/>
    </sheetView>
  </sheetViews>
  <sheetFormatPr defaultRowHeight="14" x14ac:dyDescent="0.25"/>
  <cols>
    <col min="1" max="1" width="10.26953125" bestFit="1" customWidth="1"/>
    <col min="2" max="2" width="10.54296875" customWidth="1"/>
    <col min="3" max="3" width="10.81640625" customWidth="1"/>
    <col min="4" max="4" width="10.36328125" customWidth="1"/>
    <col min="5" max="5" width="10.6328125" customWidth="1"/>
    <col min="6" max="7" width="11.90625" customWidth="1"/>
    <col min="8" max="8" width="12.08984375" customWidth="1"/>
    <col min="9" max="9" width="11.90625" customWidth="1"/>
    <col min="10" max="10" width="12.6328125" customWidth="1"/>
    <col min="11" max="11" width="12.453125" customWidth="1"/>
    <col min="12" max="12" width="12.453125" bestFit="1" customWidth="1"/>
    <col min="13" max="13" width="12.6328125" customWidth="1"/>
    <col min="14" max="14" width="11.453125" customWidth="1"/>
    <col min="15" max="15" width="12.1796875" customWidth="1"/>
    <col min="16" max="16" width="12.81640625" customWidth="1"/>
    <col min="17" max="17" width="12.1796875" customWidth="1"/>
    <col min="18" max="18" width="11" customWidth="1"/>
    <col min="19" max="20" width="11.6328125" customWidth="1"/>
    <col min="21" max="21" width="11.26953125" customWidth="1"/>
    <col min="22" max="22" width="12.90625" customWidth="1"/>
    <col min="23" max="23" width="11.36328125" customWidth="1"/>
    <col min="24" max="24" width="11.7265625" customWidth="1"/>
    <col min="25" max="26" width="11.26953125" customWidth="1"/>
    <col min="27" max="27" width="11.90625" customWidth="1"/>
    <col min="28" max="28" width="11" customWidth="1"/>
    <col min="29" max="29" width="11.453125" customWidth="1"/>
    <col min="30" max="30" width="12.1796875" customWidth="1"/>
    <col min="31" max="32" width="11.54296875" customWidth="1"/>
    <col min="33" max="33" width="11" customWidth="1"/>
    <col min="34" max="34" width="11.26953125" customWidth="1"/>
    <col min="35" max="35" width="11.36328125" customWidth="1"/>
    <col min="36" max="37" width="11.26953125" customWidth="1"/>
    <col min="38" max="38" width="12.08984375" customWidth="1"/>
    <col min="41" max="42" width="11.36328125" bestFit="1" customWidth="1"/>
  </cols>
  <sheetData>
    <row r="1" spans="1:23" x14ac:dyDescent="0.25">
      <c r="A1" s="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</row>
    <row r="2" spans="1:23" x14ac:dyDescent="0.25">
      <c r="C2" t="s">
        <v>86</v>
      </c>
      <c r="D2" s="2">
        <v>286000000000</v>
      </c>
      <c r="E2" s="2">
        <v>173000000000</v>
      </c>
      <c r="F2" s="2">
        <v>170000000000</v>
      </c>
      <c r="G2" s="2">
        <v>269500000000</v>
      </c>
      <c r="H2" s="2">
        <v>45300000000</v>
      </c>
      <c r="I2" s="2">
        <v>45300000000</v>
      </c>
      <c r="J2" s="2">
        <v>56500000000</v>
      </c>
    </row>
    <row r="3" spans="1:23" x14ac:dyDescent="0.25">
      <c r="C3" t="s">
        <v>87</v>
      </c>
      <c r="D3" s="2">
        <v>166000000000</v>
      </c>
      <c r="E3" s="2">
        <v>77000000000</v>
      </c>
      <c r="F3" s="2">
        <v>78000000000</v>
      </c>
      <c r="G3" s="2">
        <v>162000000000</v>
      </c>
      <c r="H3" s="2">
        <v>43000000000</v>
      </c>
      <c r="I3" s="2">
        <v>43000000000</v>
      </c>
      <c r="J3" s="2">
        <v>44500000000</v>
      </c>
    </row>
    <row r="8" spans="1:23" x14ac:dyDescent="0.25">
      <c r="A8" t="s">
        <v>88</v>
      </c>
      <c r="B8" s="1" t="s">
        <v>89</v>
      </c>
      <c r="C8" s="1" t="s">
        <v>90</v>
      </c>
      <c r="D8" s="1" t="s">
        <v>91</v>
      </c>
      <c r="E8" s="1" t="s">
        <v>92</v>
      </c>
      <c r="F8" s="1" t="s">
        <v>93</v>
      </c>
      <c r="G8" s="1" t="s">
        <v>94</v>
      </c>
      <c r="H8" s="1" t="s">
        <v>95</v>
      </c>
      <c r="I8" s="1" t="s">
        <v>96</v>
      </c>
      <c r="J8" s="1" t="s">
        <v>97</v>
      </c>
      <c r="N8" s="8" t="s">
        <v>9</v>
      </c>
      <c r="O8" s="1" t="s">
        <v>0</v>
      </c>
      <c r="P8" s="1" t="s">
        <v>1</v>
      </c>
      <c r="Q8" s="1" t="s">
        <v>2</v>
      </c>
      <c r="R8" s="1" t="s">
        <v>3</v>
      </c>
      <c r="S8" s="1" t="s">
        <v>4</v>
      </c>
      <c r="T8" s="1" t="s">
        <v>5</v>
      </c>
      <c r="U8" s="1" t="s">
        <v>6</v>
      </c>
      <c r="V8" s="1" t="s">
        <v>7</v>
      </c>
      <c r="W8" s="1" t="s">
        <v>10</v>
      </c>
    </row>
    <row r="9" spans="1:23" x14ac:dyDescent="0.25">
      <c r="B9" s="2">
        <v>269500000000</v>
      </c>
      <c r="C9" s="2">
        <v>162000000000</v>
      </c>
      <c r="D9" s="3">
        <v>2.3999999999999998E-3</v>
      </c>
      <c r="E9">
        <v>-1.1000000000000001E-3</v>
      </c>
      <c r="F9" s="3">
        <v>1</v>
      </c>
      <c r="G9" s="3">
        <f>(0.5+E9/D9)^F9</f>
        <v>4.1666666666666574E-2</v>
      </c>
      <c r="H9" s="3">
        <v>0.2</v>
      </c>
      <c r="I9" s="3">
        <f>2*(1-2*ABS(E9)/D9)</f>
        <v>0.1666666666666663</v>
      </c>
      <c r="J9" s="3">
        <f>(C9-B9)*G9+B9-(B9+C9)*(H9/2)*I9</f>
        <v>257829166666.66669</v>
      </c>
      <c r="K9" s="2"/>
      <c r="O9" s="3">
        <v>1.0000000000000001E-5</v>
      </c>
      <c r="P9" s="3">
        <v>1.5699999999999999E-5</v>
      </c>
      <c r="Q9" s="3">
        <v>2.3999999999999998E-3</v>
      </c>
      <c r="R9">
        <v>-1.1000000000000001E-3</v>
      </c>
      <c r="S9" s="3">
        <v>1</v>
      </c>
      <c r="T9" s="3">
        <f>(0.5-R9/Q9)^S9</f>
        <v>0.95833333333333348</v>
      </c>
      <c r="U9" s="3">
        <v>0.2</v>
      </c>
      <c r="V9" s="3">
        <f>2*(1-2*ABS(R9)/Q9)</f>
        <v>0.1666666666666663</v>
      </c>
      <c r="W9" s="3">
        <f>(P9-O9)*T9+O9-(O9+P9)*(U9/2)*V9</f>
        <v>1.5034166666666667E-5</v>
      </c>
    </row>
    <row r="10" spans="1:23" x14ac:dyDescent="0.25">
      <c r="B10" s="2">
        <v>269500000000</v>
      </c>
      <c r="C10" s="2">
        <v>162000000000</v>
      </c>
      <c r="D10" s="3">
        <v>2.3999999999999998E-3</v>
      </c>
      <c r="E10">
        <f>-0.001+0.0001</f>
        <v>-8.9999999999999998E-4</v>
      </c>
      <c r="F10" s="3">
        <v>1</v>
      </c>
      <c r="G10" s="3">
        <f>(0.5+E10/D10)^F10</f>
        <v>0.125</v>
      </c>
      <c r="H10" s="3">
        <v>0.2</v>
      </c>
      <c r="I10" s="3">
        <f t="shared" ref="I10:I20" si="0">2*(1-2*ABS(E10)/D10)</f>
        <v>0.5</v>
      </c>
      <c r="J10" s="3">
        <f t="shared" ref="J10:J20" si="1">(C10-B10)*G10+B10-(B10+C10)*(H10/2)*I10</f>
        <v>234487500000</v>
      </c>
      <c r="K10" s="2"/>
      <c r="O10" s="3">
        <v>1.0000000000000001E-5</v>
      </c>
      <c r="P10" s="3">
        <v>1.5699999999999999E-5</v>
      </c>
      <c r="Q10" s="3">
        <v>2.3999999999999998E-3</v>
      </c>
      <c r="R10">
        <f>-0.001+0.0001</f>
        <v>-8.9999999999999998E-4</v>
      </c>
      <c r="S10" s="3">
        <v>1</v>
      </c>
      <c r="T10" s="3">
        <f t="shared" ref="T10:T20" si="2">(0.5-R10/Q10)^S10</f>
        <v>0.875</v>
      </c>
      <c r="U10" s="3">
        <v>0.2</v>
      </c>
      <c r="V10" s="3">
        <f t="shared" ref="V10:V20" si="3">2*(1-2*ABS(R10)/Q10)</f>
        <v>0.5</v>
      </c>
      <c r="W10" s="3">
        <f t="shared" ref="W10:W20" si="4">(P10-O10)*T10+O10-(O10+P10)*(U10/2)*V10</f>
        <v>1.3702499999999998E-5</v>
      </c>
    </row>
    <row r="11" spans="1:23" x14ac:dyDescent="0.25">
      <c r="B11" s="2">
        <v>269500000000</v>
      </c>
      <c r="C11" s="2">
        <v>162000000000</v>
      </c>
      <c r="D11" s="3">
        <v>2.3999999999999998E-3</v>
      </c>
      <c r="E11">
        <f>E10+0.0002</f>
        <v>-6.9999999999999999E-4</v>
      </c>
      <c r="F11" s="3">
        <v>1</v>
      </c>
      <c r="G11" s="3">
        <f t="shared" ref="G11:G20" si="5">(0.5+E11/D11)^F11</f>
        <v>0.20833333333333331</v>
      </c>
      <c r="H11" s="3">
        <v>0.2</v>
      </c>
      <c r="I11" s="3">
        <f t="shared" si="0"/>
        <v>0.83333333333333326</v>
      </c>
      <c r="J11" s="3">
        <f t="shared" si="1"/>
        <v>211145833333.33331</v>
      </c>
      <c r="K11" s="2"/>
      <c r="O11" s="3">
        <v>1.0000000000000001E-5</v>
      </c>
      <c r="P11" s="3">
        <v>1.5699999999999999E-5</v>
      </c>
      <c r="Q11" s="3">
        <v>2.3999999999999998E-3</v>
      </c>
      <c r="R11">
        <f>R10+0.0002</f>
        <v>-6.9999999999999999E-4</v>
      </c>
      <c r="S11" s="3">
        <v>1</v>
      </c>
      <c r="T11" s="3">
        <f t="shared" si="2"/>
        <v>0.79166666666666674</v>
      </c>
      <c r="U11" s="3">
        <v>0.2</v>
      </c>
      <c r="V11" s="3">
        <f t="shared" si="3"/>
        <v>0.83333333333333326</v>
      </c>
      <c r="W11" s="3">
        <f t="shared" si="4"/>
        <v>1.2370833333333334E-5</v>
      </c>
    </row>
    <row r="12" spans="1:23" x14ac:dyDescent="0.25">
      <c r="B12" s="2">
        <v>269500000000</v>
      </c>
      <c r="C12" s="2">
        <v>162000000000</v>
      </c>
      <c r="D12" s="3">
        <v>2.3999999999999998E-3</v>
      </c>
      <c r="E12">
        <f t="shared" ref="E12:E19" si="6">E11+0.0002</f>
        <v>-5.0000000000000001E-4</v>
      </c>
      <c r="F12" s="3">
        <v>1</v>
      </c>
      <c r="G12" s="3">
        <f t="shared" si="5"/>
        <v>0.29166666666666663</v>
      </c>
      <c r="H12" s="3">
        <v>0.2</v>
      </c>
      <c r="I12" s="3">
        <f t="shared" si="0"/>
        <v>1.1666666666666665</v>
      </c>
      <c r="J12" s="3">
        <f t="shared" si="1"/>
        <v>187804166666.66669</v>
      </c>
      <c r="K12" s="2"/>
      <c r="O12" s="3">
        <v>1.0000000000000001E-5</v>
      </c>
      <c r="P12" s="3">
        <v>1.5699999999999999E-5</v>
      </c>
      <c r="Q12" s="3">
        <v>2.3999999999999998E-3</v>
      </c>
      <c r="R12">
        <f t="shared" ref="R12:R19" si="7">R11+0.0002</f>
        <v>-5.0000000000000001E-4</v>
      </c>
      <c r="S12" s="3">
        <v>1</v>
      </c>
      <c r="T12" s="3">
        <f t="shared" si="2"/>
        <v>0.70833333333333337</v>
      </c>
      <c r="U12" s="3">
        <v>0.2</v>
      </c>
      <c r="V12" s="3">
        <f t="shared" si="3"/>
        <v>1.1666666666666665</v>
      </c>
      <c r="W12" s="3">
        <f t="shared" si="4"/>
        <v>1.1039166666666666E-5</v>
      </c>
    </row>
    <row r="13" spans="1:23" x14ac:dyDescent="0.25">
      <c r="B13" s="2">
        <v>269500000000</v>
      </c>
      <c r="C13" s="2">
        <v>162000000000</v>
      </c>
      <c r="D13" s="3">
        <v>2.3999999999999998E-3</v>
      </c>
      <c r="E13">
        <f t="shared" si="6"/>
        <v>-3.0000000000000003E-4</v>
      </c>
      <c r="F13" s="3">
        <v>1</v>
      </c>
      <c r="G13" s="3">
        <f t="shared" si="5"/>
        <v>0.375</v>
      </c>
      <c r="H13" s="3">
        <v>0.2</v>
      </c>
      <c r="I13" s="3">
        <f t="shared" si="0"/>
        <v>1.5</v>
      </c>
      <c r="J13" s="3">
        <f t="shared" si="1"/>
        <v>164462500000</v>
      </c>
      <c r="K13" s="2"/>
      <c r="O13" s="3">
        <v>1.0000000000000001E-5</v>
      </c>
      <c r="P13" s="3">
        <v>1.5699999999999999E-5</v>
      </c>
      <c r="Q13" s="3">
        <v>2.3999999999999998E-3</v>
      </c>
      <c r="R13">
        <f t="shared" si="7"/>
        <v>-3.0000000000000003E-4</v>
      </c>
      <c r="S13" s="3">
        <v>1</v>
      </c>
      <c r="T13" s="3">
        <f t="shared" si="2"/>
        <v>0.625</v>
      </c>
      <c r="U13" s="3">
        <v>0.2</v>
      </c>
      <c r="V13" s="3">
        <f t="shared" si="3"/>
        <v>1.5</v>
      </c>
      <c r="W13" s="3">
        <f t="shared" si="4"/>
        <v>9.7074999999999981E-6</v>
      </c>
    </row>
    <row r="14" spans="1:23" x14ac:dyDescent="0.25">
      <c r="B14" s="2">
        <v>269500000000</v>
      </c>
      <c r="C14" s="2">
        <v>162000000000</v>
      </c>
      <c r="D14" s="3">
        <v>2.3999999999999998E-3</v>
      </c>
      <c r="E14">
        <f t="shared" si="6"/>
        <v>-1.0000000000000002E-4</v>
      </c>
      <c r="F14" s="3">
        <v>1</v>
      </c>
      <c r="G14" s="3">
        <f t="shared" si="5"/>
        <v>0.45833333333333331</v>
      </c>
      <c r="H14" s="3">
        <v>0.2</v>
      </c>
      <c r="I14" s="3">
        <f t="shared" si="0"/>
        <v>1.8333333333333333</v>
      </c>
      <c r="J14" s="3">
        <f t="shared" si="1"/>
        <v>141120833333.33337</v>
      </c>
      <c r="K14" s="2"/>
      <c r="O14" s="3">
        <v>1.0000000000000001E-5</v>
      </c>
      <c r="P14" s="3">
        <v>1.5699999999999999E-5</v>
      </c>
      <c r="Q14" s="3">
        <v>2.3999999999999998E-3</v>
      </c>
      <c r="R14">
        <f t="shared" si="7"/>
        <v>-1.0000000000000002E-4</v>
      </c>
      <c r="S14" s="3">
        <v>1</v>
      </c>
      <c r="T14" s="3">
        <f t="shared" si="2"/>
        <v>0.54166666666666663</v>
      </c>
      <c r="U14" s="3">
        <v>0.2</v>
      </c>
      <c r="V14" s="3">
        <f t="shared" si="3"/>
        <v>1.8333333333333333</v>
      </c>
      <c r="W14" s="3">
        <f t="shared" si="4"/>
        <v>8.3758333333333321E-6</v>
      </c>
    </row>
    <row r="15" spans="1:23" x14ac:dyDescent="0.25">
      <c r="B15" s="2">
        <v>269500000000</v>
      </c>
      <c r="C15" s="2">
        <v>162000000000</v>
      </c>
      <c r="D15" s="3">
        <v>2.3999999999999998E-3</v>
      </c>
      <c r="E15">
        <f t="shared" si="6"/>
        <v>9.9999999999999991E-5</v>
      </c>
      <c r="F15" s="3">
        <v>1</v>
      </c>
      <c r="G15" s="3">
        <f t="shared" si="5"/>
        <v>0.54166666666666663</v>
      </c>
      <c r="H15" s="3">
        <v>0.2</v>
      </c>
      <c r="I15" s="3">
        <f t="shared" si="0"/>
        <v>1.8333333333333333</v>
      </c>
      <c r="J15" s="3">
        <f t="shared" si="1"/>
        <v>132162500000.00002</v>
      </c>
      <c r="K15" s="2"/>
      <c r="O15" s="3">
        <v>1.0000000000000001E-5</v>
      </c>
      <c r="P15" s="3">
        <v>1.5699999999999999E-5</v>
      </c>
      <c r="Q15" s="3">
        <v>2.3999999999999998E-3</v>
      </c>
      <c r="R15">
        <f t="shared" si="7"/>
        <v>9.9999999999999991E-5</v>
      </c>
      <c r="S15" s="3">
        <v>1</v>
      </c>
      <c r="T15" s="3">
        <f t="shared" si="2"/>
        <v>0.45833333333333331</v>
      </c>
      <c r="U15" s="3">
        <v>0.2</v>
      </c>
      <c r="V15" s="3">
        <f t="shared" si="3"/>
        <v>1.8333333333333333</v>
      </c>
      <c r="W15" s="3">
        <f t="shared" si="4"/>
        <v>7.9008333333333324E-6</v>
      </c>
    </row>
    <row r="16" spans="1:23" x14ac:dyDescent="0.25">
      <c r="B16" s="2">
        <v>269500000000</v>
      </c>
      <c r="C16" s="2">
        <v>162000000000</v>
      </c>
      <c r="D16" s="3">
        <v>2.3999999999999998E-3</v>
      </c>
      <c r="E16">
        <f t="shared" si="6"/>
        <v>3.0000000000000003E-4</v>
      </c>
      <c r="F16" s="3">
        <v>1</v>
      </c>
      <c r="G16" s="3">
        <f t="shared" si="5"/>
        <v>0.625</v>
      </c>
      <c r="H16" s="3">
        <v>0.2</v>
      </c>
      <c r="I16" s="3">
        <f t="shared" si="0"/>
        <v>1.5</v>
      </c>
      <c r="J16" s="3">
        <f t="shared" si="1"/>
        <v>137587500000</v>
      </c>
      <c r="K16" s="2"/>
      <c r="O16" s="3">
        <v>1.0000000000000001E-5</v>
      </c>
      <c r="P16" s="3">
        <v>1.5699999999999999E-5</v>
      </c>
      <c r="Q16" s="3">
        <v>2.3999999999999998E-3</v>
      </c>
      <c r="R16">
        <f t="shared" si="7"/>
        <v>3.0000000000000003E-4</v>
      </c>
      <c r="S16" s="3">
        <v>1</v>
      </c>
      <c r="T16" s="3">
        <f t="shared" si="2"/>
        <v>0.375</v>
      </c>
      <c r="U16" s="3">
        <v>0.2</v>
      </c>
      <c r="V16" s="3">
        <f t="shared" si="3"/>
        <v>1.5</v>
      </c>
      <c r="W16" s="3">
        <f t="shared" si="4"/>
        <v>8.2825000000000007E-6</v>
      </c>
    </row>
    <row r="17" spans="1:24" x14ac:dyDescent="0.25">
      <c r="B17" s="2">
        <v>269500000000</v>
      </c>
      <c r="C17" s="2">
        <v>162000000000</v>
      </c>
      <c r="D17" s="3">
        <v>2.3999999999999998E-3</v>
      </c>
      <c r="E17">
        <f t="shared" si="6"/>
        <v>5.0000000000000001E-4</v>
      </c>
      <c r="F17" s="3">
        <v>1</v>
      </c>
      <c r="G17" s="3">
        <f t="shared" si="5"/>
        <v>0.70833333333333337</v>
      </c>
      <c r="H17" s="3">
        <v>0.2</v>
      </c>
      <c r="I17" s="3">
        <f t="shared" si="0"/>
        <v>1.1666666666666665</v>
      </c>
      <c r="J17" s="3">
        <f t="shared" si="1"/>
        <v>143012500000</v>
      </c>
      <c r="K17" s="2"/>
      <c r="O17" s="3">
        <v>1.0000000000000001E-5</v>
      </c>
      <c r="P17" s="3">
        <v>1.5699999999999999E-5</v>
      </c>
      <c r="Q17" s="3">
        <v>2.3999999999999998E-3</v>
      </c>
      <c r="R17">
        <f t="shared" si="7"/>
        <v>5.0000000000000001E-4</v>
      </c>
      <c r="S17" s="3">
        <v>1</v>
      </c>
      <c r="T17" s="3">
        <f t="shared" si="2"/>
        <v>0.29166666666666663</v>
      </c>
      <c r="U17" s="3">
        <v>0.2</v>
      </c>
      <c r="V17" s="3">
        <f t="shared" si="3"/>
        <v>1.1666666666666665</v>
      </c>
      <c r="W17" s="3">
        <f t="shared" si="4"/>
        <v>8.6641666666666674E-6</v>
      </c>
    </row>
    <row r="18" spans="1:24" x14ac:dyDescent="0.25">
      <c r="B18" s="2">
        <v>269500000000</v>
      </c>
      <c r="C18" s="2">
        <v>162000000000</v>
      </c>
      <c r="D18" s="3">
        <v>2.3999999999999998E-3</v>
      </c>
      <c r="E18">
        <f t="shared" si="6"/>
        <v>6.9999999999999999E-4</v>
      </c>
      <c r="F18" s="3">
        <v>1</v>
      </c>
      <c r="G18" s="3">
        <f t="shared" si="5"/>
        <v>0.79166666666666674</v>
      </c>
      <c r="H18" s="3">
        <v>0.2</v>
      </c>
      <c r="I18" s="3">
        <f t="shared" si="0"/>
        <v>0.83333333333333326</v>
      </c>
      <c r="J18" s="3">
        <f t="shared" si="1"/>
        <v>148437500000</v>
      </c>
      <c r="K18" s="2"/>
      <c r="O18" s="3">
        <v>1.0000000000000001E-5</v>
      </c>
      <c r="P18" s="3">
        <v>1.5699999999999999E-5</v>
      </c>
      <c r="Q18" s="3">
        <v>2.3999999999999998E-3</v>
      </c>
      <c r="R18">
        <f t="shared" si="7"/>
        <v>6.9999999999999999E-4</v>
      </c>
      <c r="S18" s="3">
        <v>1</v>
      </c>
      <c r="T18" s="3">
        <f t="shared" si="2"/>
        <v>0.20833333333333331</v>
      </c>
      <c r="U18" s="3">
        <v>0.2</v>
      </c>
      <c r="V18" s="3">
        <f t="shared" si="3"/>
        <v>0.83333333333333326</v>
      </c>
      <c r="W18" s="3">
        <f t="shared" si="4"/>
        <v>9.0458333333333341E-6</v>
      </c>
    </row>
    <row r="19" spans="1:24" x14ac:dyDescent="0.25">
      <c r="B19" s="2">
        <v>269500000000</v>
      </c>
      <c r="C19" s="2">
        <v>162000000000</v>
      </c>
      <c r="D19" s="3">
        <v>2.3999999999999998E-3</v>
      </c>
      <c r="E19">
        <f t="shared" si="6"/>
        <v>8.9999999999999998E-4</v>
      </c>
      <c r="F19" s="3">
        <v>1</v>
      </c>
      <c r="G19" s="3">
        <f t="shared" si="5"/>
        <v>0.875</v>
      </c>
      <c r="H19" s="3">
        <v>0.2</v>
      </c>
      <c r="I19" s="3">
        <f t="shared" si="0"/>
        <v>0.5</v>
      </c>
      <c r="J19" s="3">
        <f t="shared" si="1"/>
        <v>153862500000</v>
      </c>
      <c r="K19" s="2"/>
      <c r="O19" s="3">
        <v>1.0000000000000001E-5</v>
      </c>
      <c r="P19" s="3">
        <v>1.5699999999999999E-5</v>
      </c>
      <c r="Q19" s="3">
        <v>2.3999999999999998E-3</v>
      </c>
      <c r="R19">
        <f t="shared" si="7"/>
        <v>8.9999999999999998E-4</v>
      </c>
      <c r="S19" s="3">
        <v>1</v>
      </c>
      <c r="T19" s="3">
        <f t="shared" si="2"/>
        <v>0.125</v>
      </c>
      <c r="U19" s="3">
        <v>0.2</v>
      </c>
      <c r="V19" s="3">
        <f t="shared" si="3"/>
        <v>0.5</v>
      </c>
      <c r="W19" s="3">
        <f t="shared" si="4"/>
        <v>9.4275000000000008E-6</v>
      </c>
    </row>
    <row r="20" spans="1:24" x14ac:dyDescent="0.25">
      <c r="B20" s="2">
        <v>269500000000</v>
      </c>
      <c r="C20" s="2">
        <v>162000000000</v>
      </c>
      <c r="D20" s="3">
        <v>2.3999999999999998E-3</v>
      </c>
      <c r="E20" s="4">
        <v>1.1000000000000001E-3</v>
      </c>
      <c r="F20" s="3">
        <v>1</v>
      </c>
      <c r="G20" s="3">
        <f t="shared" si="5"/>
        <v>0.95833333333333348</v>
      </c>
      <c r="H20" s="3">
        <v>0.2</v>
      </c>
      <c r="I20" s="3">
        <f t="shared" si="0"/>
        <v>0.1666666666666663</v>
      </c>
      <c r="J20" s="3">
        <f t="shared" si="1"/>
        <v>159287500000</v>
      </c>
      <c r="K20" s="2"/>
      <c r="O20" s="3">
        <v>1.0000000000000001E-5</v>
      </c>
      <c r="P20" s="3">
        <v>1.5699999999999999E-5</v>
      </c>
      <c r="Q20" s="3">
        <v>2.3999999999999998E-3</v>
      </c>
      <c r="R20" s="4">
        <v>1.1000000000000001E-3</v>
      </c>
      <c r="S20" s="3">
        <v>1</v>
      </c>
      <c r="T20" s="3">
        <f t="shared" si="2"/>
        <v>4.1666666666666574E-2</v>
      </c>
      <c r="U20" s="3">
        <v>0.2</v>
      </c>
      <c r="V20" s="3">
        <f t="shared" si="3"/>
        <v>0.1666666666666663</v>
      </c>
      <c r="W20" s="3">
        <f t="shared" si="4"/>
        <v>9.8091666666666675E-6</v>
      </c>
    </row>
    <row r="21" spans="1:24" x14ac:dyDescent="0.25">
      <c r="N21" s="8" t="s">
        <v>11</v>
      </c>
      <c r="O21" s="1" t="s">
        <v>0</v>
      </c>
      <c r="P21" s="1" t="s">
        <v>1</v>
      </c>
      <c r="Q21" s="1" t="s">
        <v>12</v>
      </c>
      <c r="R21" s="1" t="s">
        <v>13</v>
      </c>
      <c r="S21" s="1" t="s">
        <v>14</v>
      </c>
      <c r="T21" s="1" t="s">
        <v>5</v>
      </c>
      <c r="U21" s="1" t="s">
        <v>6</v>
      </c>
      <c r="V21" s="1" t="s">
        <v>7</v>
      </c>
      <c r="W21" s="1" t="s">
        <v>10</v>
      </c>
      <c r="X21" s="1" t="s">
        <v>15</v>
      </c>
    </row>
    <row r="22" spans="1:24" x14ac:dyDescent="0.25">
      <c r="O22" s="3">
        <v>2.5</v>
      </c>
      <c r="P22" s="3">
        <v>3.2</v>
      </c>
      <c r="Q22" s="3">
        <v>2.3999999999999998E-3</v>
      </c>
      <c r="R22">
        <v>-1.1000000000000001E-3</v>
      </c>
      <c r="S22" s="3">
        <v>2</v>
      </c>
      <c r="T22" s="3">
        <f>(0.5-R22/Q22)^S22</f>
        <v>0.91840277777777801</v>
      </c>
      <c r="U22" s="3">
        <v>0.4</v>
      </c>
      <c r="V22" s="3">
        <f>2*(1-2*ABS(R22)/Q22)</f>
        <v>0.1666666666666663</v>
      </c>
      <c r="W22" s="3">
        <f>(P22-O22)*T22+O22-(O22+P22)*(U22/2)*V22</f>
        <v>2.9528819444444454</v>
      </c>
      <c r="X22" s="3">
        <f>1/W22</f>
        <v>0.33865221123431666</v>
      </c>
    </row>
    <row r="23" spans="1:24" x14ac:dyDescent="0.25">
      <c r="O23" s="3">
        <v>2.5</v>
      </c>
      <c r="P23" s="3">
        <v>3.2</v>
      </c>
      <c r="Q23" s="3">
        <v>2.3999999999999998E-3</v>
      </c>
      <c r="R23">
        <f>-0.001+0.0001</f>
        <v>-8.9999999999999998E-4</v>
      </c>
      <c r="S23" s="3">
        <v>2</v>
      </c>
      <c r="T23" s="3">
        <f t="shared" ref="T23:T33" si="8">(0.5-R23/Q23)^S23</f>
        <v>0.765625</v>
      </c>
      <c r="U23" s="3">
        <v>0.4</v>
      </c>
      <c r="V23" s="3">
        <f t="shared" ref="V23:V33" si="9">2*(1-2*ABS(R23)/Q23)</f>
        <v>0.5</v>
      </c>
      <c r="W23" s="3">
        <f t="shared" ref="W23:W33" si="10">(P23-O23)*T23+O23-(O23+P23)*(U23/2)*V23</f>
        <v>2.4659374999999999</v>
      </c>
      <c r="X23" s="3">
        <f t="shared" ref="X23:X33" si="11">1/W23</f>
        <v>0.40552528196679766</v>
      </c>
    </row>
    <row r="24" spans="1:24" x14ac:dyDescent="0.25">
      <c r="A24" t="s">
        <v>98</v>
      </c>
      <c r="B24" s="1" t="s">
        <v>89</v>
      </c>
      <c r="C24" s="1" t="s">
        <v>90</v>
      </c>
      <c r="D24" s="1" t="s">
        <v>91</v>
      </c>
      <c r="E24" s="1" t="s">
        <v>92</v>
      </c>
      <c r="F24" s="1" t="s">
        <v>93</v>
      </c>
      <c r="G24" s="1" t="s">
        <v>94</v>
      </c>
      <c r="H24" s="1" t="s">
        <v>95</v>
      </c>
      <c r="I24" s="1" t="s">
        <v>96</v>
      </c>
      <c r="J24" s="1" t="s">
        <v>97</v>
      </c>
      <c r="O24" s="3">
        <v>2.5</v>
      </c>
      <c r="P24" s="3">
        <v>3.2</v>
      </c>
      <c r="Q24" s="3">
        <v>2.3999999999999998E-3</v>
      </c>
      <c r="R24">
        <f>R23+0.0002</f>
        <v>-6.9999999999999999E-4</v>
      </c>
      <c r="S24" s="3">
        <v>2</v>
      </c>
      <c r="T24" s="3">
        <f t="shared" si="8"/>
        <v>0.62673611111111127</v>
      </c>
      <c r="U24" s="3">
        <v>0.4</v>
      </c>
      <c r="V24" s="3">
        <f t="shared" si="9"/>
        <v>0.83333333333333326</v>
      </c>
      <c r="W24" s="3">
        <f t="shared" si="10"/>
        <v>1.9887152777777777</v>
      </c>
      <c r="X24" s="3">
        <f t="shared" si="11"/>
        <v>0.5028371890004365</v>
      </c>
    </row>
    <row r="25" spans="1:24" x14ac:dyDescent="0.25">
      <c r="B25" s="2">
        <v>170000000000</v>
      </c>
      <c r="C25" s="2">
        <v>78000000000</v>
      </c>
      <c r="D25" s="3">
        <v>2.3999999999999998E-3</v>
      </c>
      <c r="E25">
        <v>-1.1000000000000001E-3</v>
      </c>
      <c r="F25" s="3">
        <v>1</v>
      </c>
      <c r="G25" s="3">
        <f>(0.5+E25/D25)^F25</f>
        <v>4.1666666666666574E-2</v>
      </c>
      <c r="H25" s="3">
        <v>0.2</v>
      </c>
      <c r="I25" s="3">
        <f>2*(1-2*ABS(E25)/D25)</f>
        <v>0.1666666666666663</v>
      </c>
      <c r="J25" s="3">
        <f>(C25-B25)*G25+B25-(B25+C25)*(H25/2)*I25</f>
        <v>162033333333.33337</v>
      </c>
      <c r="O25" s="3">
        <v>2.5</v>
      </c>
      <c r="P25" s="3">
        <v>3.2</v>
      </c>
      <c r="Q25" s="3">
        <v>2.3999999999999998E-3</v>
      </c>
      <c r="R25">
        <f t="shared" ref="R25:R32" si="12">R24+0.0002</f>
        <v>-5.0000000000000001E-4</v>
      </c>
      <c r="S25" s="3">
        <v>2</v>
      </c>
      <c r="T25" s="3">
        <f t="shared" si="8"/>
        <v>0.50173611111111116</v>
      </c>
      <c r="U25" s="3">
        <v>0.4</v>
      </c>
      <c r="V25" s="3">
        <f t="shared" si="9"/>
        <v>1.1666666666666665</v>
      </c>
      <c r="W25" s="3">
        <f t="shared" si="10"/>
        <v>1.5212152777777779</v>
      </c>
      <c r="X25" s="3">
        <f t="shared" si="11"/>
        <v>0.65736915386546757</v>
      </c>
    </row>
    <row r="26" spans="1:24" x14ac:dyDescent="0.25">
      <c r="B26" s="2">
        <v>170000000000</v>
      </c>
      <c r="C26" s="2">
        <v>78000000000</v>
      </c>
      <c r="D26" s="3">
        <v>2.3999999999999998E-3</v>
      </c>
      <c r="E26">
        <f>-0.001+0.0001</f>
        <v>-8.9999999999999998E-4</v>
      </c>
      <c r="F26" s="3">
        <v>1</v>
      </c>
      <c r="G26" s="3">
        <f>(0.5+E26/D26)^F26</f>
        <v>0.125</v>
      </c>
      <c r="H26" s="3">
        <v>0.2</v>
      </c>
      <c r="I26" s="3">
        <f t="shared" ref="I26:I36" si="13">2*(1-2*ABS(E26)/D26)</f>
        <v>0.5</v>
      </c>
      <c r="J26" s="3">
        <f t="shared" ref="J26:J36" si="14">(C26-B26)*G26+B26-(B26+C26)*(H26/2)*I26</f>
        <v>146100000000</v>
      </c>
      <c r="O26" s="3">
        <v>2.5</v>
      </c>
      <c r="P26" s="3">
        <v>3.2</v>
      </c>
      <c r="Q26" s="3">
        <v>2.3999999999999998E-3</v>
      </c>
      <c r="R26">
        <f t="shared" si="12"/>
        <v>-3.0000000000000003E-4</v>
      </c>
      <c r="S26" s="3">
        <v>2</v>
      </c>
      <c r="T26" s="3">
        <f t="shared" si="8"/>
        <v>0.390625</v>
      </c>
      <c r="U26" s="3">
        <v>0.4</v>
      </c>
      <c r="V26" s="3">
        <f t="shared" si="9"/>
        <v>1.5</v>
      </c>
      <c r="W26" s="3">
        <f t="shared" si="10"/>
        <v>1.0634374999999998</v>
      </c>
      <c r="X26" s="3">
        <f t="shared" si="11"/>
        <v>0.94034675286511915</v>
      </c>
    </row>
    <row r="27" spans="1:24" x14ac:dyDescent="0.25">
      <c r="B27" s="2">
        <v>170000000000</v>
      </c>
      <c r="C27" s="2">
        <v>78000000000</v>
      </c>
      <c r="D27" s="3">
        <v>2.3999999999999998E-3</v>
      </c>
      <c r="E27">
        <f>E26+0.0002</f>
        <v>-6.9999999999999999E-4</v>
      </c>
      <c r="F27" s="3">
        <v>1</v>
      </c>
      <c r="G27" s="3">
        <f t="shared" ref="G27:G36" si="15">(0.5+E27/D27)^F27</f>
        <v>0.20833333333333331</v>
      </c>
      <c r="H27" s="3">
        <v>0.2</v>
      </c>
      <c r="I27" s="3">
        <f t="shared" si="13"/>
        <v>0.83333333333333326</v>
      </c>
      <c r="J27" s="3">
        <f t="shared" si="14"/>
        <v>130166666666.66669</v>
      </c>
      <c r="O27" s="3">
        <v>2.5</v>
      </c>
      <c r="P27" s="3">
        <v>3.2</v>
      </c>
      <c r="Q27" s="3">
        <v>2.3999999999999998E-3</v>
      </c>
      <c r="R27">
        <f t="shared" si="12"/>
        <v>-1.0000000000000002E-4</v>
      </c>
      <c r="S27" s="3">
        <v>2</v>
      </c>
      <c r="T27" s="3">
        <f t="shared" si="8"/>
        <v>0.29340277777777773</v>
      </c>
      <c r="U27" s="3">
        <v>0.4</v>
      </c>
      <c r="V27" s="3">
        <f t="shared" si="9"/>
        <v>1.8333333333333333</v>
      </c>
      <c r="W27" s="3">
        <f t="shared" si="10"/>
        <v>0.61538194444444416</v>
      </c>
      <c r="X27" s="3">
        <f t="shared" si="11"/>
        <v>1.6250070529820015</v>
      </c>
    </row>
    <row r="28" spans="1:24" x14ac:dyDescent="0.25">
      <c r="B28" s="2">
        <v>170000000000</v>
      </c>
      <c r="C28" s="2">
        <v>78000000000</v>
      </c>
      <c r="D28" s="3">
        <v>2.3999999999999998E-3</v>
      </c>
      <c r="E28">
        <f t="shared" ref="E28:E35" si="16">E27+0.0002</f>
        <v>-5.0000000000000001E-4</v>
      </c>
      <c r="F28" s="3">
        <v>1</v>
      </c>
      <c r="G28" s="3">
        <f t="shared" si="15"/>
        <v>0.29166666666666663</v>
      </c>
      <c r="H28" s="3">
        <v>0.2</v>
      </c>
      <c r="I28" s="3">
        <f t="shared" si="13"/>
        <v>1.1666666666666665</v>
      </c>
      <c r="J28" s="3">
        <f t="shared" si="14"/>
        <v>114233333333.33336</v>
      </c>
      <c r="O28" s="3">
        <v>2.5</v>
      </c>
      <c r="P28" s="3">
        <v>3.2</v>
      </c>
      <c r="Q28" s="3">
        <v>2.3999999999999998E-3</v>
      </c>
      <c r="R28">
        <f t="shared" si="12"/>
        <v>9.9999999999999991E-5</v>
      </c>
      <c r="S28" s="3">
        <v>2</v>
      </c>
      <c r="T28" s="3">
        <f t="shared" si="8"/>
        <v>0.21006944444444442</v>
      </c>
      <c r="U28" s="3">
        <v>0.4</v>
      </c>
      <c r="V28" s="3">
        <f t="shared" si="9"/>
        <v>1.8333333333333333</v>
      </c>
      <c r="W28" s="3">
        <f t="shared" si="10"/>
        <v>0.55704861111111104</v>
      </c>
      <c r="X28" s="3">
        <f t="shared" si="11"/>
        <v>1.7951754659352992</v>
      </c>
    </row>
    <row r="29" spans="1:24" x14ac:dyDescent="0.25">
      <c r="B29" s="2">
        <v>170000000000</v>
      </c>
      <c r="C29" s="2">
        <v>78000000000</v>
      </c>
      <c r="D29" s="3">
        <v>2.3999999999999998E-3</v>
      </c>
      <c r="E29">
        <f t="shared" si="16"/>
        <v>-3.0000000000000003E-4</v>
      </c>
      <c r="F29" s="3">
        <v>1</v>
      </c>
      <c r="G29" s="3">
        <f t="shared" si="15"/>
        <v>0.375</v>
      </c>
      <c r="H29" s="3">
        <v>0.2</v>
      </c>
      <c r="I29" s="3">
        <f t="shared" si="13"/>
        <v>1.5</v>
      </c>
      <c r="J29" s="3">
        <f t="shared" si="14"/>
        <v>98300000000</v>
      </c>
      <c r="O29" s="3">
        <v>2.5</v>
      </c>
      <c r="P29" s="3">
        <v>3.2</v>
      </c>
      <c r="Q29" s="3">
        <v>2.3999999999999998E-3</v>
      </c>
      <c r="R29">
        <f t="shared" si="12"/>
        <v>3.0000000000000003E-4</v>
      </c>
      <c r="S29" s="3">
        <v>2</v>
      </c>
      <c r="T29" s="3">
        <f t="shared" si="8"/>
        <v>0.140625</v>
      </c>
      <c r="U29" s="3">
        <v>0.4</v>
      </c>
      <c r="V29" s="3">
        <f t="shared" si="9"/>
        <v>1.5</v>
      </c>
      <c r="W29" s="3">
        <f t="shared" si="10"/>
        <v>0.88843749999999999</v>
      </c>
      <c r="X29" s="3">
        <f t="shared" si="11"/>
        <v>1.1255715793176222</v>
      </c>
    </row>
    <row r="30" spans="1:24" x14ac:dyDescent="0.25">
      <c r="B30" s="2">
        <v>170000000000</v>
      </c>
      <c r="C30" s="2">
        <v>78000000000</v>
      </c>
      <c r="D30" s="3">
        <v>2.3999999999999998E-3</v>
      </c>
      <c r="E30">
        <f t="shared" si="16"/>
        <v>-1.0000000000000002E-4</v>
      </c>
      <c r="F30" s="3">
        <v>1</v>
      </c>
      <c r="G30" s="3">
        <f t="shared" si="15"/>
        <v>0.45833333333333331</v>
      </c>
      <c r="H30" s="3">
        <v>0.2</v>
      </c>
      <c r="I30" s="3">
        <f t="shared" si="13"/>
        <v>1.8333333333333333</v>
      </c>
      <c r="J30" s="3">
        <f t="shared" si="14"/>
        <v>82366666666.666687</v>
      </c>
      <c r="O30" s="3">
        <v>2.5</v>
      </c>
      <c r="P30" s="3">
        <v>3.2</v>
      </c>
      <c r="Q30" s="3">
        <v>2.3999999999999998E-3</v>
      </c>
      <c r="R30">
        <f t="shared" si="12"/>
        <v>5.0000000000000001E-4</v>
      </c>
      <c r="S30" s="3">
        <v>2</v>
      </c>
      <c r="T30" s="3">
        <f t="shared" si="8"/>
        <v>8.506944444444442E-2</v>
      </c>
      <c r="U30" s="3">
        <v>0.4</v>
      </c>
      <c r="V30" s="3">
        <f t="shared" si="9"/>
        <v>1.1666666666666665</v>
      </c>
      <c r="W30" s="3">
        <f t="shared" si="10"/>
        <v>1.2295486111111109</v>
      </c>
      <c r="X30" s="3">
        <f t="shared" si="11"/>
        <v>0.81330659964417851</v>
      </c>
    </row>
    <row r="31" spans="1:24" x14ac:dyDescent="0.25">
      <c r="B31" s="2">
        <v>170000000000</v>
      </c>
      <c r="C31" s="2">
        <v>78000000000</v>
      </c>
      <c r="D31" s="3">
        <v>2.3999999999999998E-3</v>
      </c>
      <c r="E31">
        <f t="shared" si="16"/>
        <v>9.9999999999999991E-5</v>
      </c>
      <c r="F31" s="3">
        <v>1</v>
      </c>
      <c r="G31" s="3">
        <f t="shared" si="15"/>
        <v>0.54166666666666663</v>
      </c>
      <c r="H31" s="3">
        <v>0.2</v>
      </c>
      <c r="I31" s="3">
        <f t="shared" si="13"/>
        <v>1.8333333333333333</v>
      </c>
      <c r="J31" s="3">
        <f t="shared" si="14"/>
        <v>74700000000</v>
      </c>
      <c r="O31" s="3">
        <v>2.5</v>
      </c>
      <c r="P31" s="3">
        <v>3.2</v>
      </c>
      <c r="Q31" s="3">
        <v>2.3999999999999998E-3</v>
      </c>
      <c r="R31">
        <f t="shared" si="12"/>
        <v>6.9999999999999999E-4</v>
      </c>
      <c r="S31" s="3">
        <v>2</v>
      </c>
      <c r="T31" s="3">
        <f t="shared" si="8"/>
        <v>4.3402777777777769E-2</v>
      </c>
      <c r="U31" s="3">
        <v>0.4</v>
      </c>
      <c r="V31" s="3">
        <f t="shared" si="9"/>
        <v>0.83333333333333326</v>
      </c>
      <c r="W31" s="3">
        <f t="shared" si="10"/>
        <v>1.5803819444444445</v>
      </c>
      <c r="X31" s="3">
        <f t="shared" si="11"/>
        <v>0.63275843128638909</v>
      </c>
    </row>
    <row r="32" spans="1:24" x14ac:dyDescent="0.25">
      <c r="B32" s="2">
        <v>170000000000</v>
      </c>
      <c r="C32" s="2">
        <v>78000000000</v>
      </c>
      <c r="D32" s="3">
        <v>2.3999999999999998E-3</v>
      </c>
      <c r="E32">
        <f t="shared" si="16"/>
        <v>3.0000000000000003E-4</v>
      </c>
      <c r="F32" s="3">
        <v>1</v>
      </c>
      <c r="G32" s="3">
        <f t="shared" si="15"/>
        <v>0.625</v>
      </c>
      <c r="H32" s="3">
        <v>0.2</v>
      </c>
      <c r="I32" s="3">
        <f t="shared" si="13"/>
        <v>1.5</v>
      </c>
      <c r="J32" s="3">
        <f t="shared" si="14"/>
        <v>75300000000</v>
      </c>
      <c r="O32" s="3">
        <v>2.5</v>
      </c>
      <c r="P32" s="3">
        <v>3.2</v>
      </c>
      <c r="Q32" s="3">
        <v>2.3999999999999998E-3</v>
      </c>
      <c r="R32">
        <f t="shared" si="12"/>
        <v>8.9999999999999998E-4</v>
      </c>
      <c r="S32" s="3">
        <v>2</v>
      </c>
      <c r="T32" s="3">
        <f t="shared" si="8"/>
        <v>1.5625E-2</v>
      </c>
      <c r="U32" s="3">
        <v>0.4</v>
      </c>
      <c r="V32" s="3">
        <f t="shared" si="9"/>
        <v>0.5</v>
      </c>
      <c r="W32" s="3">
        <f t="shared" si="10"/>
        <v>1.9409374999999998</v>
      </c>
      <c r="X32" s="3">
        <f t="shared" si="11"/>
        <v>0.51521494123329581</v>
      </c>
    </row>
    <row r="33" spans="1:24" x14ac:dyDescent="0.25">
      <c r="B33" s="2">
        <v>170000000000</v>
      </c>
      <c r="C33" s="2">
        <v>78000000000</v>
      </c>
      <c r="D33" s="3">
        <v>2.3999999999999998E-3</v>
      </c>
      <c r="E33">
        <f t="shared" si="16"/>
        <v>5.0000000000000001E-4</v>
      </c>
      <c r="F33" s="3">
        <v>1</v>
      </c>
      <c r="G33" s="3">
        <f t="shared" si="15"/>
        <v>0.70833333333333337</v>
      </c>
      <c r="H33" s="3">
        <v>0.2</v>
      </c>
      <c r="I33" s="3">
        <f t="shared" si="13"/>
        <v>1.1666666666666665</v>
      </c>
      <c r="J33" s="3">
        <f t="shared" si="14"/>
        <v>75900000000</v>
      </c>
      <c r="O33" s="3">
        <v>2.5</v>
      </c>
      <c r="P33" s="3">
        <v>3.2</v>
      </c>
      <c r="Q33" s="3">
        <v>2.3999999999999998E-3</v>
      </c>
      <c r="R33" s="4">
        <v>1.1000000000000001E-3</v>
      </c>
      <c r="S33" s="3">
        <v>2</v>
      </c>
      <c r="T33" s="3">
        <f t="shared" si="8"/>
        <v>1.7361111111111034E-3</v>
      </c>
      <c r="U33" s="3">
        <v>0.4</v>
      </c>
      <c r="V33" s="3">
        <f t="shared" si="9"/>
        <v>0.1666666666666663</v>
      </c>
      <c r="W33" s="3">
        <f t="shared" si="10"/>
        <v>2.3112152777777784</v>
      </c>
      <c r="X33" s="3">
        <f t="shared" si="11"/>
        <v>0.43267280621366216</v>
      </c>
    </row>
    <row r="34" spans="1:24" x14ac:dyDescent="0.25">
      <c r="B34" s="2">
        <v>170000000000</v>
      </c>
      <c r="C34" s="2">
        <v>78000000000</v>
      </c>
      <c r="D34" s="3">
        <v>2.3999999999999998E-3</v>
      </c>
      <c r="E34">
        <f t="shared" si="16"/>
        <v>6.9999999999999999E-4</v>
      </c>
      <c r="F34" s="3">
        <v>1</v>
      </c>
      <c r="G34" s="3">
        <f t="shared" si="15"/>
        <v>0.79166666666666674</v>
      </c>
      <c r="H34" s="3">
        <v>0.2</v>
      </c>
      <c r="I34" s="3">
        <f t="shared" si="13"/>
        <v>0.83333333333333326</v>
      </c>
      <c r="J34" s="3">
        <f t="shared" si="14"/>
        <v>76500000000</v>
      </c>
    </row>
    <row r="35" spans="1:24" x14ac:dyDescent="0.25">
      <c r="B35" s="2">
        <v>170000000000</v>
      </c>
      <c r="C35" s="2">
        <v>78000000000</v>
      </c>
      <c r="D35" s="3">
        <v>2.3999999999999998E-3</v>
      </c>
      <c r="E35">
        <f t="shared" si="16"/>
        <v>8.9999999999999998E-4</v>
      </c>
      <c r="F35" s="3">
        <v>1</v>
      </c>
      <c r="G35" s="3">
        <f t="shared" si="15"/>
        <v>0.875</v>
      </c>
      <c r="H35" s="3">
        <v>0.2</v>
      </c>
      <c r="I35" s="3">
        <f t="shared" si="13"/>
        <v>0.5</v>
      </c>
      <c r="J35" s="3">
        <f t="shared" si="14"/>
        <v>77100000000</v>
      </c>
      <c r="N35" s="8" t="s">
        <v>16</v>
      </c>
      <c r="O35" s="1" t="s">
        <v>17</v>
      </c>
      <c r="P35" s="1" t="s">
        <v>18</v>
      </c>
      <c r="Q35" s="1" t="s">
        <v>19</v>
      </c>
      <c r="R35" s="1" t="s">
        <v>20</v>
      </c>
      <c r="S35" s="1" t="s">
        <v>21</v>
      </c>
      <c r="T35" s="1" t="s">
        <v>22</v>
      </c>
      <c r="U35" s="1" t="s">
        <v>23</v>
      </c>
      <c r="V35" s="1" t="s">
        <v>24</v>
      </c>
      <c r="W35" s="1" t="s">
        <v>25</v>
      </c>
    </row>
    <row r="36" spans="1:24" x14ac:dyDescent="0.25">
      <c r="B36" s="2">
        <v>170000000000</v>
      </c>
      <c r="C36" s="2">
        <v>78000000000</v>
      </c>
      <c r="D36" s="3">
        <v>2.3999999999999998E-3</v>
      </c>
      <c r="E36" s="4">
        <v>1.1000000000000001E-3</v>
      </c>
      <c r="F36" s="3">
        <v>1</v>
      </c>
      <c r="G36" s="3">
        <f t="shared" si="15"/>
        <v>0.95833333333333348</v>
      </c>
      <c r="H36" s="3">
        <v>0.2</v>
      </c>
      <c r="I36" s="3">
        <f t="shared" si="13"/>
        <v>0.1666666666666663</v>
      </c>
      <c r="J36" s="3">
        <f t="shared" si="14"/>
        <v>77699999999.999985</v>
      </c>
      <c r="O36" s="3">
        <v>5300</v>
      </c>
      <c r="P36" s="3">
        <v>5800</v>
      </c>
      <c r="Q36" s="3">
        <v>2.3999999999999998E-3</v>
      </c>
      <c r="R36">
        <v>-1.1000000000000001E-3</v>
      </c>
      <c r="S36" s="3">
        <v>2</v>
      </c>
      <c r="T36" s="3">
        <f>(0.5-R36/Q36)^S36</f>
        <v>0.91840277777777801</v>
      </c>
      <c r="U36" s="3">
        <v>0.4</v>
      </c>
      <c r="V36" s="3">
        <f>2*(1-2*ABS(R36)/Q36)</f>
        <v>0.1666666666666663</v>
      </c>
      <c r="W36" s="3">
        <f>(P36-O36)*T36+O36-(O36+P36)*(U36/2)*V36</f>
        <v>5389.2013888888896</v>
      </c>
    </row>
    <row r="37" spans="1:24" x14ac:dyDescent="0.25">
      <c r="O37" s="3">
        <v>5300</v>
      </c>
      <c r="P37" s="3">
        <v>5800</v>
      </c>
      <c r="Q37" s="3">
        <v>2.3999999999999998E-3</v>
      </c>
      <c r="R37">
        <f>-0.001+0.0001</f>
        <v>-8.9999999999999998E-4</v>
      </c>
      <c r="S37" s="3">
        <v>2</v>
      </c>
      <c r="T37" s="3">
        <f t="shared" ref="T37:T47" si="17">(0.5-R37/Q37)^S37</f>
        <v>0.765625</v>
      </c>
      <c r="U37" s="3">
        <v>0.4</v>
      </c>
      <c r="V37" s="3">
        <f t="shared" ref="V37:V47" si="18">2*(1-2*ABS(R37)/Q37)</f>
        <v>0.5</v>
      </c>
      <c r="W37" s="3">
        <f t="shared" ref="W37:W47" si="19">(P37-O37)*T37+O37-(O37+P37)*(U37/2)*V37</f>
        <v>4572.8125</v>
      </c>
    </row>
    <row r="38" spans="1:24" x14ac:dyDescent="0.25">
      <c r="O38" s="3">
        <v>5300</v>
      </c>
      <c r="P38" s="3">
        <v>5800</v>
      </c>
      <c r="Q38" s="3">
        <v>2.3999999999999998E-3</v>
      </c>
      <c r="R38">
        <f>R37+0.0002</f>
        <v>-6.9999999999999999E-4</v>
      </c>
      <c r="S38" s="3">
        <v>2</v>
      </c>
      <c r="T38" s="3">
        <f t="shared" si="17"/>
        <v>0.62673611111111127</v>
      </c>
      <c r="U38" s="3">
        <v>0.4</v>
      </c>
      <c r="V38" s="3">
        <f t="shared" si="18"/>
        <v>0.83333333333333326</v>
      </c>
      <c r="W38" s="3">
        <f t="shared" si="19"/>
        <v>3763.3680555555557</v>
      </c>
    </row>
    <row r="39" spans="1:24" x14ac:dyDescent="0.25">
      <c r="A39" t="s">
        <v>99</v>
      </c>
      <c r="B39" s="1" t="s">
        <v>89</v>
      </c>
      <c r="C39" s="1" t="s">
        <v>90</v>
      </c>
      <c r="D39" s="1" t="s">
        <v>91</v>
      </c>
      <c r="E39" s="1" t="s">
        <v>92</v>
      </c>
      <c r="F39" s="1" t="s">
        <v>93</v>
      </c>
      <c r="G39" s="1" t="s">
        <v>94</v>
      </c>
      <c r="H39" s="1" t="s">
        <v>95</v>
      </c>
      <c r="I39" s="1" t="s">
        <v>96</v>
      </c>
      <c r="J39" s="1" t="s">
        <v>97</v>
      </c>
      <c r="O39" s="3">
        <v>5300</v>
      </c>
      <c r="P39" s="3">
        <v>5800</v>
      </c>
      <c r="Q39" s="3">
        <v>2.3999999999999998E-3</v>
      </c>
      <c r="R39">
        <f t="shared" ref="R39:R46" si="20">R38+0.0002</f>
        <v>-5.0000000000000001E-4</v>
      </c>
      <c r="S39" s="3">
        <v>2</v>
      </c>
      <c r="T39" s="3">
        <f t="shared" si="17"/>
        <v>0.50173611111111116</v>
      </c>
      <c r="U39" s="3">
        <v>0.4</v>
      </c>
      <c r="V39" s="3">
        <f t="shared" si="18"/>
        <v>1.1666666666666665</v>
      </c>
      <c r="W39" s="3">
        <f t="shared" si="19"/>
        <v>2960.8680555555561</v>
      </c>
    </row>
    <row r="40" spans="1:24" x14ac:dyDescent="0.25">
      <c r="B40" s="2">
        <v>286000000000</v>
      </c>
      <c r="C40" s="2">
        <v>166000000000</v>
      </c>
      <c r="D40" s="3">
        <v>2.3999999999999998E-3</v>
      </c>
      <c r="E40">
        <v>-1.1000000000000001E-3</v>
      </c>
      <c r="F40" s="3">
        <v>1</v>
      </c>
      <c r="G40" s="3">
        <f>(0.5+E40/D40)^F40</f>
        <v>4.1666666666666574E-2</v>
      </c>
      <c r="H40" s="3">
        <v>0.2</v>
      </c>
      <c r="I40" s="3">
        <f>2*(1-2*ABS(E40)/D40)</f>
        <v>0.1666666666666663</v>
      </c>
      <c r="J40" s="3">
        <f>(C40-B40)*G40+B40-(B40+C40)*(H40/2)*I40</f>
        <v>273466666666.66669</v>
      </c>
      <c r="O40" s="3">
        <v>5300</v>
      </c>
      <c r="P40" s="3">
        <v>5800</v>
      </c>
      <c r="Q40" s="3">
        <v>2.3999999999999998E-3</v>
      </c>
      <c r="R40">
        <f t="shared" si="20"/>
        <v>-3.0000000000000003E-4</v>
      </c>
      <c r="S40" s="3">
        <v>2</v>
      </c>
      <c r="T40" s="3">
        <f t="shared" si="17"/>
        <v>0.390625</v>
      </c>
      <c r="U40" s="3">
        <v>0.4</v>
      </c>
      <c r="V40" s="3">
        <f t="shared" si="18"/>
        <v>1.5</v>
      </c>
      <c r="W40" s="3">
        <f t="shared" si="19"/>
        <v>2165.3125</v>
      </c>
    </row>
    <row r="41" spans="1:24" x14ac:dyDescent="0.25">
      <c r="B41" s="2">
        <v>286000000000</v>
      </c>
      <c r="C41" s="2">
        <v>166000000000</v>
      </c>
      <c r="D41" s="3">
        <v>2.3999999999999998E-3</v>
      </c>
      <c r="E41">
        <f>-0.001+0.0001</f>
        <v>-8.9999999999999998E-4</v>
      </c>
      <c r="F41" s="3">
        <v>1</v>
      </c>
      <c r="G41" s="3">
        <f>(0.5+E41/D41)^F41</f>
        <v>0.125</v>
      </c>
      <c r="H41" s="3">
        <v>0.2</v>
      </c>
      <c r="I41" s="3">
        <f t="shared" ref="I41:I51" si="21">2*(1-2*ABS(E41)/D41)</f>
        <v>0.5</v>
      </c>
      <c r="J41" s="3">
        <f t="shared" ref="J41:J51" si="22">(C41-B41)*G41+B41-(B41+C41)*(H41/2)*I41</f>
        <v>248400000000</v>
      </c>
      <c r="O41" s="3">
        <v>5300</v>
      </c>
      <c r="P41" s="3">
        <v>5800</v>
      </c>
      <c r="Q41" s="3">
        <v>2.3999999999999998E-3</v>
      </c>
      <c r="R41">
        <f t="shared" si="20"/>
        <v>-1.0000000000000002E-4</v>
      </c>
      <c r="S41" s="3">
        <v>2</v>
      </c>
      <c r="T41" s="3">
        <f t="shared" si="17"/>
        <v>0.29340277777777773</v>
      </c>
      <c r="U41" s="3">
        <v>0.4</v>
      </c>
      <c r="V41" s="3">
        <f t="shared" si="18"/>
        <v>1.8333333333333333</v>
      </c>
      <c r="W41" s="3">
        <f t="shared" si="19"/>
        <v>1376.7013888888887</v>
      </c>
    </row>
    <row r="42" spans="1:24" x14ac:dyDescent="0.25">
      <c r="B42" s="2">
        <v>286000000000</v>
      </c>
      <c r="C42" s="2">
        <v>166000000000</v>
      </c>
      <c r="D42" s="3">
        <v>2.3999999999999998E-3</v>
      </c>
      <c r="E42">
        <f>E41+0.0002</f>
        <v>-6.9999999999999999E-4</v>
      </c>
      <c r="F42" s="3">
        <v>1</v>
      </c>
      <c r="G42" s="3">
        <f t="shared" ref="G42:G51" si="23">(0.5+E42/D42)^F42</f>
        <v>0.20833333333333331</v>
      </c>
      <c r="H42" s="3">
        <v>0.2</v>
      </c>
      <c r="I42" s="3">
        <f t="shared" si="21"/>
        <v>0.83333333333333326</v>
      </c>
      <c r="J42" s="3">
        <f t="shared" si="22"/>
        <v>223333333333.33334</v>
      </c>
      <c r="O42" s="3">
        <v>5300</v>
      </c>
      <c r="P42" s="3">
        <v>5800</v>
      </c>
      <c r="Q42" s="3">
        <v>2.3999999999999998E-3</v>
      </c>
      <c r="R42">
        <f t="shared" si="20"/>
        <v>9.9999999999999991E-5</v>
      </c>
      <c r="S42" s="3">
        <v>2</v>
      </c>
      <c r="T42" s="3">
        <f t="shared" si="17"/>
        <v>0.21006944444444442</v>
      </c>
      <c r="U42" s="3">
        <v>0.4</v>
      </c>
      <c r="V42" s="3">
        <f t="shared" si="18"/>
        <v>1.8333333333333333</v>
      </c>
      <c r="W42" s="3">
        <f t="shared" si="19"/>
        <v>1335.0347222222226</v>
      </c>
    </row>
    <row r="43" spans="1:24" x14ac:dyDescent="0.25">
      <c r="B43" s="2">
        <v>286000000000</v>
      </c>
      <c r="C43" s="2">
        <v>166000000000</v>
      </c>
      <c r="D43" s="3">
        <v>2.3999999999999998E-3</v>
      </c>
      <c r="E43">
        <f t="shared" ref="E43:E50" si="24">E42+0.0002</f>
        <v>-5.0000000000000001E-4</v>
      </c>
      <c r="F43" s="3">
        <v>1</v>
      </c>
      <c r="G43" s="3">
        <f t="shared" si="23"/>
        <v>0.29166666666666663</v>
      </c>
      <c r="H43" s="3">
        <v>0.2</v>
      </c>
      <c r="I43" s="3">
        <f t="shared" si="21"/>
        <v>1.1666666666666665</v>
      </c>
      <c r="J43" s="3">
        <f t="shared" si="22"/>
        <v>198266666666.66669</v>
      </c>
      <c r="O43" s="3">
        <v>5300</v>
      </c>
      <c r="P43" s="3">
        <v>5800</v>
      </c>
      <c r="Q43" s="3">
        <v>2.3999999999999998E-3</v>
      </c>
      <c r="R43">
        <f t="shared" si="20"/>
        <v>3.0000000000000003E-4</v>
      </c>
      <c r="S43" s="3">
        <v>2</v>
      </c>
      <c r="T43" s="3">
        <f t="shared" si="17"/>
        <v>0.140625</v>
      </c>
      <c r="U43" s="3">
        <v>0.4</v>
      </c>
      <c r="V43" s="3">
        <f t="shared" si="18"/>
        <v>1.5</v>
      </c>
      <c r="W43" s="3">
        <f t="shared" si="19"/>
        <v>2040.3125</v>
      </c>
    </row>
    <row r="44" spans="1:24" x14ac:dyDescent="0.25">
      <c r="B44" s="2">
        <v>286000000000</v>
      </c>
      <c r="C44" s="2">
        <v>166000000000</v>
      </c>
      <c r="D44" s="3">
        <v>2.3999999999999998E-3</v>
      </c>
      <c r="E44">
        <f t="shared" si="24"/>
        <v>-3.0000000000000003E-4</v>
      </c>
      <c r="F44" s="3">
        <v>1</v>
      </c>
      <c r="G44" s="3">
        <f t="shared" si="23"/>
        <v>0.375</v>
      </c>
      <c r="H44" s="3">
        <v>0.2</v>
      </c>
      <c r="I44" s="3">
        <f t="shared" si="21"/>
        <v>1.5</v>
      </c>
      <c r="J44" s="3">
        <f t="shared" si="22"/>
        <v>173200000000</v>
      </c>
      <c r="O44" s="3">
        <v>5300</v>
      </c>
      <c r="P44" s="3">
        <v>5800</v>
      </c>
      <c r="Q44" s="3">
        <v>2.3999999999999998E-3</v>
      </c>
      <c r="R44">
        <f t="shared" si="20"/>
        <v>5.0000000000000001E-4</v>
      </c>
      <c r="S44" s="3">
        <v>2</v>
      </c>
      <c r="T44" s="3">
        <f t="shared" si="17"/>
        <v>8.506944444444442E-2</v>
      </c>
      <c r="U44" s="3">
        <v>0.4</v>
      </c>
      <c r="V44" s="3">
        <f t="shared" si="18"/>
        <v>1.1666666666666665</v>
      </c>
      <c r="W44" s="3">
        <f t="shared" si="19"/>
        <v>2752.5347222222231</v>
      </c>
    </row>
    <row r="45" spans="1:24" x14ac:dyDescent="0.25">
      <c r="B45" s="2">
        <v>286000000000</v>
      </c>
      <c r="C45" s="2">
        <v>166000000000</v>
      </c>
      <c r="D45" s="3">
        <v>2.3999999999999998E-3</v>
      </c>
      <c r="E45">
        <f t="shared" si="24"/>
        <v>-1.0000000000000002E-4</v>
      </c>
      <c r="F45" s="3">
        <v>1</v>
      </c>
      <c r="G45" s="3">
        <f t="shared" si="23"/>
        <v>0.45833333333333331</v>
      </c>
      <c r="H45" s="3">
        <v>0.2</v>
      </c>
      <c r="I45" s="3">
        <f t="shared" si="21"/>
        <v>1.8333333333333333</v>
      </c>
      <c r="J45" s="3">
        <f t="shared" si="22"/>
        <v>148133333333.33334</v>
      </c>
      <c r="O45" s="3">
        <v>5300</v>
      </c>
      <c r="P45" s="3">
        <v>5800</v>
      </c>
      <c r="Q45" s="3">
        <v>2.3999999999999998E-3</v>
      </c>
      <c r="R45">
        <f t="shared" si="20"/>
        <v>6.9999999999999999E-4</v>
      </c>
      <c r="S45" s="3">
        <v>2</v>
      </c>
      <c r="T45" s="3">
        <f t="shared" si="17"/>
        <v>4.3402777777777769E-2</v>
      </c>
      <c r="U45" s="3">
        <v>0.4</v>
      </c>
      <c r="V45" s="3">
        <f t="shared" si="18"/>
        <v>0.83333333333333326</v>
      </c>
      <c r="W45" s="3">
        <f t="shared" si="19"/>
        <v>3471.7013888888887</v>
      </c>
    </row>
    <row r="46" spans="1:24" x14ac:dyDescent="0.25">
      <c r="B46" s="2">
        <v>286000000000</v>
      </c>
      <c r="C46" s="2">
        <v>166000000000</v>
      </c>
      <c r="D46" s="3">
        <v>2.3999999999999998E-3</v>
      </c>
      <c r="E46">
        <f t="shared" si="24"/>
        <v>9.9999999999999991E-5</v>
      </c>
      <c r="F46" s="3">
        <v>1</v>
      </c>
      <c r="G46" s="3">
        <f t="shared" si="23"/>
        <v>0.54166666666666663</v>
      </c>
      <c r="H46" s="3">
        <v>0.2</v>
      </c>
      <c r="I46" s="3">
        <f t="shared" si="21"/>
        <v>1.8333333333333333</v>
      </c>
      <c r="J46" s="3">
        <f t="shared" si="22"/>
        <v>138133333333.33334</v>
      </c>
      <c r="O46" s="3">
        <v>5300</v>
      </c>
      <c r="P46" s="3">
        <v>5800</v>
      </c>
      <c r="Q46" s="3">
        <v>2.3999999999999998E-3</v>
      </c>
      <c r="R46">
        <f t="shared" si="20"/>
        <v>8.9999999999999998E-4</v>
      </c>
      <c r="S46" s="3">
        <v>2</v>
      </c>
      <c r="T46" s="3">
        <f t="shared" si="17"/>
        <v>1.5625E-2</v>
      </c>
      <c r="U46" s="3">
        <v>0.4</v>
      </c>
      <c r="V46" s="3">
        <f t="shared" si="18"/>
        <v>0.5</v>
      </c>
      <c r="W46" s="3">
        <f t="shared" si="19"/>
        <v>4197.8125</v>
      </c>
    </row>
    <row r="47" spans="1:24" x14ac:dyDescent="0.25">
      <c r="B47" s="2">
        <v>286000000000</v>
      </c>
      <c r="C47" s="2">
        <v>166000000000</v>
      </c>
      <c r="D47" s="3">
        <v>2.3999999999999998E-3</v>
      </c>
      <c r="E47">
        <f t="shared" si="24"/>
        <v>3.0000000000000003E-4</v>
      </c>
      <c r="F47" s="3">
        <v>1</v>
      </c>
      <c r="G47" s="3">
        <f t="shared" si="23"/>
        <v>0.625</v>
      </c>
      <c r="H47" s="3">
        <v>0.2</v>
      </c>
      <c r="I47" s="3">
        <f t="shared" si="21"/>
        <v>1.5</v>
      </c>
      <c r="J47" s="3">
        <f t="shared" si="22"/>
        <v>143200000000</v>
      </c>
      <c r="O47" s="3">
        <v>5300</v>
      </c>
      <c r="P47" s="3">
        <v>5800</v>
      </c>
      <c r="Q47" s="3">
        <v>2.3999999999999998E-3</v>
      </c>
      <c r="R47" s="4">
        <v>1.1000000000000001E-3</v>
      </c>
      <c r="S47" s="3">
        <v>2</v>
      </c>
      <c r="T47" s="3">
        <f t="shared" si="17"/>
        <v>1.7361111111111034E-3</v>
      </c>
      <c r="U47" s="3">
        <v>0.4</v>
      </c>
      <c r="V47" s="3">
        <f t="shared" si="18"/>
        <v>0.1666666666666663</v>
      </c>
      <c r="W47" s="3">
        <f t="shared" si="19"/>
        <v>4930.8680555555566</v>
      </c>
    </row>
    <row r="48" spans="1:24" x14ac:dyDescent="0.25">
      <c r="B48" s="2">
        <v>286000000000</v>
      </c>
      <c r="C48" s="2">
        <v>166000000000</v>
      </c>
      <c r="D48" s="3">
        <v>2.3999999999999998E-3</v>
      </c>
      <c r="E48">
        <f t="shared" si="24"/>
        <v>5.0000000000000001E-4</v>
      </c>
      <c r="F48" s="3">
        <v>1</v>
      </c>
      <c r="G48" s="3">
        <f t="shared" si="23"/>
        <v>0.70833333333333337</v>
      </c>
      <c r="H48" s="3">
        <v>0.2</v>
      </c>
      <c r="I48" s="3">
        <f t="shared" si="21"/>
        <v>1.1666666666666665</v>
      </c>
      <c r="J48" s="3">
        <f t="shared" si="22"/>
        <v>148266666666.66669</v>
      </c>
    </row>
    <row r="49" spans="1:42" x14ac:dyDescent="0.25">
      <c r="B49" s="2">
        <v>286000000000</v>
      </c>
      <c r="C49" s="2">
        <v>166000000000</v>
      </c>
      <c r="D49" s="3">
        <v>2.3999999999999998E-3</v>
      </c>
      <c r="E49">
        <f t="shared" si="24"/>
        <v>6.9999999999999999E-4</v>
      </c>
      <c r="F49" s="3">
        <v>1</v>
      </c>
      <c r="G49" s="3">
        <f t="shared" si="23"/>
        <v>0.79166666666666674</v>
      </c>
      <c r="H49" s="3">
        <v>0.2</v>
      </c>
      <c r="I49" s="3">
        <f t="shared" si="21"/>
        <v>0.83333333333333326</v>
      </c>
      <c r="J49" s="3">
        <f t="shared" si="22"/>
        <v>153333333333.33334</v>
      </c>
    </row>
    <row r="50" spans="1:42" x14ac:dyDescent="0.25">
      <c r="B50" s="2">
        <v>286000000000</v>
      </c>
      <c r="C50" s="2">
        <v>166000000000</v>
      </c>
      <c r="D50" s="3">
        <v>2.3999999999999998E-3</v>
      </c>
      <c r="E50">
        <f t="shared" si="24"/>
        <v>8.9999999999999998E-4</v>
      </c>
      <c r="F50" s="3">
        <v>1</v>
      </c>
      <c r="G50" s="3">
        <f t="shared" si="23"/>
        <v>0.875</v>
      </c>
      <c r="H50" s="3">
        <v>0.2</v>
      </c>
      <c r="I50" s="3">
        <f t="shared" si="21"/>
        <v>0.5</v>
      </c>
      <c r="J50" s="3">
        <f t="shared" si="22"/>
        <v>158400000000</v>
      </c>
    </row>
    <row r="51" spans="1:42" x14ac:dyDescent="0.25">
      <c r="B51" s="2">
        <v>286000000000</v>
      </c>
      <c r="C51" s="2">
        <v>166000000000</v>
      </c>
      <c r="D51" s="3">
        <v>2.3999999999999998E-3</v>
      </c>
      <c r="E51" s="4">
        <v>1.1000000000000001E-3</v>
      </c>
      <c r="F51" s="3">
        <v>1</v>
      </c>
      <c r="G51" s="3">
        <f t="shared" si="23"/>
        <v>0.95833333333333348</v>
      </c>
      <c r="H51" s="3">
        <v>0.2</v>
      </c>
      <c r="I51" s="3">
        <f t="shared" si="21"/>
        <v>0.1666666666666663</v>
      </c>
      <c r="J51" s="3">
        <f t="shared" si="22"/>
        <v>163466666666.66669</v>
      </c>
    </row>
    <row r="52" spans="1:42" x14ac:dyDescent="0.25">
      <c r="B52" s="2"/>
    </row>
    <row r="54" spans="1:42" x14ac:dyDescent="0.25">
      <c r="A54" t="s">
        <v>100</v>
      </c>
      <c r="B54" s="1" t="s">
        <v>89</v>
      </c>
      <c r="C54" s="1" t="s">
        <v>90</v>
      </c>
      <c r="D54" s="1" t="s">
        <v>91</v>
      </c>
      <c r="E54" s="1" t="s">
        <v>92</v>
      </c>
      <c r="F54" s="1" t="s">
        <v>93</v>
      </c>
      <c r="G54" s="1" t="s">
        <v>94</v>
      </c>
      <c r="H54" s="1" t="s">
        <v>95</v>
      </c>
      <c r="I54" s="1" t="s">
        <v>96</v>
      </c>
      <c r="J54" s="1" t="s">
        <v>97</v>
      </c>
    </row>
    <row r="55" spans="1:42" x14ac:dyDescent="0.25">
      <c r="B55" s="2">
        <v>173000000000</v>
      </c>
      <c r="C55" s="2">
        <v>77000000000</v>
      </c>
      <c r="D55" s="3">
        <v>2.3999999999999998E-3</v>
      </c>
      <c r="E55">
        <v>-1.1000000000000001E-3</v>
      </c>
      <c r="F55" s="3">
        <v>1</v>
      </c>
      <c r="G55" s="3">
        <f>(0.5+E55/D55)^F55</f>
        <v>4.1666666666666574E-2</v>
      </c>
      <c r="H55" s="3">
        <v>0.2</v>
      </c>
      <c r="I55" s="3">
        <f>2*(1-2*ABS(E55)/D55)</f>
        <v>0.1666666666666663</v>
      </c>
      <c r="J55" s="3">
        <f>(C55-B55)*G55+B55-(B55+C55)*(H55/2)*I55</f>
        <v>164833333333.33334</v>
      </c>
    </row>
    <row r="56" spans="1:42" x14ac:dyDescent="0.25">
      <c r="B56" s="2">
        <v>173000000000</v>
      </c>
      <c r="C56" s="2">
        <v>77000000000</v>
      </c>
      <c r="D56" s="3">
        <v>2.3999999999999998E-3</v>
      </c>
      <c r="E56">
        <f>-0.001+0.0001</f>
        <v>-8.9999999999999998E-4</v>
      </c>
      <c r="F56" s="3">
        <v>1</v>
      </c>
      <c r="G56" s="3">
        <f>(0.5+E56/D56)^F56</f>
        <v>0.125</v>
      </c>
      <c r="H56" s="3">
        <v>0.2</v>
      </c>
      <c r="I56" s="3">
        <f t="shared" ref="I56:I66" si="25">2*(1-2*ABS(E56)/D56)</f>
        <v>0.5</v>
      </c>
      <c r="J56" s="3">
        <f t="shared" ref="J56:J66" si="26">(C56-B56)*G56+B56-(B56+C56)*(H56/2)*I56</f>
        <v>148500000000</v>
      </c>
    </row>
    <row r="57" spans="1:42" x14ac:dyDescent="0.25">
      <c r="B57" s="2">
        <v>173000000000</v>
      </c>
      <c r="C57" s="2">
        <v>77000000000</v>
      </c>
      <c r="D57" s="3">
        <v>2.3999999999999998E-3</v>
      </c>
      <c r="E57">
        <f>E56+0.0002</f>
        <v>-6.9999999999999999E-4</v>
      </c>
      <c r="F57" s="3">
        <v>1</v>
      </c>
      <c r="G57" s="3">
        <f t="shared" ref="G57:G66" si="27">(0.5+E57/D57)^F57</f>
        <v>0.20833333333333331</v>
      </c>
      <c r="H57" s="3">
        <v>0.2</v>
      </c>
      <c r="I57" s="3">
        <f t="shared" si="25"/>
        <v>0.83333333333333326</v>
      </c>
      <c r="J57" s="3">
        <f t="shared" si="26"/>
        <v>132166666666.66667</v>
      </c>
    </row>
    <row r="58" spans="1:42" x14ac:dyDescent="0.25">
      <c r="B58" s="2">
        <v>173000000000</v>
      </c>
      <c r="C58" s="2">
        <v>77000000000</v>
      </c>
      <c r="D58" s="3">
        <v>2.3999999999999998E-3</v>
      </c>
      <c r="E58">
        <f t="shared" ref="E58:E65" si="28">E57+0.0002</f>
        <v>-5.0000000000000001E-4</v>
      </c>
      <c r="F58" s="3">
        <v>1</v>
      </c>
      <c r="G58" s="3">
        <f t="shared" si="27"/>
        <v>0.29166666666666663</v>
      </c>
      <c r="H58" s="3">
        <v>0.2</v>
      </c>
      <c r="I58" s="3">
        <f t="shared" si="25"/>
        <v>1.1666666666666665</v>
      </c>
      <c r="J58" s="3">
        <f t="shared" si="26"/>
        <v>115833333333.33334</v>
      </c>
    </row>
    <row r="59" spans="1:42" x14ac:dyDescent="0.25">
      <c r="B59" s="2">
        <v>173000000000</v>
      </c>
      <c r="C59" s="2">
        <v>77000000000</v>
      </c>
      <c r="D59" s="3">
        <v>2.3999999999999998E-3</v>
      </c>
      <c r="E59">
        <f t="shared" si="28"/>
        <v>-3.0000000000000003E-4</v>
      </c>
      <c r="F59" s="3">
        <v>1</v>
      </c>
      <c r="G59" s="3">
        <f t="shared" si="27"/>
        <v>0.375</v>
      </c>
      <c r="H59" s="3">
        <v>0.2</v>
      </c>
      <c r="I59" s="3">
        <f t="shared" si="25"/>
        <v>1.5</v>
      </c>
      <c r="J59" s="3">
        <f t="shared" si="26"/>
        <v>99500000000</v>
      </c>
    </row>
    <row r="60" spans="1:42" x14ac:dyDescent="0.25">
      <c r="B60" s="2">
        <v>173000000000</v>
      </c>
      <c r="C60" s="2">
        <v>77000000000</v>
      </c>
      <c r="D60" s="3">
        <v>2.3999999999999998E-3</v>
      </c>
      <c r="E60">
        <f t="shared" si="28"/>
        <v>-1.0000000000000002E-4</v>
      </c>
      <c r="F60" s="3">
        <v>1</v>
      </c>
      <c r="G60" s="3">
        <f t="shared" si="27"/>
        <v>0.45833333333333331</v>
      </c>
      <c r="H60" s="3">
        <v>0.2</v>
      </c>
      <c r="I60" s="3">
        <f t="shared" si="25"/>
        <v>1.8333333333333333</v>
      </c>
      <c r="J60" s="3">
        <f t="shared" si="26"/>
        <v>83166666666.666672</v>
      </c>
    </row>
    <row r="61" spans="1:42" x14ac:dyDescent="0.25">
      <c r="B61" s="2">
        <v>173000000000</v>
      </c>
      <c r="C61" s="2">
        <v>77000000000</v>
      </c>
      <c r="D61" s="3">
        <v>2.3999999999999998E-3</v>
      </c>
      <c r="E61">
        <f t="shared" si="28"/>
        <v>9.9999999999999991E-5</v>
      </c>
      <c r="F61" s="3">
        <v>1</v>
      </c>
      <c r="G61" s="3">
        <f t="shared" si="27"/>
        <v>0.54166666666666663</v>
      </c>
      <c r="H61" s="3">
        <v>0.2</v>
      </c>
      <c r="I61" s="3">
        <f t="shared" si="25"/>
        <v>1.8333333333333333</v>
      </c>
      <c r="J61" s="3">
        <f t="shared" si="26"/>
        <v>75166666666.666672</v>
      </c>
    </row>
    <row r="62" spans="1:42" x14ac:dyDescent="0.25">
      <c r="B62" s="2">
        <v>173000000000</v>
      </c>
      <c r="C62" s="2">
        <v>77000000000</v>
      </c>
      <c r="D62" s="3">
        <v>2.3999999999999998E-3</v>
      </c>
      <c r="E62">
        <f t="shared" si="28"/>
        <v>3.0000000000000003E-4</v>
      </c>
      <c r="F62" s="3">
        <v>1</v>
      </c>
      <c r="G62" s="3">
        <f t="shared" si="27"/>
        <v>0.625</v>
      </c>
      <c r="H62" s="3">
        <v>0.2</v>
      </c>
      <c r="I62" s="3">
        <f t="shared" si="25"/>
        <v>1.5</v>
      </c>
      <c r="J62" s="3">
        <f t="shared" si="26"/>
        <v>75500000000</v>
      </c>
      <c r="N62" s="8" t="s">
        <v>26</v>
      </c>
      <c r="O62" s="8" t="s">
        <v>27</v>
      </c>
      <c r="P62" s="8" t="s">
        <v>28</v>
      </c>
      <c r="Q62" s="8" t="s">
        <v>29</v>
      </c>
      <c r="R62" s="8" t="s">
        <v>30</v>
      </c>
      <c r="S62" s="8" t="s">
        <v>8</v>
      </c>
      <c r="T62" s="8" t="s">
        <v>31</v>
      </c>
      <c r="U62" s="8" t="s">
        <v>32</v>
      </c>
      <c r="V62" s="8" t="s">
        <v>33</v>
      </c>
      <c r="W62" s="8" t="s">
        <v>34</v>
      </c>
      <c r="X62" s="8" t="s">
        <v>35</v>
      </c>
      <c r="Y62" s="8" t="s">
        <v>36</v>
      </c>
      <c r="Z62" s="8" t="s">
        <v>37</v>
      </c>
      <c r="AA62" s="8" t="s">
        <v>38</v>
      </c>
      <c r="AB62" s="8" t="s">
        <v>39</v>
      </c>
      <c r="AC62" s="8" t="s">
        <v>40</v>
      </c>
      <c r="AD62" s="8" t="s">
        <v>41</v>
      </c>
      <c r="AE62" s="8" t="s">
        <v>9</v>
      </c>
      <c r="AF62" s="8" t="s">
        <v>42</v>
      </c>
      <c r="AG62" s="8" t="s">
        <v>43</v>
      </c>
      <c r="AH62" s="8" t="s">
        <v>44</v>
      </c>
      <c r="AI62" s="8" t="s">
        <v>11</v>
      </c>
      <c r="AJ62" s="8" t="s">
        <v>16</v>
      </c>
      <c r="AK62" s="8" t="s">
        <v>45</v>
      </c>
      <c r="AL62" s="8" t="s">
        <v>46</v>
      </c>
      <c r="AM62" s="8" t="s">
        <v>47</v>
      </c>
    </row>
    <row r="63" spans="1:42" x14ac:dyDescent="0.25">
      <c r="B63" s="2">
        <v>173000000000</v>
      </c>
      <c r="C63" s="2">
        <v>77000000000</v>
      </c>
      <c r="D63" s="3">
        <v>2.3999999999999998E-3</v>
      </c>
      <c r="E63">
        <f t="shared" si="28"/>
        <v>5.0000000000000001E-4</v>
      </c>
      <c r="F63" s="3">
        <v>1</v>
      </c>
      <c r="G63" s="3">
        <f t="shared" si="27"/>
        <v>0.70833333333333337</v>
      </c>
      <c r="H63" s="3">
        <v>0.2</v>
      </c>
      <c r="I63" s="3">
        <f t="shared" si="25"/>
        <v>1.1666666666666665</v>
      </c>
      <c r="J63" s="3">
        <f t="shared" si="26"/>
        <v>75833333333.333344</v>
      </c>
      <c r="N63">
        <v>1</v>
      </c>
      <c r="O63" s="2">
        <v>148500000000</v>
      </c>
      <c r="P63" s="2">
        <v>148500000000</v>
      </c>
      <c r="Q63" s="2">
        <v>0.36709999999999998</v>
      </c>
      <c r="R63" s="2">
        <v>0</v>
      </c>
      <c r="S63" s="2">
        <v>54320000000</v>
      </c>
      <c r="T63" s="2">
        <v>52480000000</v>
      </c>
      <c r="U63" s="2">
        <v>52480000000</v>
      </c>
      <c r="V63" s="2">
        <v>-1.996E-12</v>
      </c>
      <c r="W63" s="2">
        <v>-1.996E-12</v>
      </c>
      <c r="X63" s="2">
        <v>0</v>
      </c>
      <c r="Y63" s="2">
        <v>2.0000000000000001E-4</v>
      </c>
      <c r="Z63" s="2">
        <v>130.4</v>
      </c>
      <c r="AA63" s="2">
        <v>130.4</v>
      </c>
      <c r="AB63" s="2">
        <v>4.5599999999999998E-10</v>
      </c>
      <c r="AC63" s="2">
        <v>0</v>
      </c>
      <c r="AD63" s="2">
        <v>1.4809999999999999E-4</v>
      </c>
      <c r="AE63" s="2">
        <v>9.8090000000000004E-6</v>
      </c>
      <c r="AF63" s="2">
        <v>9.8090000000000004E-6</v>
      </c>
      <c r="AG63" s="2">
        <v>0</v>
      </c>
      <c r="AH63" s="2">
        <v>0</v>
      </c>
      <c r="AI63" s="2">
        <v>2.4340000000000002</v>
      </c>
      <c r="AJ63" s="2">
        <v>5136</v>
      </c>
      <c r="AK63" s="2">
        <v>-1.1999999999999999E-3</v>
      </c>
      <c r="AL63" s="2">
        <v>-1E-3</v>
      </c>
      <c r="AM63" s="7">
        <v>2</v>
      </c>
      <c r="AO63" s="2"/>
      <c r="AP63" s="2"/>
    </row>
    <row r="64" spans="1:42" x14ac:dyDescent="0.25">
      <c r="B64" s="2">
        <v>173000000000</v>
      </c>
      <c r="C64" s="2">
        <v>77000000000</v>
      </c>
      <c r="D64" s="3">
        <v>2.3999999999999998E-3</v>
      </c>
      <c r="E64">
        <f t="shared" si="28"/>
        <v>6.9999999999999999E-4</v>
      </c>
      <c r="F64" s="3">
        <v>1</v>
      </c>
      <c r="G64" s="3">
        <f t="shared" si="27"/>
        <v>0.79166666666666674</v>
      </c>
      <c r="H64" s="3">
        <v>0.2</v>
      </c>
      <c r="I64" s="3">
        <f t="shared" si="25"/>
        <v>0.83333333333333326</v>
      </c>
      <c r="J64" s="3">
        <f t="shared" si="26"/>
        <v>76166666666.666672</v>
      </c>
      <c r="N64">
        <v>2</v>
      </c>
      <c r="O64" s="2">
        <v>136400000000</v>
      </c>
      <c r="P64" s="2">
        <v>136400000000</v>
      </c>
      <c r="Q64" s="2">
        <v>0.36520000000000002</v>
      </c>
      <c r="R64" s="2">
        <v>0</v>
      </c>
      <c r="S64" s="2">
        <v>49950000000</v>
      </c>
      <c r="T64" s="2">
        <v>48720000000</v>
      </c>
      <c r="U64" s="2">
        <v>48720000000</v>
      </c>
      <c r="V64" s="2">
        <v>-5.9879999999999999E-12</v>
      </c>
      <c r="W64" s="2">
        <v>-5.9879999999999999E-12</v>
      </c>
      <c r="X64" s="2">
        <v>0</v>
      </c>
      <c r="Y64" s="2">
        <v>2.0000000000000001E-4</v>
      </c>
      <c r="Z64" s="2">
        <v>114.2</v>
      </c>
      <c r="AA64" s="2">
        <v>114.2</v>
      </c>
      <c r="AB64" s="2">
        <v>1.1820000000000001E-9</v>
      </c>
      <c r="AC64" s="2">
        <v>0</v>
      </c>
      <c r="AD64" s="2">
        <v>1.303E-4</v>
      </c>
      <c r="AE64" s="2">
        <v>9.4280000000000002E-6</v>
      </c>
      <c r="AF64" s="2">
        <v>9.4280000000000002E-6</v>
      </c>
      <c r="AG64" s="2">
        <v>0</v>
      </c>
      <c r="AH64" s="2">
        <v>0</v>
      </c>
      <c r="AI64" s="2">
        <v>2.3029999999999999</v>
      </c>
      <c r="AJ64" s="2">
        <v>4808</v>
      </c>
      <c r="AK64" s="2">
        <v>-1E-3</v>
      </c>
      <c r="AL64" s="2">
        <v>-8.0000000000000004E-4</v>
      </c>
      <c r="AM64" s="7">
        <v>2</v>
      </c>
      <c r="AO64" s="2"/>
      <c r="AP64" s="2"/>
    </row>
    <row r="65" spans="1:42" x14ac:dyDescent="0.25">
      <c r="B65" s="2">
        <v>173000000000</v>
      </c>
      <c r="C65" s="2">
        <v>77000000000</v>
      </c>
      <c r="D65" s="3">
        <v>2.3999999999999998E-3</v>
      </c>
      <c r="E65">
        <f t="shared" si="28"/>
        <v>8.9999999999999998E-4</v>
      </c>
      <c r="F65" s="3">
        <v>1</v>
      </c>
      <c r="G65" s="3">
        <f t="shared" si="27"/>
        <v>0.875</v>
      </c>
      <c r="H65" s="3">
        <v>0.2</v>
      </c>
      <c r="I65" s="3">
        <f t="shared" si="25"/>
        <v>0.5</v>
      </c>
      <c r="J65" s="3">
        <f t="shared" si="26"/>
        <v>76500000000</v>
      </c>
      <c r="N65">
        <v>3</v>
      </c>
      <c r="O65" s="2">
        <v>124200000000</v>
      </c>
      <c r="P65" s="2">
        <v>124200000000</v>
      </c>
      <c r="Q65" s="2">
        <v>0.3629</v>
      </c>
      <c r="R65" s="2">
        <v>0</v>
      </c>
      <c r="S65" s="2">
        <v>45580000000</v>
      </c>
      <c r="T65" s="2">
        <v>44960000000</v>
      </c>
      <c r="U65" s="2">
        <v>44960000000</v>
      </c>
      <c r="V65" s="2">
        <v>-9.9800000000000007E-12</v>
      </c>
      <c r="W65" s="2">
        <v>-9.9800000000000007E-12</v>
      </c>
      <c r="X65" s="2">
        <v>0</v>
      </c>
      <c r="Y65" s="2">
        <v>2.0000000000000001E-4</v>
      </c>
      <c r="Z65" s="2">
        <v>98.06</v>
      </c>
      <c r="AA65" s="2">
        <v>98.06</v>
      </c>
      <c r="AB65" s="2">
        <v>1.908E-9</v>
      </c>
      <c r="AC65" s="2">
        <v>0</v>
      </c>
      <c r="AD65" s="2">
        <v>1.125E-4</v>
      </c>
      <c r="AE65" s="2">
        <v>9.0459999999999994E-6</v>
      </c>
      <c r="AF65" s="2">
        <v>9.0459999999999994E-6</v>
      </c>
      <c r="AG65" s="2">
        <v>0</v>
      </c>
      <c r="AH65" s="2">
        <v>0</v>
      </c>
      <c r="AI65" s="2">
        <v>2.1709999999999998</v>
      </c>
      <c r="AJ65" s="2">
        <v>4479</v>
      </c>
      <c r="AK65" s="2">
        <v>-8.0000000000000004E-4</v>
      </c>
      <c r="AL65" s="2">
        <v>-5.9999999999999995E-4</v>
      </c>
      <c r="AM65" s="7">
        <v>2</v>
      </c>
      <c r="AO65" s="2"/>
      <c r="AP65" s="2"/>
    </row>
    <row r="66" spans="1:42" x14ac:dyDescent="0.25">
      <c r="B66" s="2">
        <v>173000000000</v>
      </c>
      <c r="C66" s="2">
        <v>77000000000</v>
      </c>
      <c r="D66" s="3">
        <v>2.3999999999999998E-3</v>
      </c>
      <c r="E66" s="4">
        <v>1.1000000000000001E-3</v>
      </c>
      <c r="F66" s="3">
        <v>1</v>
      </c>
      <c r="G66" s="3">
        <f t="shared" si="27"/>
        <v>0.95833333333333348</v>
      </c>
      <c r="H66" s="3">
        <v>0.2</v>
      </c>
      <c r="I66" s="3">
        <f t="shared" si="25"/>
        <v>0.1666666666666663</v>
      </c>
      <c r="J66" s="3">
        <f t="shared" si="26"/>
        <v>76833333333.333328</v>
      </c>
      <c r="N66">
        <v>4</v>
      </c>
      <c r="O66" s="2">
        <v>112100000000</v>
      </c>
      <c r="P66" s="2">
        <v>112100000000</v>
      </c>
      <c r="Q66" s="2">
        <v>0.3599</v>
      </c>
      <c r="R66" s="2">
        <v>0</v>
      </c>
      <c r="S66" s="2">
        <v>41220000000</v>
      </c>
      <c r="T66" s="2">
        <v>41190000000</v>
      </c>
      <c r="U66" s="2">
        <v>41190000000</v>
      </c>
      <c r="V66" s="2">
        <v>-1.397E-11</v>
      </c>
      <c r="W66" s="2">
        <v>-1.397E-11</v>
      </c>
      <c r="X66" s="2">
        <v>0</v>
      </c>
      <c r="Y66" s="2">
        <v>2.0000000000000001E-4</v>
      </c>
      <c r="Z66" s="2">
        <v>81.91</v>
      </c>
      <c r="AA66" s="2">
        <v>81.91</v>
      </c>
      <c r="AB66" s="2">
        <v>2.6339999999999998E-9</v>
      </c>
      <c r="AC66" s="2">
        <v>0</v>
      </c>
      <c r="AD66" s="2">
        <v>9.4640000000000002E-5</v>
      </c>
      <c r="AE66" s="2">
        <v>8.6640000000000004E-6</v>
      </c>
      <c r="AF66" s="2">
        <v>8.6640000000000004E-6</v>
      </c>
      <c r="AG66" s="2">
        <v>0</v>
      </c>
      <c r="AH66" s="2">
        <v>0</v>
      </c>
      <c r="AI66" s="2">
        <v>2.0390000000000001</v>
      </c>
      <c r="AJ66" s="2">
        <v>4151</v>
      </c>
      <c r="AK66" s="2">
        <v>-5.9999999999999995E-4</v>
      </c>
      <c r="AL66" s="2">
        <v>-4.0000000000000002E-4</v>
      </c>
      <c r="AM66" s="7">
        <v>2</v>
      </c>
      <c r="AO66" s="2"/>
      <c r="AP66" s="2"/>
    </row>
    <row r="67" spans="1:42" x14ac:dyDescent="0.25">
      <c r="N67">
        <v>5</v>
      </c>
      <c r="O67" s="2">
        <v>99940000000</v>
      </c>
      <c r="P67" s="2">
        <v>99940000000</v>
      </c>
      <c r="Q67" s="2">
        <v>0.35599999999999998</v>
      </c>
      <c r="R67" s="2">
        <v>0</v>
      </c>
      <c r="S67" s="2">
        <v>36850000000</v>
      </c>
      <c r="T67" s="2">
        <v>37430000000</v>
      </c>
      <c r="U67" s="2">
        <v>37430000000</v>
      </c>
      <c r="V67" s="2">
        <v>-1.7959999999999999E-11</v>
      </c>
      <c r="W67" s="2">
        <v>-1.7959999999999999E-11</v>
      </c>
      <c r="X67" s="2">
        <v>0</v>
      </c>
      <c r="Y67" s="2">
        <v>2.0000000000000001E-4</v>
      </c>
      <c r="Z67" s="2">
        <v>65.760000000000005</v>
      </c>
      <c r="AA67" s="2">
        <v>65.760000000000005</v>
      </c>
      <c r="AB67" s="2">
        <v>3.36E-9</v>
      </c>
      <c r="AC67" s="2">
        <v>0</v>
      </c>
      <c r="AD67" s="2">
        <v>7.6829999999999995E-5</v>
      </c>
      <c r="AE67" s="2">
        <v>8.2830000000000001E-6</v>
      </c>
      <c r="AF67" s="2">
        <v>8.2830000000000001E-6</v>
      </c>
      <c r="AG67" s="2">
        <v>0</v>
      </c>
      <c r="AH67" s="2">
        <v>0</v>
      </c>
      <c r="AI67" s="2">
        <v>1.9079999999999999</v>
      </c>
      <c r="AJ67" s="2">
        <v>3823</v>
      </c>
      <c r="AK67" s="2">
        <v>-4.0000000000000002E-4</v>
      </c>
      <c r="AL67" s="2">
        <v>-2.0000000000000001E-4</v>
      </c>
      <c r="AM67" s="7">
        <v>2</v>
      </c>
      <c r="AO67" s="2"/>
      <c r="AP67" s="2"/>
    </row>
    <row r="68" spans="1:42" x14ac:dyDescent="0.25">
      <c r="N68">
        <v>6</v>
      </c>
      <c r="O68" s="2">
        <v>87750000000</v>
      </c>
      <c r="P68" s="2">
        <v>87750000000</v>
      </c>
      <c r="Q68" s="2">
        <v>0.35070000000000001</v>
      </c>
      <c r="R68" s="2">
        <v>0</v>
      </c>
      <c r="S68" s="2">
        <v>32480000000</v>
      </c>
      <c r="T68" s="2">
        <v>33670000000</v>
      </c>
      <c r="U68" s="2">
        <v>33670000000</v>
      </c>
      <c r="V68" s="2">
        <v>-2.1960000000000001E-11</v>
      </c>
      <c r="W68" s="2">
        <v>-2.1960000000000001E-11</v>
      </c>
      <c r="X68" s="2">
        <v>0</v>
      </c>
      <c r="Y68" s="2">
        <v>2.0000000000000001E-4</v>
      </c>
      <c r="Z68" s="2">
        <v>49.61</v>
      </c>
      <c r="AA68" s="2">
        <v>49.61</v>
      </c>
      <c r="AB68" s="2">
        <v>4.0860000000000002E-9</v>
      </c>
      <c r="AC68" s="2">
        <v>0</v>
      </c>
      <c r="AD68" s="2">
        <v>5.9009999999999999E-5</v>
      </c>
      <c r="AE68" s="2">
        <v>7.9009999999999994E-6</v>
      </c>
      <c r="AF68" s="2">
        <v>7.9009999999999994E-6</v>
      </c>
      <c r="AG68" s="2">
        <v>0</v>
      </c>
      <c r="AH68" s="2">
        <v>0</v>
      </c>
      <c r="AI68" s="2">
        <v>1.776</v>
      </c>
      <c r="AJ68" s="2">
        <v>3494</v>
      </c>
      <c r="AK68" s="2">
        <v>-2.0000000000000001E-4</v>
      </c>
      <c r="AL68" s="2">
        <v>0</v>
      </c>
      <c r="AM68" s="7">
        <v>2</v>
      </c>
      <c r="AO68" s="2"/>
      <c r="AP68" s="2"/>
    </row>
    <row r="69" spans="1:42" x14ac:dyDescent="0.25">
      <c r="A69" t="s">
        <v>101</v>
      </c>
      <c r="B69" s="1" t="s">
        <v>89</v>
      </c>
      <c r="C69" s="1" t="s">
        <v>90</v>
      </c>
      <c r="D69" s="1" t="s">
        <v>91</v>
      </c>
      <c r="E69" s="1" t="s">
        <v>92</v>
      </c>
      <c r="F69" s="1" t="s">
        <v>93</v>
      </c>
      <c r="G69" s="1" t="s">
        <v>94</v>
      </c>
      <c r="H69" s="1" t="s">
        <v>95</v>
      </c>
      <c r="I69" s="1" t="s">
        <v>96</v>
      </c>
      <c r="J69" s="1" t="s">
        <v>97</v>
      </c>
      <c r="N69">
        <v>7</v>
      </c>
      <c r="O69" s="2">
        <v>84600000000</v>
      </c>
      <c r="P69" s="2">
        <v>84600000000</v>
      </c>
      <c r="Q69" s="2">
        <v>0.34350000000000003</v>
      </c>
      <c r="R69" s="2">
        <v>0</v>
      </c>
      <c r="S69" s="2">
        <v>31480000000</v>
      </c>
      <c r="T69" s="2">
        <v>33440000000</v>
      </c>
      <c r="U69" s="2">
        <v>33440000000</v>
      </c>
      <c r="V69" s="2">
        <v>-2.8609999999999999E-11</v>
      </c>
      <c r="W69" s="2">
        <v>-2.8609999999999999E-11</v>
      </c>
      <c r="X69" s="2">
        <v>0</v>
      </c>
      <c r="Y69" s="2">
        <v>2.0000000000000001E-4</v>
      </c>
      <c r="Z69" s="2">
        <v>38.07</v>
      </c>
      <c r="AA69" s="2">
        <v>38.07</v>
      </c>
      <c r="AB69" s="2">
        <v>5.3059999999999997E-9</v>
      </c>
      <c r="AC69" s="2">
        <v>0</v>
      </c>
      <c r="AD69" s="2">
        <v>4.676E-5</v>
      </c>
      <c r="AE69" s="2">
        <v>8.3760000000000008E-6</v>
      </c>
      <c r="AF69" s="2">
        <v>8.3760000000000008E-6</v>
      </c>
      <c r="AG69" s="2">
        <v>0</v>
      </c>
      <c r="AH69" s="2">
        <v>0</v>
      </c>
      <c r="AI69" s="2">
        <v>1.8340000000000001</v>
      </c>
      <c r="AJ69" s="2">
        <v>3536</v>
      </c>
      <c r="AK69" s="2">
        <v>0</v>
      </c>
      <c r="AL69" s="2">
        <v>2.0000000000000001E-4</v>
      </c>
      <c r="AM69" s="7">
        <v>2</v>
      </c>
      <c r="AO69" s="2"/>
      <c r="AP69" s="2"/>
    </row>
    <row r="70" spans="1:42" x14ac:dyDescent="0.25">
      <c r="B70" s="2">
        <v>45300000000</v>
      </c>
      <c r="C70" s="2">
        <v>43000000000</v>
      </c>
      <c r="D70" s="3">
        <v>2.3999999999999998E-3</v>
      </c>
      <c r="E70">
        <v>-1.1000000000000001E-3</v>
      </c>
      <c r="F70" s="3">
        <v>1</v>
      </c>
      <c r="G70" s="3">
        <f>(0.5+E70/D70)^F70</f>
        <v>4.1666666666666574E-2</v>
      </c>
      <c r="H70" s="3">
        <v>0.2</v>
      </c>
      <c r="I70" s="3">
        <f>2*(1-2*ABS(E70)/D70)</f>
        <v>0.1666666666666663</v>
      </c>
      <c r="J70" s="3">
        <f t="shared" ref="J70:J81" si="29">(C70-B70)*G70+B70-(B70+C70)*(H70/2)*I70</f>
        <v>43732500000</v>
      </c>
      <c r="N70">
        <v>8</v>
      </c>
      <c r="O70" s="2">
        <v>90460000000</v>
      </c>
      <c r="P70" s="2">
        <v>90460000000</v>
      </c>
      <c r="Q70" s="2">
        <v>0.3362</v>
      </c>
      <c r="R70" s="2">
        <v>0</v>
      </c>
      <c r="S70" s="2">
        <v>33850000000</v>
      </c>
      <c r="T70" s="2">
        <v>36740000000</v>
      </c>
      <c r="U70" s="2">
        <v>36740000000</v>
      </c>
      <c r="V70" s="2">
        <v>-3.7920000000000003E-11</v>
      </c>
      <c r="W70" s="2">
        <v>-3.7920000000000003E-11</v>
      </c>
      <c r="X70" s="2">
        <v>0</v>
      </c>
      <c r="Y70" s="2">
        <v>2.0000000000000001E-4</v>
      </c>
      <c r="Z70" s="2">
        <v>31.15</v>
      </c>
      <c r="AA70" s="2">
        <v>31.15</v>
      </c>
      <c r="AB70" s="2">
        <v>7.0200000000000002E-9</v>
      </c>
      <c r="AC70" s="2">
        <v>0</v>
      </c>
      <c r="AD70" s="2">
        <v>4.0080000000000003E-5</v>
      </c>
      <c r="AE70" s="2">
        <v>9.7079999999999992E-6</v>
      </c>
      <c r="AF70" s="2">
        <v>9.7079999999999992E-6</v>
      </c>
      <c r="AG70" s="2">
        <v>0</v>
      </c>
      <c r="AH70" s="2">
        <v>0</v>
      </c>
      <c r="AI70" s="2">
        <v>2.0830000000000002</v>
      </c>
      <c r="AJ70" s="2">
        <v>3948</v>
      </c>
      <c r="AK70" s="2">
        <v>2.0000000000000001E-4</v>
      </c>
      <c r="AL70" s="2">
        <v>4.0000000000000002E-4</v>
      </c>
      <c r="AM70" s="7">
        <v>2</v>
      </c>
      <c r="AO70" s="2"/>
      <c r="AP70" s="2"/>
    </row>
    <row r="71" spans="1:42" x14ac:dyDescent="0.25">
      <c r="B71" s="2">
        <v>45300000000</v>
      </c>
      <c r="C71" s="2">
        <v>43000000000</v>
      </c>
      <c r="D71" s="3">
        <v>2.3999999999999998E-3</v>
      </c>
      <c r="E71">
        <f>-0.001+0.0001</f>
        <v>-8.9999999999999998E-4</v>
      </c>
      <c r="F71" s="3">
        <v>1</v>
      </c>
      <c r="G71" s="3">
        <f>(0.5+E71/D71)^F71</f>
        <v>0.125</v>
      </c>
      <c r="H71" s="3">
        <v>0.2</v>
      </c>
      <c r="I71" s="3">
        <f t="shared" ref="I71:I81" si="30">2*(1-2*ABS(E71)/D71)</f>
        <v>0.5</v>
      </c>
      <c r="J71" s="3">
        <f t="shared" si="29"/>
        <v>40597500000</v>
      </c>
      <c r="N71">
        <v>9</v>
      </c>
      <c r="O71" s="2">
        <v>96280000000</v>
      </c>
      <c r="P71" s="2">
        <v>96280000000</v>
      </c>
      <c r="Q71" s="2">
        <v>0.32919999999999999</v>
      </c>
      <c r="R71" s="2">
        <v>0</v>
      </c>
      <c r="S71" s="2">
        <v>36220000000</v>
      </c>
      <c r="T71" s="2">
        <v>40040000000</v>
      </c>
      <c r="U71" s="2">
        <v>40040000000</v>
      </c>
      <c r="V71" s="2">
        <v>-4.7240000000000003E-11</v>
      </c>
      <c r="W71" s="2">
        <v>-4.7240000000000003E-11</v>
      </c>
      <c r="X71" s="2">
        <v>0</v>
      </c>
      <c r="Y71" s="2">
        <v>2.0000000000000001E-4</v>
      </c>
      <c r="Z71" s="2">
        <v>24.23</v>
      </c>
      <c r="AA71" s="2">
        <v>24.23</v>
      </c>
      <c r="AB71" s="2">
        <v>8.7350000000000001E-9</v>
      </c>
      <c r="AC71" s="2">
        <v>0</v>
      </c>
      <c r="AD71" s="2">
        <v>3.3389999999999997E-5</v>
      </c>
      <c r="AE71" s="2">
        <v>1.1039999999999999E-5</v>
      </c>
      <c r="AF71" s="2">
        <v>1.1039999999999999E-5</v>
      </c>
      <c r="AG71" s="2">
        <v>0</v>
      </c>
      <c r="AH71" s="2">
        <v>0</v>
      </c>
      <c r="AI71" s="2">
        <v>2.331</v>
      </c>
      <c r="AJ71" s="2">
        <v>4359</v>
      </c>
      <c r="AK71" s="2">
        <v>4.0000000000000002E-4</v>
      </c>
      <c r="AL71" s="2">
        <v>5.9999999999999995E-4</v>
      </c>
      <c r="AM71" s="7">
        <v>2</v>
      </c>
      <c r="AO71" s="2"/>
      <c r="AP71" s="2"/>
    </row>
    <row r="72" spans="1:42" x14ac:dyDescent="0.25">
      <c r="B72" s="2">
        <v>45300000000</v>
      </c>
      <c r="C72" s="2">
        <v>43000000000</v>
      </c>
      <c r="D72" s="3">
        <v>2.3999999999999998E-3</v>
      </c>
      <c r="E72">
        <f>E71+0.0002</f>
        <v>-6.9999999999999999E-4</v>
      </c>
      <c r="F72" s="3">
        <v>1</v>
      </c>
      <c r="G72" s="3">
        <f t="shared" ref="G72:G81" si="31">(0.5+E72/D72)^F72</f>
        <v>0.20833333333333331</v>
      </c>
      <c r="H72" s="3">
        <v>0.2</v>
      </c>
      <c r="I72" s="3">
        <f t="shared" si="30"/>
        <v>0.83333333333333326</v>
      </c>
      <c r="J72" s="3">
        <f t="shared" si="29"/>
        <v>37462500000</v>
      </c>
      <c r="N72">
        <v>10</v>
      </c>
      <c r="O72" s="2">
        <v>102100000000</v>
      </c>
      <c r="P72" s="2">
        <v>102100000000</v>
      </c>
      <c r="Q72" s="2">
        <v>0.3226</v>
      </c>
      <c r="R72" s="2">
        <v>0</v>
      </c>
      <c r="S72" s="2">
        <v>38580000000</v>
      </c>
      <c r="T72" s="2">
        <v>43350000000</v>
      </c>
      <c r="U72" s="2">
        <v>43350000000</v>
      </c>
      <c r="V72" s="2">
        <v>-5.6550000000000001E-11</v>
      </c>
      <c r="W72" s="2">
        <v>-5.6550000000000001E-11</v>
      </c>
      <c r="X72" s="2">
        <v>0</v>
      </c>
      <c r="Y72" s="2">
        <v>2.0000000000000001E-4</v>
      </c>
      <c r="Z72" s="2">
        <v>17.309999999999999</v>
      </c>
      <c r="AA72" s="2">
        <v>17.309999999999999</v>
      </c>
      <c r="AB72" s="2">
        <v>1.0449999999999999E-8</v>
      </c>
      <c r="AC72" s="2">
        <v>0</v>
      </c>
      <c r="AD72" s="2">
        <v>2.671E-5</v>
      </c>
      <c r="AE72" s="2">
        <v>1.237E-5</v>
      </c>
      <c r="AF72" s="2">
        <v>1.237E-5</v>
      </c>
      <c r="AG72" s="2">
        <v>0</v>
      </c>
      <c r="AH72" s="2">
        <v>0</v>
      </c>
      <c r="AI72" s="2">
        <v>2.5790000000000002</v>
      </c>
      <c r="AJ72" s="2">
        <v>4771</v>
      </c>
      <c r="AK72" s="2">
        <v>5.9999999999999995E-4</v>
      </c>
      <c r="AL72" s="2">
        <v>8.0000000000000004E-4</v>
      </c>
      <c r="AM72" s="7">
        <v>2</v>
      </c>
      <c r="AO72" s="2"/>
      <c r="AP72" s="2"/>
    </row>
    <row r="73" spans="1:42" x14ac:dyDescent="0.25">
      <c r="B73" s="2">
        <v>45300000000</v>
      </c>
      <c r="C73" s="2">
        <v>43000000000</v>
      </c>
      <c r="D73" s="3">
        <v>2.3999999999999998E-3</v>
      </c>
      <c r="E73">
        <f t="shared" ref="E73:E80" si="32">E72+0.0002</f>
        <v>-5.0000000000000001E-4</v>
      </c>
      <c r="F73" s="3">
        <v>1</v>
      </c>
      <c r="G73" s="3">
        <f t="shared" si="31"/>
        <v>0.29166666666666663</v>
      </c>
      <c r="H73" s="3">
        <v>0.2</v>
      </c>
      <c r="I73" s="3">
        <f t="shared" si="30"/>
        <v>1.1666666666666665</v>
      </c>
      <c r="J73" s="3">
        <f t="shared" si="29"/>
        <v>34327500000</v>
      </c>
      <c r="N73">
        <v>11</v>
      </c>
      <c r="O73" s="2">
        <v>107800000000</v>
      </c>
      <c r="P73" s="2">
        <v>107800000000</v>
      </c>
      <c r="Q73" s="2">
        <v>0.31619999999999998</v>
      </c>
      <c r="R73" s="2">
        <v>0</v>
      </c>
      <c r="S73" s="2">
        <v>40950000000</v>
      </c>
      <c r="T73" s="2">
        <v>46650000000</v>
      </c>
      <c r="U73" s="2">
        <v>46650000000</v>
      </c>
      <c r="V73" s="2">
        <v>-6.5870000000000001E-11</v>
      </c>
      <c r="W73" s="2">
        <v>-6.5870000000000001E-11</v>
      </c>
      <c r="X73" s="2">
        <v>0</v>
      </c>
      <c r="Y73" s="2">
        <v>2.0000000000000001E-4</v>
      </c>
      <c r="Z73" s="2">
        <v>10.38</v>
      </c>
      <c r="AA73" s="2">
        <v>10.38</v>
      </c>
      <c r="AB73" s="2">
        <v>1.2159999999999999E-8</v>
      </c>
      <c r="AC73" s="2">
        <v>0</v>
      </c>
      <c r="AD73" s="2">
        <v>2.003E-5</v>
      </c>
      <c r="AE73" s="2">
        <v>1.3699999999999999E-5</v>
      </c>
      <c r="AF73" s="2">
        <v>1.3699999999999999E-5</v>
      </c>
      <c r="AG73" s="2">
        <v>0</v>
      </c>
      <c r="AH73" s="2">
        <v>0</v>
      </c>
      <c r="AI73" s="2">
        <v>2.8279999999999998</v>
      </c>
      <c r="AJ73" s="2">
        <v>5183</v>
      </c>
      <c r="AK73" s="2">
        <v>8.0000000000000004E-4</v>
      </c>
      <c r="AL73" s="2">
        <v>1E-3</v>
      </c>
      <c r="AM73" s="7">
        <v>2</v>
      </c>
      <c r="AO73" s="2"/>
      <c r="AP73" s="2"/>
    </row>
    <row r="74" spans="1:42" x14ac:dyDescent="0.25">
      <c r="B74" s="2">
        <v>45300000000</v>
      </c>
      <c r="C74" s="2">
        <v>43000000000</v>
      </c>
      <c r="D74" s="3">
        <v>2.3999999999999998E-3</v>
      </c>
      <c r="E74">
        <f t="shared" si="32"/>
        <v>-3.0000000000000003E-4</v>
      </c>
      <c r="F74" s="3">
        <v>1</v>
      </c>
      <c r="G74" s="3">
        <f t="shared" si="31"/>
        <v>0.375</v>
      </c>
      <c r="H74" s="3">
        <v>0.2</v>
      </c>
      <c r="I74" s="3">
        <f t="shared" si="30"/>
        <v>1.5</v>
      </c>
      <c r="J74" s="3">
        <f t="shared" si="29"/>
        <v>31192500000</v>
      </c>
      <c r="N74">
        <v>12</v>
      </c>
      <c r="O74" s="2">
        <v>113500000000</v>
      </c>
      <c r="P74" s="2">
        <v>113500000000</v>
      </c>
      <c r="Q74" s="2">
        <v>0.31009999999999999</v>
      </c>
      <c r="R74" s="2">
        <v>0</v>
      </c>
      <c r="S74" s="2">
        <v>43320000000</v>
      </c>
      <c r="T74" s="2">
        <v>49950000000</v>
      </c>
      <c r="U74" s="2">
        <v>49950000000</v>
      </c>
      <c r="V74" s="2">
        <v>-7.5180000000000006E-11</v>
      </c>
      <c r="W74" s="2">
        <v>-7.5180000000000006E-11</v>
      </c>
      <c r="X74" s="2">
        <v>0</v>
      </c>
      <c r="Y74" s="2">
        <v>2.0000000000000001E-4</v>
      </c>
      <c r="Z74" s="2">
        <v>3.4609999999999999</v>
      </c>
      <c r="AA74" s="2">
        <v>3.4609999999999999</v>
      </c>
      <c r="AB74" s="2">
        <v>1.3879999999999999E-8</v>
      </c>
      <c r="AC74" s="2">
        <v>0</v>
      </c>
      <c r="AD74" s="2">
        <v>1.3339999999999999E-5</v>
      </c>
      <c r="AE74" s="2">
        <v>1.503E-5</v>
      </c>
      <c r="AF74" s="2">
        <v>1.503E-5</v>
      </c>
      <c r="AG74" s="2">
        <v>0</v>
      </c>
      <c r="AH74" s="2">
        <v>0</v>
      </c>
      <c r="AI74" s="2">
        <v>3.0760000000000001</v>
      </c>
      <c r="AJ74" s="2">
        <v>5594</v>
      </c>
      <c r="AK74" s="2">
        <v>1E-3</v>
      </c>
      <c r="AL74" s="2">
        <v>1.1999999999999999E-3</v>
      </c>
      <c r="AM74" s="7">
        <v>2</v>
      </c>
      <c r="AO74" s="2"/>
      <c r="AP74" s="2"/>
    </row>
    <row r="75" spans="1:42" x14ac:dyDescent="0.25">
      <c r="B75" s="2">
        <v>45300000000</v>
      </c>
      <c r="C75" s="2">
        <v>43000000000</v>
      </c>
      <c r="D75" s="3">
        <v>2.3999999999999998E-3</v>
      </c>
      <c r="E75">
        <f t="shared" si="32"/>
        <v>-1.0000000000000002E-4</v>
      </c>
      <c r="F75" s="3">
        <v>1</v>
      </c>
      <c r="G75" s="3">
        <f t="shared" si="31"/>
        <v>0.45833333333333331</v>
      </c>
      <c r="H75" s="3">
        <v>0.2</v>
      </c>
      <c r="I75" s="3">
        <f t="shared" si="30"/>
        <v>1.8333333333333333</v>
      </c>
      <c r="J75" s="3">
        <f t="shared" si="29"/>
        <v>28057500000.000004</v>
      </c>
    </row>
    <row r="76" spans="1:42" x14ac:dyDescent="0.25">
      <c r="B76" s="2">
        <v>45300000000</v>
      </c>
      <c r="C76" s="2">
        <v>43000000000</v>
      </c>
      <c r="D76" s="3">
        <v>2.3999999999999998E-3</v>
      </c>
      <c r="E76">
        <f t="shared" si="32"/>
        <v>9.9999999999999991E-5</v>
      </c>
      <c r="F76" s="3">
        <v>1</v>
      </c>
      <c r="G76" s="3">
        <f t="shared" si="31"/>
        <v>0.54166666666666663</v>
      </c>
      <c r="H76" s="3">
        <v>0.2</v>
      </c>
      <c r="I76" s="3">
        <f t="shared" si="30"/>
        <v>1.8333333333333333</v>
      </c>
      <c r="J76" s="3">
        <f t="shared" si="29"/>
        <v>27865833333.333332</v>
      </c>
    </row>
    <row r="77" spans="1:42" x14ac:dyDescent="0.25">
      <c r="B77" s="2">
        <v>45300000000</v>
      </c>
      <c r="C77" s="2">
        <v>43000000000</v>
      </c>
      <c r="D77" s="3">
        <v>2.3999999999999998E-3</v>
      </c>
      <c r="E77">
        <f t="shared" si="32"/>
        <v>3.0000000000000003E-4</v>
      </c>
      <c r="F77" s="3">
        <v>1</v>
      </c>
      <c r="G77" s="3">
        <f t="shared" si="31"/>
        <v>0.625</v>
      </c>
      <c r="H77" s="3">
        <v>0.2</v>
      </c>
      <c r="I77" s="3">
        <f t="shared" si="30"/>
        <v>1.5</v>
      </c>
      <c r="J77" s="3">
        <f t="shared" si="29"/>
        <v>30617500000</v>
      </c>
    </row>
    <row r="78" spans="1:42" x14ac:dyDescent="0.25">
      <c r="B78" s="2">
        <v>45300000000</v>
      </c>
      <c r="C78" s="2">
        <v>43000000000</v>
      </c>
      <c r="D78" s="3">
        <v>2.3999999999999998E-3</v>
      </c>
      <c r="E78">
        <f t="shared" si="32"/>
        <v>5.0000000000000001E-4</v>
      </c>
      <c r="F78" s="3">
        <v>1</v>
      </c>
      <c r="G78" s="3">
        <f t="shared" si="31"/>
        <v>0.70833333333333337</v>
      </c>
      <c r="H78" s="3">
        <v>0.2</v>
      </c>
      <c r="I78" s="3">
        <f t="shared" si="30"/>
        <v>1.1666666666666665</v>
      </c>
      <c r="J78" s="3">
        <f t="shared" si="29"/>
        <v>33369166666.666672</v>
      </c>
    </row>
    <row r="79" spans="1:42" x14ac:dyDescent="0.25">
      <c r="B79" s="2">
        <v>45300000000</v>
      </c>
      <c r="C79" s="2">
        <v>43000000000</v>
      </c>
      <c r="D79" s="3">
        <v>2.3999999999999998E-3</v>
      </c>
      <c r="E79">
        <f t="shared" si="32"/>
        <v>6.9999999999999999E-4</v>
      </c>
      <c r="F79" s="3">
        <v>1</v>
      </c>
      <c r="G79" s="3">
        <f t="shared" si="31"/>
        <v>0.79166666666666674</v>
      </c>
      <c r="H79" s="3">
        <v>0.2</v>
      </c>
      <c r="I79" s="3">
        <f t="shared" si="30"/>
        <v>0.83333333333333326</v>
      </c>
      <c r="J79" s="3">
        <f t="shared" si="29"/>
        <v>36120833333.333328</v>
      </c>
    </row>
    <row r="80" spans="1:42" x14ac:dyDescent="0.25">
      <c r="B80" s="2">
        <v>45300000000</v>
      </c>
      <c r="C80" s="2">
        <v>43000000000</v>
      </c>
      <c r="D80" s="3">
        <v>2.3999999999999998E-3</v>
      </c>
      <c r="E80">
        <f t="shared" si="32"/>
        <v>8.9999999999999998E-4</v>
      </c>
      <c r="F80" s="3">
        <v>1</v>
      </c>
      <c r="G80" s="3">
        <f t="shared" si="31"/>
        <v>0.875</v>
      </c>
      <c r="H80" s="3">
        <v>0.2</v>
      </c>
      <c r="I80" s="3">
        <f t="shared" si="30"/>
        <v>0.5</v>
      </c>
      <c r="J80" s="3">
        <f t="shared" si="29"/>
        <v>38872500000</v>
      </c>
    </row>
    <row r="81" spans="1:10" x14ac:dyDescent="0.25">
      <c r="B81" s="2">
        <v>45300000000</v>
      </c>
      <c r="C81" s="2">
        <v>43000000000</v>
      </c>
      <c r="D81" s="3">
        <v>2.3999999999999998E-3</v>
      </c>
      <c r="E81" s="4">
        <v>1.1000000000000001E-3</v>
      </c>
      <c r="F81" s="3">
        <v>1</v>
      </c>
      <c r="G81" s="3">
        <f t="shared" si="31"/>
        <v>0.95833333333333348</v>
      </c>
      <c r="H81" s="3">
        <v>0.2</v>
      </c>
      <c r="I81" s="3">
        <f t="shared" si="30"/>
        <v>0.1666666666666663</v>
      </c>
      <c r="J81" s="3">
        <f t="shared" si="29"/>
        <v>41624166666.666672</v>
      </c>
    </row>
    <row r="84" spans="1:10" x14ac:dyDescent="0.25">
      <c r="A84" t="s">
        <v>102</v>
      </c>
      <c r="B84" s="1" t="s">
        <v>89</v>
      </c>
      <c r="C84" s="1" t="s">
        <v>90</v>
      </c>
      <c r="D84" s="1" t="s">
        <v>91</v>
      </c>
      <c r="E84" s="1" t="s">
        <v>92</v>
      </c>
      <c r="F84" s="1" t="s">
        <v>93</v>
      </c>
      <c r="G84" s="1" t="s">
        <v>94</v>
      </c>
      <c r="H84" s="1" t="s">
        <v>95</v>
      </c>
      <c r="I84" s="1" t="s">
        <v>96</v>
      </c>
      <c r="J84" s="1" t="s">
        <v>97</v>
      </c>
    </row>
    <row r="85" spans="1:10" x14ac:dyDescent="0.25">
      <c r="B85">
        <v>45300000000</v>
      </c>
      <c r="C85">
        <v>43000000000</v>
      </c>
      <c r="D85" s="3">
        <v>2.3999999999999998E-3</v>
      </c>
      <c r="E85">
        <v>-1.1000000000000001E-3</v>
      </c>
      <c r="F85" s="3">
        <v>1</v>
      </c>
      <c r="G85" s="3">
        <f>(0.5+E85/D85)^F85</f>
        <v>4.1666666666666574E-2</v>
      </c>
      <c r="H85" s="3">
        <v>0.2</v>
      </c>
      <c r="I85" s="3">
        <f>2*(1-2*ABS(E85)/D85)</f>
        <v>0.1666666666666663</v>
      </c>
      <c r="J85" s="3">
        <f>(C85-B85)*G85+B85-(B85+C85)*(H85/2)*I85</f>
        <v>43732500000</v>
      </c>
    </row>
    <row r="86" spans="1:10" x14ac:dyDescent="0.25">
      <c r="B86">
        <v>45300000000</v>
      </c>
      <c r="C86">
        <v>43000000000</v>
      </c>
      <c r="D86" s="3">
        <v>2.3999999999999998E-3</v>
      </c>
      <c r="E86">
        <f>-0.001+0.0001</f>
        <v>-8.9999999999999998E-4</v>
      </c>
      <c r="F86" s="3">
        <v>1</v>
      </c>
      <c r="G86" s="3">
        <f>(0.5+E86/D86)^F86</f>
        <v>0.125</v>
      </c>
      <c r="H86" s="3">
        <v>0.2</v>
      </c>
      <c r="I86" s="3">
        <f t="shared" ref="I86:I96" si="33">2*(1-2*ABS(E86)/D86)</f>
        <v>0.5</v>
      </c>
      <c r="J86" s="3">
        <f t="shared" ref="J86:J96" si="34">(C86-B86)*G86+B86-(B86+C86)*(H86/2)*I86</f>
        <v>40597500000</v>
      </c>
    </row>
    <row r="87" spans="1:10" x14ac:dyDescent="0.25">
      <c r="B87">
        <v>45300000000</v>
      </c>
      <c r="C87">
        <v>43000000000</v>
      </c>
      <c r="D87" s="3">
        <v>2.3999999999999998E-3</v>
      </c>
      <c r="E87">
        <f>E86+0.0002</f>
        <v>-6.9999999999999999E-4</v>
      </c>
      <c r="F87" s="3">
        <v>1</v>
      </c>
      <c r="G87" s="3">
        <f t="shared" ref="G87:G96" si="35">(0.5+E87/D87)^F87</f>
        <v>0.20833333333333331</v>
      </c>
      <c r="H87" s="3">
        <v>0.2</v>
      </c>
      <c r="I87" s="3">
        <f t="shared" si="33"/>
        <v>0.83333333333333326</v>
      </c>
      <c r="J87" s="3">
        <f t="shared" si="34"/>
        <v>37462500000</v>
      </c>
    </row>
    <row r="88" spans="1:10" x14ac:dyDescent="0.25">
      <c r="B88">
        <v>45300000000</v>
      </c>
      <c r="C88">
        <v>43000000000</v>
      </c>
      <c r="D88" s="3">
        <v>2.3999999999999998E-3</v>
      </c>
      <c r="E88">
        <f t="shared" ref="E88:E95" si="36">E87+0.0002</f>
        <v>-5.0000000000000001E-4</v>
      </c>
      <c r="F88" s="3">
        <v>1</v>
      </c>
      <c r="G88" s="3">
        <f t="shared" si="35"/>
        <v>0.29166666666666663</v>
      </c>
      <c r="H88" s="3">
        <v>0.2</v>
      </c>
      <c r="I88" s="3">
        <f t="shared" si="33"/>
        <v>1.1666666666666665</v>
      </c>
      <c r="J88" s="3">
        <f t="shared" si="34"/>
        <v>34327500000</v>
      </c>
    </row>
    <row r="89" spans="1:10" x14ac:dyDescent="0.25">
      <c r="B89">
        <v>45300000000</v>
      </c>
      <c r="C89">
        <v>43000000000</v>
      </c>
      <c r="D89" s="3">
        <v>2.3999999999999998E-3</v>
      </c>
      <c r="E89">
        <f t="shared" si="36"/>
        <v>-3.0000000000000003E-4</v>
      </c>
      <c r="F89" s="3">
        <v>1</v>
      </c>
      <c r="G89" s="3">
        <f t="shared" si="35"/>
        <v>0.375</v>
      </c>
      <c r="H89" s="3">
        <v>0.2</v>
      </c>
      <c r="I89" s="3">
        <f t="shared" si="33"/>
        <v>1.5</v>
      </c>
      <c r="J89" s="3">
        <f t="shared" si="34"/>
        <v>31192500000</v>
      </c>
    </row>
    <row r="90" spans="1:10" x14ac:dyDescent="0.25">
      <c r="B90">
        <v>45300000000</v>
      </c>
      <c r="C90">
        <v>43000000000</v>
      </c>
      <c r="D90" s="3">
        <v>2.3999999999999998E-3</v>
      </c>
      <c r="E90">
        <f t="shared" si="36"/>
        <v>-1.0000000000000002E-4</v>
      </c>
      <c r="F90" s="3">
        <v>1</v>
      </c>
      <c r="G90" s="3">
        <f t="shared" si="35"/>
        <v>0.45833333333333331</v>
      </c>
      <c r="H90" s="3">
        <v>0.2</v>
      </c>
      <c r="I90" s="3">
        <f t="shared" si="33"/>
        <v>1.8333333333333333</v>
      </c>
      <c r="J90" s="3">
        <f t="shared" si="34"/>
        <v>28057500000.000004</v>
      </c>
    </row>
    <row r="91" spans="1:10" x14ac:dyDescent="0.25">
      <c r="B91">
        <v>45300000000</v>
      </c>
      <c r="C91">
        <v>43000000000</v>
      </c>
      <c r="D91" s="3">
        <v>2.3999999999999998E-3</v>
      </c>
      <c r="E91">
        <f t="shared" si="36"/>
        <v>9.9999999999999991E-5</v>
      </c>
      <c r="F91" s="3">
        <v>1</v>
      </c>
      <c r="G91" s="3">
        <f t="shared" si="35"/>
        <v>0.54166666666666663</v>
      </c>
      <c r="H91" s="3">
        <v>0.2</v>
      </c>
      <c r="I91" s="3">
        <f t="shared" si="33"/>
        <v>1.8333333333333333</v>
      </c>
      <c r="J91" s="3">
        <f t="shared" si="34"/>
        <v>27865833333.333332</v>
      </c>
    </row>
    <row r="92" spans="1:10" x14ac:dyDescent="0.25">
      <c r="B92">
        <v>45300000000</v>
      </c>
      <c r="C92">
        <v>43000000000</v>
      </c>
      <c r="D92" s="3">
        <v>2.3999999999999998E-3</v>
      </c>
      <c r="E92">
        <f t="shared" si="36"/>
        <v>3.0000000000000003E-4</v>
      </c>
      <c r="F92" s="3">
        <v>1</v>
      </c>
      <c r="G92" s="3">
        <f t="shared" si="35"/>
        <v>0.625</v>
      </c>
      <c r="H92" s="3">
        <v>0.2</v>
      </c>
      <c r="I92" s="3">
        <f t="shared" si="33"/>
        <v>1.5</v>
      </c>
      <c r="J92" s="3">
        <f t="shared" si="34"/>
        <v>30617500000</v>
      </c>
    </row>
    <row r="93" spans="1:10" x14ac:dyDescent="0.25">
      <c r="B93">
        <v>45300000000</v>
      </c>
      <c r="C93">
        <v>43000000000</v>
      </c>
      <c r="D93" s="3">
        <v>2.3999999999999998E-3</v>
      </c>
      <c r="E93">
        <f t="shared" si="36"/>
        <v>5.0000000000000001E-4</v>
      </c>
      <c r="F93" s="3">
        <v>1</v>
      </c>
      <c r="G93" s="3">
        <f t="shared" si="35"/>
        <v>0.70833333333333337</v>
      </c>
      <c r="H93" s="3">
        <v>0.2</v>
      </c>
      <c r="I93" s="3">
        <f t="shared" si="33"/>
        <v>1.1666666666666665</v>
      </c>
      <c r="J93" s="3">
        <f t="shared" si="34"/>
        <v>33369166666.666672</v>
      </c>
    </row>
    <row r="94" spans="1:10" x14ac:dyDescent="0.25">
      <c r="B94">
        <v>45300000000</v>
      </c>
      <c r="C94">
        <v>43000000000</v>
      </c>
      <c r="D94" s="3">
        <v>2.3999999999999998E-3</v>
      </c>
      <c r="E94">
        <f t="shared" si="36"/>
        <v>6.9999999999999999E-4</v>
      </c>
      <c r="F94" s="3">
        <v>1</v>
      </c>
      <c r="G94" s="3">
        <f t="shared" si="35"/>
        <v>0.79166666666666674</v>
      </c>
      <c r="H94" s="3">
        <v>0.2</v>
      </c>
      <c r="I94" s="3">
        <f t="shared" si="33"/>
        <v>0.83333333333333326</v>
      </c>
      <c r="J94" s="3">
        <f t="shared" si="34"/>
        <v>36120833333.333328</v>
      </c>
    </row>
    <row r="95" spans="1:10" x14ac:dyDescent="0.25">
      <c r="B95">
        <v>45300000000</v>
      </c>
      <c r="C95">
        <v>43000000000</v>
      </c>
      <c r="D95" s="3">
        <v>2.3999999999999998E-3</v>
      </c>
      <c r="E95">
        <f t="shared" si="36"/>
        <v>8.9999999999999998E-4</v>
      </c>
      <c r="F95" s="3">
        <v>1</v>
      </c>
      <c r="G95" s="3">
        <f t="shared" si="35"/>
        <v>0.875</v>
      </c>
      <c r="H95" s="3">
        <v>0.2</v>
      </c>
      <c r="I95" s="3">
        <f t="shared" si="33"/>
        <v>0.5</v>
      </c>
      <c r="J95" s="3">
        <f t="shared" si="34"/>
        <v>38872500000</v>
      </c>
    </row>
    <row r="96" spans="1:10" x14ac:dyDescent="0.25">
      <c r="B96">
        <v>45300000000</v>
      </c>
      <c r="C96">
        <v>43000000000</v>
      </c>
      <c r="D96" s="3">
        <v>2.3999999999999998E-3</v>
      </c>
      <c r="E96" s="4">
        <v>1.1000000000000001E-3</v>
      </c>
      <c r="F96" s="3">
        <v>1</v>
      </c>
      <c r="G96" s="3">
        <f t="shared" si="35"/>
        <v>0.95833333333333348</v>
      </c>
      <c r="H96" s="3">
        <v>0.2</v>
      </c>
      <c r="I96" s="3">
        <f t="shared" si="33"/>
        <v>0.1666666666666663</v>
      </c>
      <c r="J96" s="3">
        <f t="shared" si="34"/>
        <v>41624166666.666672</v>
      </c>
    </row>
    <row r="99" spans="1:10" x14ac:dyDescent="0.25">
      <c r="A99" t="s">
        <v>103</v>
      </c>
      <c r="B99" s="1" t="s">
        <v>89</v>
      </c>
      <c r="C99" s="1" t="s">
        <v>90</v>
      </c>
      <c r="D99" s="1" t="s">
        <v>91</v>
      </c>
      <c r="E99" s="1" t="s">
        <v>92</v>
      </c>
      <c r="F99" s="1" t="s">
        <v>93</v>
      </c>
      <c r="G99" s="1" t="s">
        <v>94</v>
      </c>
      <c r="H99" s="1" t="s">
        <v>95</v>
      </c>
      <c r="I99" s="1" t="s">
        <v>96</v>
      </c>
      <c r="J99" s="1" t="s">
        <v>97</v>
      </c>
    </row>
    <row r="100" spans="1:10" x14ac:dyDescent="0.25">
      <c r="B100">
        <v>56500000000</v>
      </c>
      <c r="C100">
        <v>44500000000</v>
      </c>
      <c r="D100" s="3">
        <v>2.3999999999999998E-3</v>
      </c>
      <c r="E100">
        <v>-1.1000000000000001E-3</v>
      </c>
      <c r="F100" s="3">
        <v>1</v>
      </c>
      <c r="G100" s="3">
        <f>(0.5+E100/D100)^F100</f>
        <v>4.1666666666666574E-2</v>
      </c>
      <c r="H100" s="3">
        <v>0.2</v>
      </c>
      <c r="I100" s="3">
        <f>2*(1-2*ABS(E100)/D100)</f>
        <v>0.1666666666666663</v>
      </c>
      <c r="J100" s="3">
        <f t="shared" ref="J100:J111" si="37">(C100-B100)*G100+B100-(B100+C100)*(H100/2)*I100</f>
        <v>54316666666.666672</v>
      </c>
    </row>
    <row r="101" spans="1:10" x14ac:dyDescent="0.25">
      <c r="B101">
        <v>56500000000</v>
      </c>
      <c r="C101">
        <v>44500000000</v>
      </c>
      <c r="D101" s="3">
        <v>2.3999999999999998E-3</v>
      </c>
      <c r="E101">
        <f>-0.001+0.0001</f>
        <v>-8.9999999999999998E-4</v>
      </c>
      <c r="F101" s="3">
        <v>1</v>
      </c>
      <c r="G101" s="3">
        <f>(0.5+E101/D101)^F101</f>
        <v>0.125</v>
      </c>
      <c r="H101" s="3">
        <v>0.2</v>
      </c>
      <c r="I101" s="3">
        <f t="shared" ref="I101:I111" si="38">2*(1-2*ABS(E101)/D101)</f>
        <v>0.5</v>
      </c>
      <c r="J101" s="3">
        <f t="shared" si="37"/>
        <v>49950000000</v>
      </c>
    </row>
    <row r="102" spans="1:10" x14ac:dyDescent="0.25">
      <c r="B102">
        <v>56500000000</v>
      </c>
      <c r="C102">
        <v>44500000000</v>
      </c>
      <c r="D102" s="3">
        <v>2.3999999999999998E-3</v>
      </c>
      <c r="E102">
        <f>E101+0.0002</f>
        <v>-6.9999999999999999E-4</v>
      </c>
      <c r="F102" s="3">
        <v>1</v>
      </c>
      <c r="G102" s="3">
        <f t="shared" ref="G102:G111" si="39">(0.5+E102/D102)^F102</f>
        <v>0.20833333333333331</v>
      </c>
      <c r="H102" s="3">
        <v>0.2</v>
      </c>
      <c r="I102" s="3">
        <f t="shared" si="38"/>
        <v>0.83333333333333326</v>
      </c>
      <c r="J102" s="3">
        <f t="shared" si="37"/>
        <v>45583333333.333336</v>
      </c>
    </row>
    <row r="103" spans="1:10" x14ac:dyDescent="0.25">
      <c r="B103">
        <v>56500000000</v>
      </c>
      <c r="C103">
        <v>44500000000</v>
      </c>
      <c r="D103" s="3">
        <v>2.3999999999999998E-3</v>
      </c>
      <c r="E103">
        <f t="shared" ref="E103:E110" si="40">E102+0.0002</f>
        <v>-5.0000000000000001E-4</v>
      </c>
      <c r="F103" s="3">
        <v>1</v>
      </c>
      <c r="G103" s="3">
        <f t="shared" si="39"/>
        <v>0.29166666666666663</v>
      </c>
      <c r="H103" s="3">
        <v>0.2</v>
      </c>
      <c r="I103" s="3">
        <f t="shared" si="38"/>
        <v>1.1666666666666665</v>
      </c>
      <c r="J103" s="3">
        <f t="shared" si="37"/>
        <v>41216666666.666672</v>
      </c>
    </row>
    <row r="104" spans="1:10" x14ac:dyDescent="0.25">
      <c r="B104">
        <v>56500000000</v>
      </c>
      <c r="C104">
        <v>44500000000</v>
      </c>
      <c r="D104" s="3">
        <v>2.3999999999999998E-3</v>
      </c>
      <c r="E104">
        <f t="shared" si="40"/>
        <v>-3.0000000000000003E-4</v>
      </c>
      <c r="F104" s="3">
        <v>1</v>
      </c>
      <c r="G104" s="3">
        <f t="shared" si="39"/>
        <v>0.375</v>
      </c>
      <c r="H104" s="3">
        <v>0.2</v>
      </c>
      <c r="I104" s="3">
        <f t="shared" si="38"/>
        <v>1.5</v>
      </c>
      <c r="J104" s="3">
        <f t="shared" si="37"/>
        <v>36850000000</v>
      </c>
    </row>
    <row r="105" spans="1:10" x14ac:dyDescent="0.25">
      <c r="B105">
        <v>56500000000</v>
      </c>
      <c r="C105">
        <v>44500000000</v>
      </c>
      <c r="D105" s="3">
        <v>2.3999999999999998E-3</v>
      </c>
      <c r="E105">
        <f t="shared" si="40"/>
        <v>-1.0000000000000002E-4</v>
      </c>
      <c r="F105" s="3">
        <v>1</v>
      </c>
      <c r="G105" s="3">
        <f t="shared" si="39"/>
        <v>0.45833333333333331</v>
      </c>
      <c r="H105" s="3">
        <v>0.2</v>
      </c>
      <c r="I105" s="3">
        <f t="shared" si="38"/>
        <v>1.8333333333333333</v>
      </c>
      <c r="J105" s="3">
        <f t="shared" si="37"/>
        <v>32483333333.333336</v>
      </c>
    </row>
    <row r="106" spans="1:10" x14ac:dyDescent="0.25">
      <c r="B106">
        <v>56500000000</v>
      </c>
      <c r="C106">
        <v>44500000000</v>
      </c>
      <c r="D106" s="3">
        <v>2.3999999999999998E-3</v>
      </c>
      <c r="E106">
        <f t="shared" si="40"/>
        <v>9.9999999999999991E-5</v>
      </c>
      <c r="F106" s="3">
        <v>1</v>
      </c>
      <c r="G106" s="3">
        <f t="shared" si="39"/>
        <v>0.54166666666666663</v>
      </c>
      <c r="H106" s="3">
        <v>0.2</v>
      </c>
      <c r="I106" s="3">
        <f t="shared" si="38"/>
        <v>1.8333333333333333</v>
      </c>
      <c r="J106" s="3">
        <f t="shared" si="37"/>
        <v>31483333333.333336</v>
      </c>
    </row>
    <row r="107" spans="1:10" x14ac:dyDescent="0.25">
      <c r="B107">
        <v>56500000000</v>
      </c>
      <c r="C107">
        <v>44500000000</v>
      </c>
      <c r="D107" s="3">
        <v>2.3999999999999998E-3</v>
      </c>
      <c r="E107">
        <f t="shared" si="40"/>
        <v>3.0000000000000003E-4</v>
      </c>
      <c r="F107" s="3">
        <v>1</v>
      </c>
      <c r="G107" s="3">
        <f t="shared" si="39"/>
        <v>0.625</v>
      </c>
      <c r="H107" s="3">
        <v>0.2</v>
      </c>
      <c r="I107" s="3">
        <f t="shared" si="38"/>
        <v>1.5</v>
      </c>
      <c r="J107" s="3">
        <f t="shared" si="37"/>
        <v>33850000000</v>
      </c>
    </row>
    <row r="108" spans="1:10" x14ac:dyDescent="0.25">
      <c r="B108">
        <v>56500000000</v>
      </c>
      <c r="C108">
        <v>44500000000</v>
      </c>
      <c r="D108" s="3">
        <v>2.3999999999999998E-3</v>
      </c>
      <c r="E108">
        <f t="shared" si="40"/>
        <v>5.0000000000000001E-4</v>
      </c>
      <c r="F108" s="3">
        <v>1</v>
      </c>
      <c r="G108" s="3">
        <f t="shared" si="39"/>
        <v>0.70833333333333337</v>
      </c>
      <c r="H108" s="3">
        <v>0.2</v>
      </c>
      <c r="I108" s="3">
        <f t="shared" si="38"/>
        <v>1.1666666666666665</v>
      </c>
      <c r="J108" s="3">
        <f t="shared" si="37"/>
        <v>36216666666.666672</v>
      </c>
    </row>
    <row r="109" spans="1:10" x14ac:dyDescent="0.25">
      <c r="B109">
        <v>56500000000</v>
      </c>
      <c r="C109">
        <v>44500000000</v>
      </c>
      <c r="D109" s="3">
        <v>2.3999999999999998E-3</v>
      </c>
      <c r="E109">
        <f t="shared" si="40"/>
        <v>6.9999999999999999E-4</v>
      </c>
      <c r="F109" s="3">
        <v>1</v>
      </c>
      <c r="G109" s="3">
        <f t="shared" si="39"/>
        <v>0.79166666666666674</v>
      </c>
      <c r="H109" s="3">
        <v>0.2</v>
      </c>
      <c r="I109" s="3">
        <f t="shared" si="38"/>
        <v>0.83333333333333326</v>
      </c>
      <c r="J109" s="3">
        <f t="shared" si="37"/>
        <v>38583333333.333336</v>
      </c>
    </row>
    <row r="110" spans="1:10" x14ac:dyDescent="0.25">
      <c r="B110">
        <v>56500000000</v>
      </c>
      <c r="C110">
        <v>44500000000</v>
      </c>
      <c r="D110" s="3">
        <v>2.3999999999999998E-3</v>
      </c>
      <c r="E110">
        <f t="shared" si="40"/>
        <v>8.9999999999999998E-4</v>
      </c>
      <c r="F110" s="3">
        <v>1</v>
      </c>
      <c r="G110" s="3">
        <f t="shared" si="39"/>
        <v>0.875</v>
      </c>
      <c r="H110" s="3">
        <v>0.2</v>
      </c>
      <c r="I110" s="3">
        <f t="shared" si="38"/>
        <v>0.5</v>
      </c>
      <c r="J110" s="3">
        <f t="shared" si="37"/>
        <v>40950000000</v>
      </c>
    </row>
    <row r="111" spans="1:10" x14ac:dyDescent="0.25">
      <c r="B111">
        <v>56500000000</v>
      </c>
      <c r="C111">
        <v>44500000000</v>
      </c>
      <c r="D111" s="3">
        <v>2.3999999999999998E-3</v>
      </c>
      <c r="E111" s="4">
        <v>1.1000000000000001E-3</v>
      </c>
      <c r="F111" s="3">
        <v>1</v>
      </c>
      <c r="G111" s="3">
        <f t="shared" si="39"/>
        <v>0.95833333333333348</v>
      </c>
      <c r="H111" s="3">
        <v>0.2</v>
      </c>
      <c r="I111" s="3">
        <f t="shared" si="38"/>
        <v>0.1666666666666663</v>
      </c>
      <c r="J111" s="3">
        <f t="shared" si="37"/>
        <v>43316666666.666672</v>
      </c>
    </row>
    <row r="121" spans="2:19" x14ac:dyDescent="0.25">
      <c r="B121" s="1"/>
      <c r="C121" s="1" t="s">
        <v>104</v>
      </c>
      <c r="D121" s="1"/>
      <c r="E121" s="1"/>
      <c r="F121" s="1"/>
      <c r="G121" s="1"/>
      <c r="H121" s="1"/>
      <c r="I121" s="1"/>
      <c r="J121" s="1"/>
    </row>
    <row r="122" spans="2:19" x14ac:dyDescent="0.25">
      <c r="B122" s="1"/>
      <c r="C122" s="1"/>
      <c r="D122" s="1"/>
      <c r="E122" s="1"/>
      <c r="F122" s="1"/>
      <c r="G122" s="1"/>
      <c r="H122" s="1"/>
      <c r="I122" s="1"/>
      <c r="J122" s="1"/>
    </row>
    <row r="123" spans="2:19" x14ac:dyDescent="0.25">
      <c r="B123" s="1" t="s">
        <v>105</v>
      </c>
      <c r="C123" s="1"/>
      <c r="D123" s="1" t="s">
        <v>79</v>
      </c>
      <c r="E123" s="1" t="s">
        <v>82</v>
      </c>
      <c r="F123" s="1" t="s">
        <v>80</v>
      </c>
      <c r="G123" s="1" t="s">
        <v>81</v>
      </c>
      <c r="H123" s="1" t="s">
        <v>83</v>
      </c>
      <c r="I123" s="1" t="s">
        <v>84</v>
      </c>
      <c r="J123" s="1" t="s">
        <v>85</v>
      </c>
      <c r="M123" s="5" t="s">
        <v>79</v>
      </c>
      <c r="N123" s="6" t="s">
        <v>80</v>
      </c>
      <c r="P123" t="s">
        <v>106</v>
      </c>
      <c r="Q123" t="s">
        <v>107</v>
      </c>
      <c r="R123" t="s">
        <v>108</v>
      </c>
      <c r="S123" t="s">
        <v>109</v>
      </c>
    </row>
    <row r="124" spans="2:19" x14ac:dyDescent="0.25">
      <c r="C124">
        <v>1</v>
      </c>
      <c r="D124" s="2">
        <v>273466666666.66669</v>
      </c>
      <c r="E124" s="2">
        <v>257829166666.66669</v>
      </c>
      <c r="F124" s="2">
        <v>164833333333.33334</v>
      </c>
      <c r="G124" s="2">
        <v>162033333333.33337</v>
      </c>
      <c r="H124" s="2">
        <v>43732500000</v>
      </c>
      <c r="I124" s="2">
        <v>43732500000</v>
      </c>
      <c r="J124" s="2">
        <v>54316666666.666672</v>
      </c>
      <c r="K124" s="3"/>
      <c r="L124" s="7"/>
      <c r="M124" s="2">
        <f t="shared" ref="M124:M135" si="41">D124-G124^2/E124</f>
        <v>171636445320.70651</v>
      </c>
      <c r="N124" s="2">
        <f t="shared" ref="N124:N135" si="42">F124-G124^2/E124</f>
        <v>63003111987.373169</v>
      </c>
      <c r="P124" s="2">
        <f>M124*(1-Q124^2)</f>
        <v>148509701390.08859</v>
      </c>
      <c r="Q124" s="2">
        <f>N124/M124</f>
        <v>0.36707304133251217</v>
      </c>
      <c r="R124" s="2">
        <f t="shared" ref="R124:R135" si="43">H124*6/5</f>
        <v>52479000000</v>
      </c>
      <c r="S124" s="2">
        <f t="shared" ref="S124:S135" si="44">J124+0</f>
        <v>54316666666.666672</v>
      </c>
    </row>
    <row r="125" spans="2:19" x14ac:dyDescent="0.25">
      <c r="C125">
        <v>2</v>
      </c>
      <c r="D125" s="2">
        <v>248400000000</v>
      </c>
      <c r="E125" s="2">
        <v>234487500000</v>
      </c>
      <c r="F125" s="2">
        <v>148500000000</v>
      </c>
      <c r="G125" s="2">
        <v>146100000000</v>
      </c>
      <c r="H125" s="2">
        <v>40597500000</v>
      </c>
      <c r="I125" s="2">
        <v>40597500000</v>
      </c>
      <c r="J125" s="2">
        <v>49950000000</v>
      </c>
      <c r="K125" s="3"/>
      <c r="L125" s="7"/>
      <c r="M125" s="2">
        <f t="shared" si="41"/>
        <v>157370798016.95184</v>
      </c>
      <c r="N125" s="2">
        <f t="shared" si="42"/>
        <v>57470798016.951859</v>
      </c>
      <c r="P125" s="2">
        <f t="shared" ref="P125:P135" si="45">M125*(1-Q125^2)</f>
        <v>136382834135.9433</v>
      </c>
      <c r="Q125" s="2">
        <f t="shared" ref="Q125:Q135" si="46">N125/M125</f>
        <v>0.36519353489432743</v>
      </c>
      <c r="R125" s="2">
        <f t="shared" si="43"/>
        <v>48717000000</v>
      </c>
      <c r="S125" s="2">
        <f t="shared" si="44"/>
        <v>49950000000</v>
      </c>
    </row>
    <row r="126" spans="2:19" x14ac:dyDescent="0.25">
      <c r="C126">
        <v>3</v>
      </c>
      <c r="D126" s="2">
        <v>223333333333.33334</v>
      </c>
      <c r="E126" s="2">
        <v>211145833333.33331</v>
      </c>
      <c r="F126" s="2">
        <v>132166666666.66667</v>
      </c>
      <c r="G126" s="2">
        <v>130166666666.66669</v>
      </c>
      <c r="H126" s="2">
        <v>37462500000</v>
      </c>
      <c r="I126" s="2">
        <v>37462500000</v>
      </c>
      <c r="J126" s="2">
        <v>45583333333.333336</v>
      </c>
      <c r="K126" s="7"/>
      <c r="L126" s="7"/>
      <c r="M126" s="2">
        <f t="shared" si="41"/>
        <v>143088505180.06903</v>
      </c>
      <c r="N126" s="2">
        <f t="shared" si="42"/>
        <v>51921838513.402374</v>
      </c>
      <c r="P126" s="2">
        <f t="shared" si="45"/>
        <v>124247877058.19984</v>
      </c>
      <c r="Q126" s="2">
        <f t="shared" si="46"/>
        <v>0.36286519625082103</v>
      </c>
      <c r="R126" s="2">
        <f t="shared" si="43"/>
        <v>44955000000</v>
      </c>
      <c r="S126" s="2">
        <f t="shared" si="44"/>
        <v>45583333333.333336</v>
      </c>
    </row>
    <row r="127" spans="2:19" x14ac:dyDescent="0.25">
      <c r="C127">
        <v>4</v>
      </c>
      <c r="D127" s="2">
        <v>198266666666.66669</v>
      </c>
      <c r="E127" s="2">
        <v>187804166666.66669</v>
      </c>
      <c r="F127" s="2">
        <v>115833333333.33334</v>
      </c>
      <c r="G127" s="2">
        <v>114233333333.33336</v>
      </c>
      <c r="H127" s="2">
        <v>34327500000</v>
      </c>
      <c r="I127" s="2">
        <v>34327500000</v>
      </c>
      <c r="J127" s="2">
        <v>41216666666.666672</v>
      </c>
      <c r="K127" s="7"/>
      <c r="L127" s="7"/>
      <c r="M127" s="2">
        <f t="shared" si="41"/>
        <v>128783360326.58133</v>
      </c>
      <c r="N127" s="2">
        <f t="shared" si="42"/>
        <v>46350026993.247986</v>
      </c>
      <c r="P127" s="2">
        <f t="shared" si="45"/>
        <v>112101663274.828</v>
      </c>
      <c r="Q127" s="2">
        <f t="shared" si="46"/>
        <v>0.35990695440551557</v>
      </c>
      <c r="R127" s="2">
        <f t="shared" si="43"/>
        <v>41193000000</v>
      </c>
      <c r="S127" s="2">
        <f t="shared" si="44"/>
        <v>41216666666.666672</v>
      </c>
    </row>
    <row r="128" spans="2:19" x14ac:dyDescent="0.25">
      <c r="C128">
        <v>5</v>
      </c>
      <c r="D128" s="2">
        <v>173200000000</v>
      </c>
      <c r="E128" s="2">
        <v>164462500000</v>
      </c>
      <c r="F128" s="2">
        <v>99500000000</v>
      </c>
      <c r="G128" s="2">
        <v>98300000000</v>
      </c>
      <c r="H128" s="2">
        <v>31192500000</v>
      </c>
      <c r="I128" s="2">
        <v>31192500000</v>
      </c>
      <c r="J128" s="2">
        <v>36850000000</v>
      </c>
      <c r="K128" s="7"/>
      <c r="L128" s="7"/>
      <c r="M128" s="2">
        <f t="shared" si="41"/>
        <v>114445633503.0782</v>
      </c>
      <c r="N128" s="2">
        <f t="shared" si="42"/>
        <v>40745633503.078201</v>
      </c>
      <c r="P128" s="2">
        <f t="shared" si="45"/>
        <v>99939124178.52179</v>
      </c>
      <c r="Q128" s="2">
        <f t="shared" si="46"/>
        <v>0.3560261082567408</v>
      </c>
      <c r="R128" s="2">
        <f t="shared" si="43"/>
        <v>37431000000</v>
      </c>
      <c r="S128" s="2">
        <f t="shared" si="44"/>
        <v>36850000000</v>
      </c>
    </row>
    <row r="129" spans="3:19" x14ac:dyDescent="0.25">
      <c r="C129">
        <v>6</v>
      </c>
      <c r="D129" s="2">
        <v>148133333333.33334</v>
      </c>
      <c r="E129" s="2">
        <v>141120833333.33337</v>
      </c>
      <c r="F129" s="2">
        <v>83166666666.666672</v>
      </c>
      <c r="G129" s="2">
        <v>82366666666.666687</v>
      </c>
      <c r="H129" s="2">
        <v>28057500000.000004</v>
      </c>
      <c r="I129" s="2">
        <v>28057500000.000004</v>
      </c>
      <c r="J129" s="2">
        <v>32483333333.333336</v>
      </c>
      <c r="K129" s="7"/>
      <c r="L129" s="7"/>
      <c r="M129" s="2">
        <f t="shared" si="41"/>
        <v>100059157341.52174</v>
      </c>
      <c r="N129" s="2">
        <f t="shared" si="42"/>
        <v>35092490674.855072</v>
      </c>
      <c r="P129" s="2">
        <f t="shared" si="45"/>
        <v>87751609142.195068</v>
      </c>
      <c r="Q129" s="2">
        <f t="shared" si="46"/>
        <v>0.35071743163973929</v>
      </c>
      <c r="R129" s="2">
        <f t="shared" si="43"/>
        <v>33669000000.000008</v>
      </c>
      <c r="S129" s="2">
        <f t="shared" si="44"/>
        <v>32483333333.333336</v>
      </c>
    </row>
    <row r="130" spans="3:19" x14ac:dyDescent="0.25">
      <c r="C130">
        <v>7</v>
      </c>
      <c r="D130" s="2">
        <v>138133333333.33334</v>
      </c>
      <c r="E130" s="2">
        <v>132162500000.00002</v>
      </c>
      <c r="F130" s="2">
        <v>75166666666.666672</v>
      </c>
      <c r="G130" s="2">
        <v>74700000000</v>
      </c>
      <c r="H130" s="2">
        <v>27865833333.333332</v>
      </c>
      <c r="I130" s="2">
        <v>27865833333.333332</v>
      </c>
      <c r="J130" s="2">
        <v>31483333333.333336</v>
      </c>
      <c r="K130" s="7"/>
      <c r="L130" s="7"/>
      <c r="M130" s="2">
        <f t="shared" si="41"/>
        <v>95911901384.028503</v>
      </c>
      <c r="N130" s="2">
        <f t="shared" si="42"/>
        <v>32945234717.361839</v>
      </c>
      <c r="P130" s="2">
        <f t="shared" si="45"/>
        <v>84595386176.638351</v>
      </c>
      <c r="Q130" s="2">
        <f t="shared" si="46"/>
        <v>0.34349475134947083</v>
      </c>
      <c r="R130" s="2">
        <f t="shared" si="43"/>
        <v>33439000000</v>
      </c>
      <c r="S130" s="2">
        <f t="shared" si="44"/>
        <v>31483333333.333336</v>
      </c>
    </row>
    <row r="131" spans="3:19" x14ac:dyDescent="0.25">
      <c r="C131">
        <v>8</v>
      </c>
      <c r="D131" s="2">
        <v>143200000000</v>
      </c>
      <c r="E131" s="2">
        <v>137587500000</v>
      </c>
      <c r="F131" s="2">
        <v>75500000000</v>
      </c>
      <c r="G131" s="2">
        <v>75300000000</v>
      </c>
      <c r="H131" s="2">
        <v>30617500000</v>
      </c>
      <c r="I131" s="2">
        <v>30617500000</v>
      </c>
      <c r="J131" s="2">
        <v>33850000000</v>
      </c>
      <c r="K131" s="7"/>
      <c r="L131" s="7"/>
      <c r="M131" s="2">
        <f t="shared" si="41"/>
        <v>101989206868.35651</v>
      </c>
      <c r="N131" s="2">
        <f t="shared" si="42"/>
        <v>34289206868.356499</v>
      </c>
      <c r="P131" s="2">
        <f t="shared" si="45"/>
        <v>90461029095.795181</v>
      </c>
      <c r="Q131" s="2">
        <f t="shared" si="46"/>
        <v>0.33620427024808225</v>
      </c>
      <c r="R131" s="2">
        <f t="shared" si="43"/>
        <v>36741000000</v>
      </c>
      <c r="S131" s="2">
        <f t="shared" si="44"/>
        <v>33850000000</v>
      </c>
    </row>
    <row r="132" spans="3:19" x14ac:dyDescent="0.25">
      <c r="C132">
        <v>9</v>
      </c>
      <c r="D132" s="2">
        <v>148266666666.66669</v>
      </c>
      <c r="E132" s="2">
        <v>143012500000</v>
      </c>
      <c r="F132" s="2">
        <v>75833333333.333344</v>
      </c>
      <c r="G132" s="2">
        <v>75900000000</v>
      </c>
      <c r="H132" s="2">
        <v>33369166666.666672</v>
      </c>
      <c r="I132" s="2">
        <v>33369166666.666672</v>
      </c>
      <c r="J132" s="2">
        <v>36216666666.666672</v>
      </c>
      <c r="K132" s="7"/>
      <c r="L132" s="7"/>
      <c r="M132" s="2">
        <f t="shared" si="41"/>
        <v>107984803193.19409</v>
      </c>
      <c r="N132" s="2">
        <f t="shared" si="42"/>
        <v>35551469859.860748</v>
      </c>
      <c r="P132" s="2">
        <f t="shared" si="45"/>
        <v>96280313562.969452</v>
      </c>
      <c r="Q132" s="2">
        <f t="shared" si="46"/>
        <v>0.3292266023419621</v>
      </c>
      <c r="R132" s="2">
        <f t="shared" si="43"/>
        <v>40043000000.000008</v>
      </c>
      <c r="S132" s="2">
        <f t="shared" si="44"/>
        <v>36216666666.666672</v>
      </c>
    </row>
    <row r="133" spans="3:19" x14ac:dyDescent="0.25">
      <c r="C133">
        <v>10</v>
      </c>
      <c r="D133" s="2">
        <v>153333333333.33334</v>
      </c>
      <c r="E133" s="2">
        <v>148437500000</v>
      </c>
      <c r="F133" s="2">
        <v>76166666666.666672</v>
      </c>
      <c r="G133" s="2">
        <v>76500000000</v>
      </c>
      <c r="H133" s="2">
        <v>36120833333.333328</v>
      </c>
      <c r="I133" s="2">
        <v>36120833333.333328</v>
      </c>
      <c r="J133" s="2">
        <v>38583333333.333336</v>
      </c>
      <c r="K133" s="7"/>
      <c r="L133" s="7"/>
      <c r="M133" s="2">
        <f t="shared" si="41"/>
        <v>113907649122.80702</v>
      </c>
      <c r="N133" s="2">
        <f t="shared" si="42"/>
        <v>36740982456.14035</v>
      </c>
      <c r="P133" s="2">
        <f t="shared" si="45"/>
        <v>102056822578.33986</v>
      </c>
      <c r="Q133" s="2">
        <f t="shared" si="46"/>
        <v>0.32255061656595924</v>
      </c>
      <c r="R133" s="2">
        <f t="shared" si="43"/>
        <v>43344999999.999992</v>
      </c>
      <c r="S133" s="2">
        <f t="shared" si="44"/>
        <v>38583333333.333336</v>
      </c>
    </row>
    <row r="134" spans="3:19" x14ac:dyDescent="0.25">
      <c r="C134">
        <v>11</v>
      </c>
      <c r="D134" s="2">
        <v>158400000000</v>
      </c>
      <c r="E134" s="2">
        <v>153862500000</v>
      </c>
      <c r="F134" s="2">
        <v>76500000000</v>
      </c>
      <c r="G134" s="2">
        <v>77100000000</v>
      </c>
      <c r="H134" s="2">
        <v>38872500000</v>
      </c>
      <c r="I134" s="2">
        <v>38872500000</v>
      </c>
      <c r="J134" s="2">
        <v>40950000000</v>
      </c>
      <c r="K134" s="7"/>
      <c r="L134" s="7"/>
      <c r="M134" s="2">
        <f t="shared" si="41"/>
        <v>119765439922.00829</v>
      </c>
      <c r="N134" s="2">
        <f t="shared" si="42"/>
        <v>37865439922.008286</v>
      </c>
      <c r="P134" s="2">
        <f t="shared" si="45"/>
        <v>107793776465.33072</v>
      </c>
      <c r="Q134" s="2">
        <f t="shared" si="46"/>
        <v>0.31616332680501491</v>
      </c>
      <c r="R134" s="2">
        <f t="shared" si="43"/>
        <v>46647000000</v>
      </c>
      <c r="S134" s="2">
        <f t="shared" si="44"/>
        <v>40950000000</v>
      </c>
    </row>
    <row r="135" spans="3:19" x14ac:dyDescent="0.25">
      <c r="C135">
        <v>12</v>
      </c>
      <c r="D135" s="2">
        <v>163466666666.66669</v>
      </c>
      <c r="E135" s="2">
        <v>159287500000</v>
      </c>
      <c r="F135" s="2">
        <v>76833333333.333328</v>
      </c>
      <c r="G135" s="2">
        <v>77699999999.999985</v>
      </c>
      <c r="H135" s="2">
        <v>41624166666.666672</v>
      </c>
      <c r="I135" s="2">
        <v>41624166666.666672</v>
      </c>
      <c r="J135" s="2">
        <v>43316666666.666672</v>
      </c>
      <c r="K135" s="7"/>
      <c r="L135" s="7"/>
      <c r="M135" s="2">
        <f t="shared" si="41"/>
        <v>125564822516.93744</v>
      </c>
      <c r="N135" s="2">
        <f t="shared" si="42"/>
        <v>38931489183.60408</v>
      </c>
      <c r="P135" s="2">
        <f t="shared" si="45"/>
        <v>113494078341.36522</v>
      </c>
      <c r="Q135" s="2">
        <f t="shared" si="46"/>
        <v>0.31005092352480018</v>
      </c>
      <c r="R135" s="2">
        <f t="shared" si="43"/>
        <v>49949000000.000008</v>
      </c>
      <c r="S135" s="2">
        <f t="shared" si="44"/>
        <v>43316666666.666672</v>
      </c>
    </row>
    <row r="146" spans="1:29" x14ac:dyDescent="0.25">
      <c r="A146" t="s">
        <v>48</v>
      </c>
    </row>
    <row r="147" spans="1:29" x14ac:dyDescent="0.25">
      <c r="A147" t="s">
        <v>49</v>
      </c>
    </row>
    <row r="149" spans="1:29" x14ac:dyDescent="0.25">
      <c r="B149" t="s">
        <v>69</v>
      </c>
      <c r="C149" t="s">
        <v>70</v>
      </c>
      <c r="D149" t="s">
        <v>71</v>
      </c>
      <c r="E149" t="s">
        <v>72</v>
      </c>
      <c r="F149" t="s">
        <v>73</v>
      </c>
      <c r="G149" t="s">
        <v>74</v>
      </c>
      <c r="H149" t="s">
        <v>75</v>
      </c>
      <c r="I149" t="s">
        <v>76</v>
      </c>
      <c r="J149" t="s">
        <v>50</v>
      </c>
      <c r="K149" t="s">
        <v>51</v>
      </c>
      <c r="L149" t="s">
        <v>52</v>
      </c>
      <c r="M149" t="s">
        <v>52</v>
      </c>
      <c r="N149" t="s">
        <v>53</v>
      </c>
      <c r="O149" t="s">
        <v>54</v>
      </c>
      <c r="P149" t="s">
        <v>55</v>
      </c>
      <c r="Q149" t="s">
        <v>56</v>
      </c>
      <c r="R149" t="s">
        <v>57</v>
      </c>
      <c r="S149" t="s">
        <v>58</v>
      </c>
      <c r="T149" t="s">
        <v>77</v>
      </c>
      <c r="U149" t="s">
        <v>68</v>
      </c>
      <c r="V149" t="s">
        <v>59</v>
      </c>
      <c r="W149" t="s">
        <v>60</v>
      </c>
      <c r="X149" t="s">
        <v>61</v>
      </c>
      <c r="Y149" t="s">
        <v>62</v>
      </c>
      <c r="Z149" t="s">
        <v>63</v>
      </c>
      <c r="AA149" t="s">
        <v>64</v>
      </c>
      <c r="AB149" t="s">
        <v>65</v>
      </c>
      <c r="AC149" t="s">
        <v>66</v>
      </c>
    </row>
    <row r="150" spans="1:29" x14ac:dyDescent="0.25">
      <c r="A150" s="3"/>
      <c r="B150">
        <v>1</v>
      </c>
      <c r="C150">
        <v>-1.1000000000000001E-3</v>
      </c>
      <c r="D150" s="3">
        <f>(30/0.0024)*C150+30/2</f>
        <v>1.2499999999999964</v>
      </c>
      <c r="E150" s="3">
        <v>9.8091666666666675E-6</v>
      </c>
      <c r="F150" s="3">
        <f>E150*D150</f>
        <v>1.2261458333333299E-5</v>
      </c>
      <c r="G150" s="9">
        <v>171636445320.70651</v>
      </c>
      <c r="H150" s="9">
        <v>171636445320.70651</v>
      </c>
      <c r="I150" s="9">
        <v>63003111987.373169</v>
      </c>
      <c r="J150" s="3">
        <f>F150*G150+I150*F150</f>
        <v>2877023.1552847894</v>
      </c>
      <c r="K150" s="3">
        <f>H150*F150+I150*F150</f>
        <v>2877023.1552847894</v>
      </c>
      <c r="L150">
        <f>3.14*0.3183*0.0002</f>
        <v>1.9989240000000002E-4</v>
      </c>
      <c r="M150">
        <f>0.0508*0.0002</f>
        <v>1.0159999999999999E-5</v>
      </c>
      <c r="N150">
        <f>J150*L150</f>
        <v>575.09506336544928</v>
      </c>
      <c r="O150" s="7">
        <f>K150*M150</f>
        <v>29.230555257693457</v>
      </c>
      <c r="P150">
        <v>-1.1000000000000001</v>
      </c>
      <c r="Q150">
        <f>N150*P150</f>
        <v>-632.60456970199425</v>
      </c>
      <c r="R150">
        <f>O150*P150</f>
        <v>-32.153610783462803</v>
      </c>
      <c r="S150">
        <f>SUM(Q150:Q161)</f>
        <v>31201.223848608537</v>
      </c>
      <c r="T150" s="3">
        <f>S150/5</f>
        <v>6240.2447697217076</v>
      </c>
      <c r="U150" s="3">
        <f>S150/7</f>
        <v>4457.3176926583628</v>
      </c>
      <c r="V150" s="18">
        <f>S150/21</f>
        <v>1485.7725642194541</v>
      </c>
      <c r="W150" s="18">
        <f>S150/31</f>
        <v>1006.491091890598</v>
      </c>
      <c r="X150" s="12">
        <f>S150/41</f>
        <v>761.00545972215946</v>
      </c>
      <c r="Y150" s="3">
        <f>S150/51</f>
        <v>611.78870291389285</v>
      </c>
      <c r="Z150" s="16">
        <f>S150/61</f>
        <v>511.49547292800878</v>
      </c>
      <c r="AA150" s="3">
        <f>S150/81</f>
        <v>385.20029442726587</v>
      </c>
      <c r="AB150" s="3">
        <f>S150/101</f>
        <v>308.92300840206474</v>
      </c>
      <c r="AC150">
        <f>S150/121</f>
        <v>257.86135412073173</v>
      </c>
    </row>
    <row r="151" spans="1:29" x14ac:dyDescent="0.25">
      <c r="A151" s="3"/>
      <c r="B151">
        <v>2</v>
      </c>
      <c r="C151">
        <f>-0.001+0.0001</f>
        <v>-8.9999999999999998E-4</v>
      </c>
      <c r="D151" s="3">
        <f t="shared" ref="D151:D161" si="47">(30/0.0024)*C151+30/2</f>
        <v>3.7499999999999982</v>
      </c>
      <c r="E151" s="3">
        <v>9.4275000000000008E-6</v>
      </c>
      <c r="F151" s="3">
        <f t="shared" ref="F151:F161" si="48">E151*D151</f>
        <v>3.5353124999999987E-5</v>
      </c>
      <c r="G151" s="9">
        <v>157370798016.95184</v>
      </c>
      <c r="H151" s="9">
        <v>157370798016.95184</v>
      </c>
      <c r="I151" s="9">
        <v>57470798016.951859</v>
      </c>
      <c r="J151" s="3">
        <f t="shared" ref="J151:J161" si="49">F151*G151+I151*F151</f>
        <v>7595321.7997860983</v>
      </c>
      <c r="K151" s="3">
        <f t="shared" ref="K151:K161" si="50">H151*F151+I151*F151</f>
        <v>7595321.7997860983</v>
      </c>
      <c r="L151">
        <f t="shared" ref="L151:L161" si="51">3.14*0.3183*0.0002</f>
        <v>1.9989240000000002E-4</v>
      </c>
      <c r="M151">
        <f t="shared" ref="M151:M161" si="52">0.0508*0.0002</f>
        <v>1.0159999999999999E-5</v>
      </c>
      <c r="N151">
        <f t="shared" ref="N151:N161" si="53">J151*L151</f>
        <v>1518.2471033315628</v>
      </c>
      <c r="O151" s="7">
        <f t="shared" ref="O151:O161" si="54">K151*M151</f>
        <v>77.168469485826748</v>
      </c>
      <c r="P151">
        <v>-0.9</v>
      </c>
      <c r="Q151">
        <f t="shared" ref="Q151:Q161" si="55">N151*P151</f>
        <v>-1366.4223929984066</v>
      </c>
      <c r="R151">
        <f t="shared" ref="R151:R161" si="56">O151*P151</f>
        <v>-69.451622537244077</v>
      </c>
      <c r="S151" t="s">
        <v>67</v>
      </c>
      <c r="V151" s="13"/>
      <c r="W151" s="13"/>
      <c r="X151" s="4"/>
      <c r="Z151" s="17"/>
    </row>
    <row r="152" spans="1:29" x14ac:dyDescent="0.25">
      <c r="A152" s="3"/>
      <c r="B152">
        <v>3</v>
      </c>
      <c r="C152">
        <f>C151+0.0002</f>
        <v>-6.9999999999999999E-4</v>
      </c>
      <c r="D152" s="3">
        <f t="shared" si="47"/>
        <v>6.2499999999999982</v>
      </c>
      <c r="E152" s="3">
        <v>9.0458333333333341E-6</v>
      </c>
      <c r="F152" s="3">
        <f t="shared" si="48"/>
        <v>5.6536458333333325E-5</v>
      </c>
      <c r="G152" s="9">
        <v>143088505180.06903</v>
      </c>
      <c r="H152" s="9">
        <v>143088505180.06903</v>
      </c>
      <c r="I152" s="9">
        <v>51921838513.402374</v>
      </c>
      <c r="J152" s="3">
        <f t="shared" si="49"/>
        <v>11025194.170794956</v>
      </c>
      <c r="K152" s="3">
        <f t="shared" si="50"/>
        <v>11025194.170794956</v>
      </c>
      <c r="L152">
        <f t="shared" si="51"/>
        <v>1.9989240000000002E-4</v>
      </c>
      <c r="M152">
        <f t="shared" si="52"/>
        <v>1.0159999999999999E-5</v>
      </c>
      <c r="N152">
        <f t="shared" si="53"/>
        <v>2203.8525232662141</v>
      </c>
      <c r="O152" s="7">
        <f t="shared" si="54"/>
        <v>112.01597277527675</v>
      </c>
      <c r="P152">
        <v>-0.70000000000000007</v>
      </c>
      <c r="Q152">
        <f t="shared" si="55"/>
        <v>-1542.6967662863501</v>
      </c>
      <c r="R152">
        <f t="shared" si="56"/>
        <v>-78.411180942693733</v>
      </c>
      <c r="S152" s="3">
        <f>SUM(N150:N161)</f>
        <v>62364.906121212232</v>
      </c>
      <c r="T152" s="3">
        <f>S152/5</f>
        <v>12472.981224242447</v>
      </c>
      <c r="U152" s="3">
        <f>S152/7</f>
        <v>8909.2723030303187</v>
      </c>
      <c r="V152" s="13">
        <f>S152/21</f>
        <v>2969.7574343434399</v>
      </c>
      <c r="W152" s="18">
        <f>S152/31</f>
        <v>2011.7711652003945</v>
      </c>
      <c r="X152" s="4">
        <f>S152/41</f>
        <v>1521.0952712490789</v>
      </c>
      <c r="Y152">
        <f>S152/51</f>
        <v>1222.8412964943575</v>
      </c>
      <c r="Z152" s="17">
        <f>S152/61</f>
        <v>1022.3755101838071</v>
      </c>
      <c r="AA152">
        <f>S152/81</f>
        <v>769.93711260755845</v>
      </c>
      <c r="AB152">
        <f>S152/101</f>
        <v>617.47431803180427</v>
      </c>
      <c r="AC152">
        <f>S152/121</f>
        <v>515.41244728274569</v>
      </c>
    </row>
    <row r="153" spans="1:29" x14ac:dyDescent="0.25">
      <c r="A153" s="3"/>
      <c r="B153">
        <v>4</v>
      </c>
      <c r="C153">
        <f t="shared" ref="C153:C160" si="57">C152+0.0002</f>
        <v>-5.0000000000000001E-4</v>
      </c>
      <c r="D153" s="3">
        <f t="shared" si="47"/>
        <v>8.75</v>
      </c>
      <c r="E153" s="3">
        <v>8.6641666666666674E-6</v>
      </c>
      <c r="F153" s="3">
        <f t="shared" si="48"/>
        <v>7.5811458333333346E-5</v>
      </c>
      <c r="G153" s="9">
        <v>128783360326.58133</v>
      </c>
      <c r="H153" s="9">
        <v>128783360326.58133</v>
      </c>
      <c r="I153" s="9">
        <v>46350026993.247986</v>
      </c>
      <c r="J153" s="3">
        <f t="shared" si="49"/>
        <v>13277117.495572772</v>
      </c>
      <c r="K153" s="3">
        <f t="shared" si="50"/>
        <v>13277117.495572772</v>
      </c>
      <c r="L153">
        <f t="shared" si="51"/>
        <v>1.9989240000000002E-4</v>
      </c>
      <c r="M153">
        <f t="shared" si="52"/>
        <v>1.0159999999999999E-5</v>
      </c>
      <c r="N153">
        <f t="shared" si="53"/>
        <v>2653.9948812720309</v>
      </c>
      <c r="O153" s="7">
        <f t="shared" si="54"/>
        <v>134.89551375501935</v>
      </c>
      <c r="P153">
        <v>-0.50000000000000011</v>
      </c>
      <c r="Q153">
        <f t="shared" si="55"/>
        <v>-1326.9974406360157</v>
      </c>
      <c r="R153">
        <f t="shared" si="56"/>
        <v>-67.44775687750969</v>
      </c>
      <c r="V153" s="13"/>
    </row>
    <row r="154" spans="1:29" x14ac:dyDescent="0.25">
      <c r="A154" s="3"/>
      <c r="B154">
        <v>5</v>
      </c>
      <c r="C154">
        <f t="shared" si="57"/>
        <v>-3.0000000000000003E-4</v>
      </c>
      <c r="D154" s="3">
        <f t="shared" si="47"/>
        <v>11.25</v>
      </c>
      <c r="E154" s="3">
        <v>8.2825000000000007E-6</v>
      </c>
      <c r="F154" s="3">
        <f t="shared" si="48"/>
        <v>9.317812500000001E-5</v>
      </c>
      <c r="G154" s="9">
        <v>114445633503.0782</v>
      </c>
      <c r="H154" s="9">
        <v>114445633503.0782</v>
      </c>
      <c r="I154" s="9">
        <v>40745633503.078201</v>
      </c>
      <c r="J154" s="3">
        <f t="shared" si="49"/>
        <v>14460431.276008019</v>
      </c>
      <c r="K154" s="3">
        <f t="shared" si="50"/>
        <v>14460431.276008019</v>
      </c>
      <c r="L154">
        <f t="shared" si="51"/>
        <v>1.9989240000000002E-4</v>
      </c>
      <c r="M154">
        <f t="shared" si="52"/>
        <v>1.0159999999999999E-5</v>
      </c>
      <c r="N154">
        <f t="shared" si="53"/>
        <v>2890.5303127963057</v>
      </c>
      <c r="O154" s="7">
        <f t="shared" si="54"/>
        <v>146.91798176424146</v>
      </c>
      <c r="P154">
        <v>-0.30000000000000004</v>
      </c>
      <c r="Q154">
        <f t="shared" si="55"/>
        <v>-867.15909383889186</v>
      </c>
      <c r="R154">
        <f t="shared" si="56"/>
        <v>-44.075394529272444</v>
      </c>
      <c r="S154" t="s">
        <v>58</v>
      </c>
      <c r="T154" t="s">
        <v>77</v>
      </c>
      <c r="U154" t="s">
        <v>68</v>
      </c>
      <c r="V154" s="13" t="s">
        <v>59</v>
      </c>
      <c r="W154" t="s">
        <v>60</v>
      </c>
      <c r="X154" t="s">
        <v>61</v>
      </c>
      <c r="Y154" t="s">
        <v>62</v>
      </c>
      <c r="Z154" t="s">
        <v>63</v>
      </c>
      <c r="AA154" t="s">
        <v>64</v>
      </c>
      <c r="AB154" t="s">
        <v>65</v>
      </c>
      <c r="AC154" t="s">
        <v>66</v>
      </c>
    </row>
    <row r="155" spans="1:29" x14ac:dyDescent="0.25">
      <c r="A155" s="3"/>
      <c r="B155">
        <v>6</v>
      </c>
      <c r="C155">
        <f t="shared" si="57"/>
        <v>-1.0000000000000002E-4</v>
      </c>
      <c r="D155" s="3">
        <f t="shared" si="47"/>
        <v>13.75</v>
      </c>
      <c r="E155" s="3">
        <v>7.9008333333333324E-6</v>
      </c>
      <c r="F155" s="3">
        <f t="shared" si="48"/>
        <v>1.0863645833333332E-4</v>
      </c>
      <c r="G155" s="9">
        <v>100059157341.52174</v>
      </c>
      <c r="H155" s="9">
        <v>100059157341.52174</v>
      </c>
      <c r="I155" s="9">
        <v>35092490674.855072</v>
      </c>
      <c r="J155" s="3">
        <f t="shared" si="49"/>
        <v>14682396.378412452</v>
      </c>
      <c r="K155" s="3">
        <f t="shared" si="50"/>
        <v>14682396.378412452</v>
      </c>
      <c r="L155">
        <f t="shared" si="51"/>
        <v>1.9989240000000002E-4</v>
      </c>
      <c r="M155">
        <f t="shared" si="52"/>
        <v>1.0159999999999999E-5</v>
      </c>
      <c r="N155">
        <f t="shared" si="53"/>
        <v>2934.8994498321736</v>
      </c>
      <c r="O155" s="7">
        <f t="shared" si="54"/>
        <v>149.1731472046705</v>
      </c>
      <c r="P155">
        <v>-0.1</v>
      </c>
      <c r="Q155">
        <f t="shared" si="55"/>
        <v>-293.48994498321736</v>
      </c>
      <c r="R155">
        <f t="shared" si="56"/>
        <v>-14.917314720467051</v>
      </c>
      <c r="S155">
        <f>SUM(R150:R161)</f>
        <v>1585.8753724596968</v>
      </c>
      <c r="T155" s="18">
        <f>S155/5</f>
        <v>317.17507449193937</v>
      </c>
      <c r="U155" s="12">
        <f>S155/9</f>
        <v>176.20837471774408</v>
      </c>
      <c r="V155" s="14">
        <f>S155/21</f>
        <v>75.517874879033187</v>
      </c>
      <c r="W155" s="3">
        <f>S155/31</f>
        <v>51.157270079345061</v>
      </c>
      <c r="X155" s="3">
        <f>S155/41</f>
        <v>38.679887133163334</v>
      </c>
      <c r="Y155" s="3">
        <f>S155/51</f>
        <v>31.095595538425428</v>
      </c>
      <c r="Z155" s="3">
        <f>S155/61</f>
        <v>25.997956925568801</v>
      </c>
      <c r="AA155" s="3">
        <f>S155/81</f>
        <v>19.578708301971567</v>
      </c>
      <c r="AB155" s="3">
        <f>S155/101</f>
        <v>15.701736360987097</v>
      </c>
      <c r="AC155">
        <f>S155/121</f>
        <v>13.106408036856998</v>
      </c>
    </row>
    <row r="156" spans="1:29" x14ac:dyDescent="0.25">
      <c r="A156" s="3"/>
      <c r="B156">
        <v>7</v>
      </c>
      <c r="C156">
        <f t="shared" si="57"/>
        <v>9.9999999999999991E-5</v>
      </c>
      <c r="D156" s="3">
        <f t="shared" si="47"/>
        <v>16.25</v>
      </c>
      <c r="E156" s="3">
        <v>8.3758333333333321E-6</v>
      </c>
      <c r="F156" s="3">
        <f t="shared" si="48"/>
        <v>1.3610729166666665E-4</v>
      </c>
      <c r="G156" s="9">
        <v>95911901384.028503</v>
      </c>
      <c r="H156" s="9">
        <v>95911901384.028503</v>
      </c>
      <c r="I156" s="9">
        <v>32945234717.361839</v>
      </c>
      <c r="J156" s="3">
        <f t="shared" si="49"/>
        <v>17538395.806683298</v>
      </c>
      <c r="K156" s="3">
        <f t="shared" si="50"/>
        <v>17538395.806683298</v>
      </c>
      <c r="L156">
        <f t="shared" si="51"/>
        <v>1.9989240000000002E-4</v>
      </c>
      <c r="M156">
        <f t="shared" si="52"/>
        <v>1.0159999999999999E-5</v>
      </c>
      <c r="N156">
        <f t="shared" si="53"/>
        <v>3505.792029947861</v>
      </c>
      <c r="O156" s="7">
        <f t="shared" si="54"/>
        <v>178.1901013959023</v>
      </c>
      <c r="P156">
        <v>0.1</v>
      </c>
      <c r="Q156">
        <f t="shared" si="55"/>
        <v>350.5792029947861</v>
      </c>
      <c r="R156">
        <f t="shared" si="56"/>
        <v>17.81901013959023</v>
      </c>
      <c r="S156" t="s">
        <v>67</v>
      </c>
      <c r="T156" s="13"/>
      <c r="U156" s="4"/>
      <c r="V156" s="15"/>
    </row>
    <row r="157" spans="1:29" x14ac:dyDescent="0.25">
      <c r="A157" s="3"/>
      <c r="B157">
        <v>8</v>
      </c>
      <c r="C157">
        <f t="shared" si="57"/>
        <v>3.0000000000000003E-4</v>
      </c>
      <c r="D157" s="3">
        <f t="shared" si="47"/>
        <v>18.75</v>
      </c>
      <c r="E157" s="3">
        <v>9.7074999999999981E-6</v>
      </c>
      <c r="F157" s="3">
        <f t="shared" si="48"/>
        <v>1.8201562499999997E-4</v>
      </c>
      <c r="G157" s="9">
        <v>101989206868.35651</v>
      </c>
      <c r="H157" s="9">
        <v>101989206868.35651</v>
      </c>
      <c r="I157" s="9">
        <v>34289206868.356499</v>
      </c>
      <c r="J157" s="3">
        <f t="shared" si="49"/>
        <v>24804800.650296398</v>
      </c>
      <c r="K157" s="3">
        <f t="shared" si="50"/>
        <v>24804800.650296398</v>
      </c>
      <c r="L157">
        <f t="shared" si="51"/>
        <v>1.9989240000000002E-4</v>
      </c>
      <c r="M157">
        <f t="shared" si="52"/>
        <v>1.0159999999999999E-5</v>
      </c>
      <c r="N157">
        <f t="shared" si="53"/>
        <v>4958.2911335093077</v>
      </c>
      <c r="O157" s="7">
        <f t="shared" si="54"/>
        <v>252.01677460701137</v>
      </c>
      <c r="P157">
        <v>0.30000000000000004</v>
      </c>
      <c r="Q157">
        <f t="shared" si="55"/>
        <v>1487.4873400527924</v>
      </c>
      <c r="R157">
        <f t="shared" si="56"/>
        <v>75.605032382103417</v>
      </c>
      <c r="S157" s="3">
        <f>SUM(O150:O161)</f>
        <v>3169.8426062797598</v>
      </c>
      <c r="T157" s="18">
        <f>S157/5</f>
        <v>633.96852125595194</v>
      </c>
      <c r="U157" s="12">
        <f>S157/9</f>
        <v>352.2047340310844</v>
      </c>
      <c r="V157" s="15">
        <f>S157/21</f>
        <v>150.94488601332191</v>
      </c>
      <c r="W157">
        <f>S157/31</f>
        <v>102.2529872993471</v>
      </c>
      <c r="X157">
        <f>S157/41</f>
        <v>77.313234299506334</v>
      </c>
      <c r="Y157">
        <f>S157/51</f>
        <v>62.153776593720778</v>
      </c>
      <c r="Z157">
        <f>S157/61</f>
        <v>51.964632889832131</v>
      </c>
      <c r="AA157">
        <f>S157/81</f>
        <v>39.133859336787161</v>
      </c>
      <c r="AB157">
        <f>S157/101</f>
        <v>31.384580260195641</v>
      </c>
      <c r="AC157">
        <f>S157/121</f>
        <v>26.197046332890576</v>
      </c>
    </row>
    <row r="158" spans="1:29" x14ac:dyDescent="0.25">
      <c r="A158" s="3"/>
      <c r="B158">
        <v>9</v>
      </c>
      <c r="C158">
        <f t="shared" si="57"/>
        <v>5.0000000000000001E-4</v>
      </c>
      <c r="D158" s="3">
        <f t="shared" si="47"/>
        <v>21.25</v>
      </c>
      <c r="E158" s="3">
        <v>1.1039166666666666E-5</v>
      </c>
      <c r="F158" s="3">
        <f t="shared" si="48"/>
        <v>2.3458229166666665E-4</v>
      </c>
      <c r="G158" s="9">
        <v>107984803193.19409</v>
      </c>
      <c r="H158" s="9">
        <v>107984803193.19409</v>
      </c>
      <c r="I158" s="9">
        <v>35551469859.860748</v>
      </c>
      <c r="J158" s="3">
        <f t="shared" si="49"/>
        <v>33671067.870078012</v>
      </c>
      <c r="K158" s="3">
        <f t="shared" si="50"/>
        <v>33671067.870078012</v>
      </c>
      <c r="L158">
        <f t="shared" si="51"/>
        <v>1.9989240000000002E-4</v>
      </c>
      <c r="M158">
        <f t="shared" si="52"/>
        <v>1.0159999999999999E-5</v>
      </c>
      <c r="N158">
        <f t="shared" si="53"/>
        <v>6730.590567112783</v>
      </c>
      <c r="O158" s="7">
        <f t="shared" si="54"/>
        <v>342.0980495599926</v>
      </c>
      <c r="P158">
        <v>0.50000000000000011</v>
      </c>
      <c r="Q158">
        <f t="shared" si="55"/>
        <v>3365.2952835563924</v>
      </c>
      <c r="R158">
        <f t="shared" si="56"/>
        <v>171.04902477999633</v>
      </c>
      <c r="Z158" s="3"/>
      <c r="AA158" s="3"/>
      <c r="AB158" s="3"/>
    </row>
    <row r="159" spans="1:29" x14ac:dyDescent="0.25">
      <c r="A159" s="3"/>
      <c r="B159">
        <v>10</v>
      </c>
      <c r="C159">
        <f t="shared" si="57"/>
        <v>6.9999999999999999E-4</v>
      </c>
      <c r="D159" s="3">
        <f t="shared" si="47"/>
        <v>23.75</v>
      </c>
      <c r="E159" s="3">
        <v>1.2370833333333334E-5</v>
      </c>
      <c r="F159" s="3">
        <f t="shared" si="48"/>
        <v>2.9380729166666666E-4</v>
      </c>
      <c r="G159" s="9">
        <v>113907649122.80702</v>
      </c>
      <c r="H159" s="9">
        <v>113907649122.80702</v>
      </c>
      <c r="I159" s="9">
        <v>36740982456.14035</v>
      </c>
      <c r="J159" s="3">
        <f t="shared" si="49"/>
        <v>44261666.4375</v>
      </c>
      <c r="K159" s="3">
        <f t="shared" si="50"/>
        <v>44261666.4375</v>
      </c>
      <c r="L159">
        <f t="shared" si="51"/>
        <v>1.9989240000000002E-4</v>
      </c>
      <c r="M159">
        <f t="shared" si="52"/>
        <v>1.0159999999999999E-5</v>
      </c>
      <c r="N159">
        <f t="shared" si="53"/>
        <v>8847.5707321913251</v>
      </c>
      <c r="O159" s="7">
        <f t="shared" si="54"/>
        <v>449.69853100499995</v>
      </c>
      <c r="P159">
        <v>0.70000000000000007</v>
      </c>
      <c r="Q159">
        <f t="shared" si="55"/>
        <v>6193.2995125339285</v>
      </c>
      <c r="R159">
        <f t="shared" si="56"/>
        <v>314.78897170350001</v>
      </c>
      <c r="Z159" s="3"/>
      <c r="AA159" s="3"/>
      <c r="AB159" s="3"/>
    </row>
    <row r="160" spans="1:29" x14ac:dyDescent="0.25">
      <c r="A160" s="3"/>
      <c r="B160">
        <v>11</v>
      </c>
      <c r="C160">
        <f t="shared" si="57"/>
        <v>8.9999999999999998E-4</v>
      </c>
      <c r="D160" s="3">
        <f t="shared" si="47"/>
        <v>26.25</v>
      </c>
      <c r="E160" s="3">
        <v>1.3702499999999998E-5</v>
      </c>
      <c r="F160" s="3">
        <f t="shared" si="48"/>
        <v>3.5969062499999996E-4</v>
      </c>
      <c r="G160" s="9">
        <v>119765439922.00829</v>
      </c>
      <c r="H160" s="9">
        <v>119765439922.00829</v>
      </c>
      <c r="I160" s="9">
        <v>37865439922.008286</v>
      </c>
      <c r="J160" s="3">
        <f t="shared" si="49"/>
        <v>56698349.690394215</v>
      </c>
      <c r="K160" s="3">
        <f t="shared" si="50"/>
        <v>56698349.690394215</v>
      </c>
      <c r="L160">
        <f t="shared" si="51"/>
        <v>1.9989240000000002E-4</v>
      </c>
      <c r="M160">
        <f t="shared" si="52"/>
        <v>1.0159999999999999E-5</v>
      </c>
      <c r="N160">
        <f t="shared" si="53"/>
        <v>11333.569195652157</v>
      </c>
      <c r="O160" s="7">
        <f t="shared" si="54"/>
        <v>576.05523285440518</v>
      </c>
      <c r="P160">
        <v>0.9</v>
      </c>
      <c r="Q160">
        <f t="shared" si="55"/>
        <v>10200.212276086941</v>
      </c>
      <c r="R160">
        <f t="shared" si="56"/>
        <v>518.44970956896464</v>
      </c>
      <c r="T160" s="3"/>
      <c r="U160" s="10"/>
      <c r="V160" s="11"/>
      <c r="W160" s="3"/>
      <c r="X160" s="3"/>
      <c r="Y160" s="3"/>
      <c r="Z160" s="3"/>
      <c r="AA160" s="3"/>
      <c r="AB160" s="3"/>
    </row>
    <row r="161" spans="1:28" x14ac:dyDescent="0.25">
      <c r="A161" s="3"/>
      <c r="B161">
        <v>12</v>
      </c>
      <c r="C161" s="4">
        <v>1.1000000000000001E-3</v>
      </c>
      <c r="D161" s="3">
        <f t="shared" si="47"/>
        <v>28.750000000000004</v>
      </c>
      <c r="E161" s="3">
        <v>1.5034166666666667E-5</v>
      </c>
      <c r="F161" s="3">
        <f t="shared" si="48"/>
        <v>4.3223229166666673E-4</v>
      </c>
      <c r="G161" s="9">
        <v>125564822516.93744</v>
      </c>
      <c r="H161" s="9">
        <v>125564822516.93744</v>
      </c>
      <c r="I161" s="9">
        <v>38931489183.60408</v>
      </c>
      <c r="J161" s="3">
        <f t="shared" si="49"/>
        <v>71100617.777039379</v>
      </c>
      <c r="K161" s="3">
        <f t="shared" si="50"/>
        <v>71100617.777039379</v>
      </c>
      <c r="L161">
        <f t="shared" si="51"/>
        <v>1.9989240000000002E-4</v>
      </c>
      <c r="M161">
        <f t="shared" si="52"/>
        <v>1.0159999999999999E-5</v>
      </c>
      <c r="N161">
        <f t="shared" si="53"/>
        <v>14212.473128935068</v>
      </c>
      <c r="O161" s="7">
        <f t="shared" si="54"/>
        <v>722.38227661472001</v>
      </c>
      <c r="P161">
        <v>1.0999999999999999</v>
      </c>
      <c r="Q161">
        <f t="shared" si="55"/>
        <v>15633.720441828573</v>
      </c>
      <c r="R161">
        <f t="shared" si="56"/>
        <v>794.62050427619192</v>
      </c>
      <c r="Z161" s="12"/>
      <c r="AA161" s="3"/>
      <c r="AB161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W337"/>
  <sheetViews>
    <sheetView topLeftCell="S1" workbookViewId="0">
      <selection activeCell="AL1" sqref="AL1:AW337"/>
    </sheetView>
  </sheetViews>
  <sheetFormatPr defaultRowHeight="14" x14ac:dyDescent="0.25"/>
  <sheetData>
    <row r="1" spans="3:49" x14ac:dyDescent="0.25">
      <c r="C1">
        <v>1</v>
      </c>
      <c r="D1">
        <v>12</v>
      </c>
      <c r="E1">
        <v>14</v>
      </c>
      <c r="F1">
        <v>3</v>
      </c>
      <c r="G1">
        <v>8</v>
      </c>
      <c r="H1">
        <v>13</v>
      </c>
      <c r="I1">
        <v>9</v>
      </c>
      <c r="J1">
        <v>2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L1">
        <v>1</v>
      </c>
      <c r="AM1">
        <v>0</v>
      </c>
      <c r="AN1">
        <v>0</v>
      </c>
      <c r="AO1">
        <v>0</v>
      </c>
      <c r="AP1">
        <v>1</v>
      </c>
      <c r="AQ1">
        <v>1</v>
      </c>
      <c r="AR1">
        <v>1</v>
      </c>
      <c r="AS1">
        <v>1</v>
      </c>
      <c r="AT1">
        <v>1</v>
      </c>
      <c r="AU1">
        <v>0</v>
      </c>
      <c r="AV1">
        <v>0</v>
      </c>
      <c r="AW1">
        <v>0</v>
      </c>
    </row>
    <row r="2" spans="3:49" x14ac:dyDescent="0.25">
      <c r="C2">
        <v>3</v>
      </c>
      <c r="D2">
        <v>14</v>
      </c>
      <c r="E2">
        <v>16</v>
      </c>
      <c r="F2">
        <v>5</v>
      </c>
      <c r="G2">
        <v>9</v>
      </c>
      <c r="H2">
        <v>15</v>
      </c>
      <c r="I2">
        <v>10</v>
      </c>
      <c r="J2">
        <v>4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L2">
        <v>2</v>
      </c>
      <c r="AM2">
        <v>0</v>
      </c>
      <c r="AN2">
        <v>2.5000000000000001E-3</v>
      </c>
      <c r="AO2">
        <v>0</v>
      </c>
      <c r="AP2">
        <v>1</v>
      </c>
      <c r="AQ2">
        <v>1</v>
      </c>
      <c r="AR2">
        <v>1</v>
      </c>
      <c r="AS2">
        <v>1</v>
      </c>
      <c r="AT2">
        <v>1</v>
      </c>
      <c r="AU2">
        <v>0</v>
      </c>
      <c r="AV2">
        <v>0</v>
      </c>
      <c r="AW2">
        <v>0</v>
      </c>
    </row>
    <row r="3" spans="3:49" x14ac:dyDescent="0.25">
      <c r="C3">
        <v>5</v>
      </c>
      <c r="D3">
        <v>16</v>
      </c>
      <c r="E3">
        <v>18</v>
      </c>
      <c r="F3">
        <v>7</v>
      </c>
      <c r="G3">
        <v>10</v>
      </c>
      <c r="H3">
        <v>17</v>
      </c>
      <c r="I3">
        <v>11</v>
      </c>
      <c r="J3">
        <v>6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L3">
        <v>3</v>
      </c>
      <c r="AM3">
        <v>0</v>
      </c>
      <c r="AN3">
        <v>5.0000000000000001E-3</v>
      </c>
      <c r="AO3">
        <v>0</v>
      </c>
      <c r="AP3">
        <v>1</v>
      </c>
      <c r="AQ3">
        <v>1</v>
      </c>
      <c r="AR3">
        <v>1</v>
      </c>
      <c r="AS3">
        <v>1</v>
      </c>
      <c r="AT3">
        <v>1</v>
      </c>
      <c r="AU3">
        <v>0</v>
      </c>
      <c r="AV3">
        <v>0</v>
      </c>
      <c r="AW3">
        <v>0</v>
      </c>
    </row>
    <row r="4" spans="3:49" x14ac:dyDescent="0.25">
      <c r="C4">
        <v>12</v>
      </c>
      <c r="D4">
        <v>23</v>
      </c>
      <c r="E4">
        <v>25</v>
      </c>
      <c r="F4">
        <v>14</v>
      </c>
      <c r="G4">
        <v>19</v>
      </c>
      <c r="H4">
        <v>24</v>
      </c>
      <c r="I4">
        <v>20</v>
      </c>
      <c r="J4">
        <v>13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L4">
        <v>4</v>
      </c>
      <c r="AM4">
        <v>0</v>
      </c>
      <c r="AN4">
        <v>7.4999999999999997E-3</v>
      </c>
      <c r="AO4">
        <v>0</v>
      </c>
      <c r="AP4">
        <v>1</v>
      </c>
      <c r="AQ4">
        <v>1</v>
      </c>
      <c r="AR4">
        <v>1</v>
      </c>
      <c r="AS4">
        <v>1</v>
      </c>
      <c r="AT4">
        <v>1</v>
      </c>
      <c r="AU4">
        <v>0</v>
      </c>
      <c r="AV4">
        <v>0</v>
      </c>
      <c r="AW4">
        <v>0</v>
      </c>
    </row>
    <row r="5" spans="3:49" x14ac:dyDescent="0.25">
      <c r="C5">
        <v>14</v>
      </c>
      <c r="D5">
        <v>25</v>
      </c>
      <c r="E5">
        <v>27</v>
      </c>
      <c r="F5">
        <v>16</v>
      </c>
      <c r="G5">
        <v>20</v>
      </c>
      <c r="H5">
        <v>26</v>
      </c>
      <c r="I5">
        <v>21</v>
      </c>
      <c r="J5">
        <v>15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L5">
        <v>5</v>
      </c>
      <c r="AM5">
        <v>0</v>
      </c>
      <c r="AN5">
        <v>0.01</v>
      </c>
      <c r="AO5">
        <v>0</v>
      </c>
      <c r="AP5">
        <v>1</v>
      </c>
      <c r="AQ5">
        <v>1</v>
      </c>
      <c r="AR5">
        <v>1</v>
      </c>
      <c r="AS5">
        <v>1</v>
      </c>
      <c r="AT5">
        <v>1</v>
      </c>
      <c r="AU5">
        <v>0</v>
      </c>
      <c r="AV5">
        <v>0</v>
      </c>
      <c r="AW5">
        <v>0</v>
      </c>
    </row>
    <row r="6" spans="3:49" x14ac:dyDescent="0.25">
      <c r="C6">
        <v>16</v>
      </c>
      <c r="D6">
        <v>27</v>
      </c>
      <c r="E6">
        <v>29</v>
      </c>
      <c r="F6">
        <v>18</v>
      </c>
      <c r="G6">
        <v>21</v>
      </c>
      <c r="H6">
        <v>28</v>
      </c>
      <c r="I6">
        <v>22</v>
      </c>
      <c r="J6">
        <v>17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L6">
        <v>6</v>
      </c>
      <c r="AM6">
        <v>0</v>
      </c>
      <c r="AN6">
        <v>1.2500000000000001E-2</v>
      </c>
      <c r="AO6">
        <v>0</v>
      </c>
      <c r="AP6">
        <v>1</v>
      </c>
      <c r="AQ6">
        <v>1</v>
      </c>
      <c r="AR6">
        <v>1</v>
      </c>
      <c r="AS6">
        <v>1</v>
      </c>
      <c r="AT6">
        <v>1</v>
      </c>
      <c r="AU6">
        <v>0</v>
      </c>
      <c r="AV6">
        <v>0</v>
      </c>
      <c r="AW6">
        <v>0</v>
      </c>
    </row>
    <row r="7" spans="3:49" x14ac:dyDescent="0.25">
      <c r="C7">
        <v>23</v>
      </c>
      <c r="D7">
        <v>34</v>
      </c>
      <c r="E7">
        <v>36</v>
      </c>
      <c r="F7">
        <v>25</v>
      </c>
      <c r="G7">
        <v>30</v>
      </c>
      <c r="H7">
        <v>35</v>
      </c>
      <c r="I7">
        <v>31</v>
      </c>
      <c r="J7">
        <v>24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L7">
        <v>7</v>
      </c>
      <c r="AM7">
        <v>0</v>
      </c>
      <c r="AN7">
        <v>1.4999999999999999E-2</v>
      </c>
      <c r="AO7">
        <v>0</v>
      </c>
      <c r="AP7">
        <v>1</v>
      </c>
      <c r="AQ7">
        <v>1</v>
      </c>
      <c r="AR7">
        <v>1</v>
      </c>
      <c r="AS7">
        <v>1</v>
      </c>
      <c r="AT7">
        <v>1</v>
      </c>
      <c r="AU7">
        <v>0</v>
      </c>
      <c r="AV7">
        <v>0</v>
      </c>
      <c r="AW7">
        <v>0</v>
      </c>
    </row>
    <row r="8" spans="3:49" x14ac:dyDescent="0.25">
      <c r="C8">
        <v>25</v>
      </c>
      <c r="D8">
        <v>36</v>
      </c>
      <c r="E8">
        <v>38</v>
      </c>
      <c r="F8">
        <v>27</v>
      </c>
      <c r="G8">
        <v>31</v>
      </c>
      <c r="H8">
        <v>37</v>
      </c>
      <c r="I8">
        <v>32</v>
      </c>
      <c r="J8">
        <v>26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L8">
        <v>8</v>
      </c>
      <c r="AM8">
        <v>5.0000000000000001E-3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3:49" x14ac:dyDescent="0.25">
      <c r="C9">
        <v>27</v>
      </c>
      <c r="D9">
        <v>38</v>
      </c>
      <c r="E9">
        <v>40</v>
      </c>
      <c r="F9">
        <v>29</v>
      </c>
      <c r="G9">
        <v>32</v>
      </c>
      <c r="H9">
        <v>39</v>
      </c>
      <c r="I9">
        <v>33</v>
      </c>
      <c r="J9">
        <v>28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L9">
        <v>9</v>
      </c>
      <c r="AM9">
        <v>5.0000000000000001E-3</v>
      </c>
      <c r="AN9">
        <v>5.0000000000000001E-3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3:49" x14ac:dyDescent="0.25">
      <c r="C10">
        <v>34</v>
      </c>
      <c r="D10">
        <v>45</v>
      </c>
      <c r="E10">
        <v>47</v>
      </c>
      <c r="F10">
        <v>36</v>
      </c>
      <c r="G10">
        <v>41</v>
      </c>
      <c r="H10">
        <v>46</v>
      </c>
      <c r="I10">
        <v>42</v>
      </c>
      <c r="J10">
        <v>35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L10">
        <v>10</v>
      </c>
      <c r="AM10">
        <v>5.0000000000000001E-3</v>
      </c>
      <c r="AN10">
        <v>0.01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  <row r="11" spans="3:49" x14ac:dyDescent="0.25">
      <c r="C11">
        <v>36</v>
      </c>
      <c r="D11">
        <v>47</v>
      </c>
      <c r="E11">
        <v>49</v>
      </c>
      <c r="F11">
        <v>38</v>
      </c>
      <c r="G11">
        <v>42</v>
      </c>
      <c r="H11">
        <v>48</v>
      </c>
      <c r="I11">
        <v>43</v>
      </c>
      <c r="J11">
        <v>37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L11">
        <v>11</v>
      </c>
      <c r="AM11">
        <v>5.0000000000000001E-3</v>
      </c>
      <c r="AN11">
        <v>1.4999999999999999E-2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3:49" x14ac:dyDescent="0.25">
      <c r="C12">
        <v>38</v>
      </c>
      <c r="D12">
        <v>49</v>
      </c>
      <c r="E12">
        <v>51</v>
      </c>
      <c r="F12">
        <v>40</v>
      </c>
      <c r="G12">
        <v>43</v>
      </c>
      <c r="H12">
        <v>50</v>
      </c>
      <c r="I12">
        <v>44</v>
      </c>
      <c r="J12">
        <v>39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L12">
        <v>12</v>
      </c>
      <c r="AM12">
        <v>0.01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</row>
    <row r="13" spans="3:49" x14ac:dyDescent="0.25">
      <c r="C13">
        <v>45</v>
      </c>
      <c r="D13">
        <v>56</v>
      </c>
      <c r="E13">
        <v>58</v>
      </c>
      <c r="F13">
        <v>47</v>
      </c>
      <c r="G13">
        <v>52</v>
      </c>
      <c r="H13">
        <v>57</v>
      </c>
      <c r="I13">
        <v>53</v>
      </c>
      <c r="J13">
        <v>46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L13">
        <v>13</v>
      </c>
      <c r="AM13">
        <v>0.01</v>
      </c>
      <c r="AN13">
        <v>2.5000000000000001E-3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</row>
    <row r="14" spans="3:49" x14ac:dyDescent="0.25">
      <c r="C14">
        <v>47</v>
      </c>
      <c r="D14">
        <v>58</v>
      </c>
      <c r="E14">
        <v>60</v>
      </c>
      <c r="F14">
        <v>49</v>
      </c>
      <c r="G14">
        <v>53</v>
      </c>
      <c r="H14">
        <v>59</v>
      </c>
      <c r="I14">
        <v>54</v>
      </c>
      <c r="J14">
        <v>48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L14">
        <v>14</v>
      </c>
      <c r="AM14">
        <v>0.01</v>
      </c>
      <c r="AN14">
        <v>5.0000000000000001E-3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</row>
    <row r="15" spans="3:49" x14ac:dyDescent="0.25">
      <c r="C15">
        <v>49</v>
      </c>
      <c r="D15">
        <v>60</v>
      </c>
      <c r="E15">
        <v>62</v>
      </c>
      <c r="F15">
        <v>51</v>
      </c>
      <c r="G15">
        <v>54</v>
      </c>
      <c r="H15">
        <v>61</v>
      </c>
      <c r="I15">
        <v>55</v>
      </c>
      <c r="J15">
        <v>50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L15">
        <v>15</v>
      </c>
      <c r="AM15">
        <v>0.01</v>
      </c>
      <c r="AN15">
        <v>7.4999999999999997E-3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 spans="3:49" x14ac:dyDescent="0.25">
      <c r="C16">
        <v>56</v>
      </c>
      <c r="D16">
        <v>67</v>
      </c>
      <c r="E16">
        <v>69</v>
      </c>
      <c r="F16">
        <v>58</v>
      </c>
      <c r="G16">
        <v>63</v>
      </c>
      <c r="H16">
        <v>68</v>
      </c>
      <c r="I16">
        <v>64</v>
      </c>
      <c r="J16">
        <v>57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L16">
        <v>16</v>
      </c>
      <c r="AM16">
        <v>0.01</v>
      </c>
      <c r="AN16">
        <v>0.01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</row>
    <row r="17" spans="3:49" x14ac:dyDescent="0.25">
      <c r="C17">
        <v>58</v>
      </c>
      <c r="D17">
        <v>69</v>
      </c>
      <c r="E17">
        <v>71</v>
      </c>
      <c r="F17">
        <v>60</v>
      </c>
      <c r="G17">
        <v>64</v>
      </c>
      <c r="H17">
        <v>70</v>
      </c>
      <c r="I17">
        <v>65</v>
      </c>
      <c r="J17">
        <v>59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L17">
        <v>17</v>
      </c>
      <c r="AM17">
        <v>0.01</v>
      </c>
      <c r="AN17">
        <v>1.2500000000000001E-2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</row>
    <row r="18" spans="3:49" x14ac:dyDescent="0.25">
      <c r="C18">
        <v>60</v>
      </c>
      <c r="D18">
        <v>71</v>
      </c>
      <c r="E18">
        <v>73</v>
      </c>
      <c r="F18">
        <v>62</v>
      </c>
      <c r="G18">
        <v>65</v>
      </c>
      <c r="H18">
        <v>72</v>
      </c>
      <c r="I18">
        <v>66</v>
      </c>
      <c r="J18">
        <v>61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L18">
        <v>18</v>
      </c>
      <c r="AM18">
        <v>0.01</v>
      </c>
      <c r="AN18">
        <v>1.4999999999999999E-2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</row>
    <row r="19" spans="3:49" x14ac:dyDescent="0.25">
      <c r="C19">
        <v>67</v>
      </c>
      <c r="D19">
        <v>78</v>
      </c>
      <c r="E19">
        <v>80</v>
      </c>
      <c r="F19">
        <v>69</v>
      </c>
      <c r="G19">
        <v>74</v>
      </c>
      <c r="H19">
        <v>79</v>
      </c>
      <c r="I19">
        <v>75</v>
      </c>
      <c r="J19">
        <v>68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L19">
        <v>19</v>
      </c>
      <c r="AM19">
        <v>1.4999999999999999E-2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</row>
    <row r="20" spans="3:49" x14ac:dyDescent="0.25">
      <c r="C20">
        <v>69</v>
      </c>
      <c r="D20">
        <v>80</v>
      </c>
      <c r="E20">
        <v>82</v>
      </c>
      <c r="F20">
        <v>71</v>
      </c>
      <c r="G20">
        <v>75</v>
      </c>
      <c r="H20">
        <v>81</v>
      </c>
      <c r="I20">
        <v>76</v>
      </c>
      <c r="J20">
        <v>70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L20">
        <v>20</v>
      </c>
      <c r="AM20">
        <v>1.4999999999999999E-2</v>
      </c>
      <c r="AN20">
        <v>5.0000000000000001E-3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</row>
    <row r="21" spans="3:49" x14ac:dyDescent="0.25">
      <c r="C21">
        <v>71</v>
      </c>
      <c r="D21">
        <v>82</v>
      </c>
      <c r="E21">
        <v>84</v>
      </c>
      <c r="F21">
        <v>73</v>
      </c>
      <c r="G21">
        <v>76</v>
      </c>
      <c r="H21">
        <v>83</v>
      </c>
      <c r="I21">
        <v>77</v>
      </c>
      <c r="J21">
        <v>72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L21">
        <v>21</v>
      </c>
      <c r="AM21">
        <v>1.4999999999999999E-2</v>
      </c>
      <c r="AN21">
        <v>0.01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</row>
    <row r="22" spans="3:49" x14ac:dyDescent="0.25">
      <c r="C22">
        <v>78</v>
      </c>
      <c r="D22">
        <v>89</v>
      </c>
      <c r="E22">
        <v>91</v>
      </c>
      <c r="F22">
        <v>80</v>
      </c>
      <c r="G22">
        <v>85</v>
      </c>
      <c r="H22">
        <v>90</v>
      </c>
      <c r="I22">
        <v>86</v>
      </c>
      <c r="J22">
        <v>79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L22">
        <v>22</v>
      </c>
      <c r="AM22">
        <v>1.4999999999999999E-2</v>
      </c>
      <c r="AN22">
        <v>1.4999999999999999E-2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</row>
    <row r="23" spans="3:49" x14ac:dyDescent="0.25">
      <c r="C23">
        <v>80</v>
      </c>
      <c r="D23">
        <v>91</v>
      </c>
      <c r="E23">
        <v>93</v>
      </c>
      <c r="F23">
        <v>82</v>
      </c>
      <c r="G23">
        <v>86</v>
      </c>
      <c r="H23">
        <v>92</v>
      </c>
      <c r="I23">
        <v>87</v>
      </c>
      <c r="J23">
        <v>81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L23">
        <v>23</v>
      </c>
      <c r="AM23">
        <v>0.02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</row>
    <row r="24" spans="3:49" x14ac:dyDescent="0.25">
      <c r="C24">
        <v>82</v>
      </c>
      <c r="D24">
        <v>93</v>
      </c>
      <c r="E24">
        <v>95</v>
      </c>
      <c r="F24">
        <v>84</v>
      </c>
      <c r="G24">
        <v>87</v>
      </c>
      <c r="H24">
        <v>94</v>
      </c>
      <c r="I24">
        <v>88</v>
      </c>
      <c r="J24">
        <v>83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L24">
        <v>24</v>
      </c>
      <c r="AM24">
        <v>0.02</v>
      </c>
      <c r="AN24">
        <v>2.5000000000000001E-3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</row>
    <row r="25" spans="3:49" x14ac:dyDescent="0.25">
      <c r="C25">
        <v>89</v>
      </c>
      <c r="D25">
        <v>100</v>
      </c>
      <c r="E25">
        <v>102</v>
      </c>
      <c r="F25">
        <v>91</v>
      </c>
      <c r="G25">
        <v>96</v>
      </c>
      <c r="H25">
        <v>101</v>
      </c>
      <c r="I25">
        <v>97</v>
      </c>
      <c r="J25">
        <v>90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L25">
        <v>25</v>
      </c>
      <c r="AM25">
        <v>0.02</v>
      </c>
      <c r="AN25">
        <v>5.0000000000000001E-3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</row>
    <row r="26" spans="3:49" x14ac:dyDescent="0.25">
      <c r="C26">
        <v>91</v>
      </c>
      <c r="D26">
        <v>102</v>
      </c>
      <c r="E26">
        <v>104</v>
      </c>
      <c r="F26">
        <v>93</v>
      </c>
      <c r="G26">
        <v>97</v>
      </c>
      <c r="H26">
        <v>103</v>
      </c>
      <c r="I26">
        <v>98</v>
      </c>
      <c r="J26">
        <v>92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L26">
        <v>26</v>
      </c>
      <c r="AM26">
        <v>0.02</v>
      </c>
      <c r="AN26">
        <v>7.4999999999999997E-3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7" spans="3:49" x14ac:dyDescent="0.25">
      <c r="C27">
        <v>93</v>
      </c>
      <c r="D27">
        <v>104</v>
      </c>
      <c r="E27">
        <v>106</v>
      </c>
      <c r="F27">
        <v>95</v>
      </c>
      <c r="G27">
        <v>98</v>
      </c>
      <c r="H27">
        <v>105</v>
      </c>
      <c r="I27">
        <v>99</v>
      </c>
      <c r="J27">
        <v>94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L27">
        <v>27</v>
      </c>
      <c r="AM27">
        <v>0.02</v>
      </c>
      <c r="AN27">
        <v>0.01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</row>
    <row r="28" spans="3:49" x14ac:dyDescent="0.25">
      <c r="C28">
        <v>100</v>
      </c>
      <c r="D28">
        <v>111</v>
      </c>
      <c r="E28">
        <v>113</v>
      </c>
      <c r="F28">
        <v>102</v>
      </c>
      <c r="G28">
        <v>107</v>
      </c>
      <c r="H28">
        <v>112</v>
      </c>
      <c r="I28">
        <v>108</v>
      </c>
      <c r="J28">
        <v>101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L28">
        <v>28</v>
      </c>
      <c r="AM28">
        <v>0.02</v>
      </c>
      <c r="AN28">
        <v>1.2500000000000001E-2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</row>
    <row r="29" spans="3:49" x14ac:dyDescent="0.25">
      <c r="C29">
        <v>102</v>
      </c>
      <c r="D29">
        <v>113</v>
      </c>
      <c r="E29">
        <v>115</v>
      </c>
      <c r="F29">
        <v>104</v>
      </c>
      <c r="G29">
        <v>108</v>
      </c>
      <c r="H29">
        <v>114</v>
      </c>
      <c r="I29">
        <v>109</v>
      </c>
      <c r="J29">
        <v>103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L29">
        <v>29</v>
      </c>
      <c r="AM29">
        <v>0.02</v>
      </c>
      <c r="AN29">
        <v>1.4999999999999999E-2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</row>
    <row r="30" spans="3:49" x14ac:dyDescent="0.25">
      <c r="C30">
        <v>104</v>
      </c>
      <c r="D30">
        <v>115</v>
      </c>
      <c r="E30">
        <v>117</v>
      </c>
      <c r="F30">
        <v>106</v>
      </c>
      <c r="G30">
        <v>109</v>
      </c>
      <c r="H30">
        <v>116</v>
      </c>
      <c r="I30">
        <v>110</v>
      </c>
      <c r="J30">
        <v>105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L30">
        <v>30</v>
      </c>
      <c r="AM30">
        <v>2.5000000000000001E-2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</row>
    <row r="31" spans="3:49" x14ac:dyDescent="0.25">
      <c r="C31">
        <v>111</v>
      </c>
      <c r="D31">
        <v>122</v>
      </c>
      <c r="E31">
        <v>124</v>
      </c>
      <c r="F31">
        <v>113</v>
      </c>
      <c r="G31">
        <v>118</v>
      </c>
      <c r="H31">
        <v>123</v>
      </c>
      <c r="I31">
        <v>119</v>
      </c>
      <c r="J31">
        <v>112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L31">
        <v>31</v>
      </c>
      <c r="AM31">
        <v>2.5000000000000001E-2</v>
      </c>
      <c r="AN31">
        <v>5.0000000000000001E-3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</row>
    <row r="32" spans="3:49" x14ac:dyDescent="0.25">
      <c r="C32">
        <v>113</v>
      </c>
      <c r="D32">
        <v>124</v>
      </c>
      <c r="E32">
        <v>126</v>
      </c>
      <c r="F32">
        <v>115</v>
      </c>
      <c r="G32">
        <v>119</v>
      </c>
      <c r="H32">
        <v>125</v>
      </c>
      <c r="I32">
        <v>120</v>
      </c>
      <c r="J32">
        <v>114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L32">
        <v>32</v>
      </c>
      <c r="AM32">
        <v>2.5000000000000001E-2</v>
      </c>
      <c r="AN32">
        <v>0.01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</row>
    <row r="33" spans="3:49" x14ac:dyDescent="0.25">
      <c r="C33">
        <v>115</v>
      </c>
      <c r="D33">
        <v>126</v>
      </c>
      <c r="E33">
        <v>128</v>
      </c>
      <c r="F33">
        <v>117</v>
      </c>
      <c r="G33">
        <v>120</v>
      </c>
      <c r="H33">
        <v>127</v>
      </c>
      <c r="I33">
        <v>121</v>
      </c>
      <c r="J33">
        <v>116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L33">
        <v>33</v>
      </c>
      <c r="AM33">
        <v>2.5000000000000001E-2</v>
      </c>
      <c r="AN33">
        <v>1.4999999999999999E-2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</row>
    <row r="34" spans="3:49" x14ac:dyDescent="0.25">
      <c r="C34">
        <v>122</v>
      </c>
      <c r="D34">
        <v>133</v>
      </c>
      <c r="E34">
        <v>135</v>
      </c>
      <c r="F34">
        <v>124</v>
      </c>
      <c r="G34">
        <v>129</v>
      </c>
      <c r="H34">
        <v>134</v>
      </c>
      <c r="I34">
        <v>130</v>
      </c>
      <c r="J34">
        <v>123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L34">
        <v>34</v>
      </c>
      <c r="AM34">
        <v>0.03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 spans="3:49" x14ac:dyDescent="0.25">
      <c r="C35">
        <v>124</v>
      </c>
      <c r="D35">
        <v>135</v>
      </c>
      <c r="E35">
        <v>137</v>
      </c>
      <c r="F35">
        <v>126</v>
      </c>
      <c r="G35">
        <v>130</v>
      </c>
      <c r="H35">
        <v>136</v>
      </c>
      <c r="I35">
        <v>131</v>
      </c>
      <c r="J35">
        <v>125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L35">
        <v>35</v>
      </c>
      <c r="AM35">
        <v>0.03</v>
      </c>
      <c r="AN35">
        <v>2.5000000000000001E-3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</row>
    <row r="36" spans="3:49" x14ac:dyDescent="0.25">
      <c r="C36">
        <v>126</v>
      </c>
      <c r="D36">
        <v>137</v>
      </c>
      <c r="E36">
        <v>139</v>
      </c>
      <c r="F36">
        <v>128</v>
      </c>
      <c r="G36">
        <v>131</v>
      </c>
      <c r="H36">
        <v>138</v>
      </c>
      <c r="I36">
        <v>132</v>
      </c>
      <c r="J36">
        <v>127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L36">
        <v>36</v>
      </c>
      <c r="AM36">
        <v>0.03</v>
      </c>
      <c r="AN36">
        <v>5.0000000000000001E-3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3:49" x14ac:dyDescent="0.25">
      <c r="C37">
        <v>133</v>
      </c>
      <c r="D37">
        <v>144</v>
      </c>
      <c r="E37">
        <v>146</v>
      </c>
      <c r="F37">
        <v>135</v>
      </c>
      <c r="G37">
        <v>140</v>
      </c>
      <c r="H37">
        <v>145</v>
      </c>
      <c r="I37">
        <v>141</v>
      </c>
      <c r="J37">
        <v>134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L37">
        <v>37</v>
      </c>
      <c r="AM37">
        <v>0.03</v>
      </c>
      <c r="AN37">
        <v>7.4999999999999997E-3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</row>
    <row r="38" spans="3:49" x14ac:dyDescent="0.25">
      <c r="C38">
        <v>135</v>
      </c>
      <c r="D38">
        <v>146</v>
      </c>
      <c r="E38">
        <v>148</v>
      </c>
      <c r="F38">
        <v>137</v>
      </c>
      <c r="G38">
        <v>141</v>
      </c>
      <c r="H38">
        <v>147</v>
      </c>
      <c r="I38">
        <v>142</v>
      </c>
      <c r="J38">
        <v>136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L38">
        <v>38</v>
      </c>
      <c r="AM38">
        <v>0.03</v>
      </c>
      <c r="AN38">
        <v>0.01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 spans="3:49" x14ac:dyDescent="0.25">
      <c r="C39">
        <v>137</v>
      </c>
      <c r="D39">
        <v>148</v>
      </c>
      <c r="E39">
        <v>150</v>
      </c>
      <c r="F39">
        <v>139</v>
      </c>
      <c r="G39">
        <v>142</v>
      </c>
      <c r="H39">
        <v>149</v>
      </c>
      <c r="I39">
        <v>143</v>
      </c>
      <c r="J39">
        <v>138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L39">
        <v>39</v>
      </c>
      <c r="AM39">
        <v>0.03</v>
      </c>
      <c r="AN39">
        <v>1.2500000000000001E-2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3:49" x14ac:dyDescent="0.25">
      <c r="C40">
        <v>144</v>
      </c>
      <c r="D40">
        <v>155</v>
      </c>
      <c r="E40">
        <v>157</v>
      </c>
      <c r="F40">
        <v>146</v>
      </c>
      <c r="G40">
        <v>151</v>
      </c>
      <c r="H40">
        <v>156</v>
      </c>
      <c r="I40">
        <v>152</v>
      </c>
      <c r="J40">
        <v>145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L40">
        <v>40</v>
      </c>
      <c r="AM40">
        <v>0.03</v>
      </c>
      <c r="AN40">
        <v>1.4999999999999999E-2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</row>
    <row r="41" spans="3:49" x14ac:dyDescent="0.25">
      <c r="C41">
        <v>146</v>
      </c>
      <c r="D41">
        <v>157</v>
      </c>
      <c r="E41">
        <v>159</v>
      </c>
      <c r="F41">
        <v>148</v>
      </c>
      <c r="G41">
        <v>152</v>
      </c>
      <c r="H41">
        <v>158</v>
      </c>
      <c r="I41">
        <v>153</v>
      </c>
      <c r="J41">
        <v>147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L41">
        <v>41</v>
      </c>
      <c r="AM41">
        <v>3.5000000000000003E-2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</row>
    <row r="42" spans="3:49" x14ac:dyDescent="0.25">
      <c r="C42">
        <v>148</v>
      </c>
      <c r="D42">
        <v>159</v>
      </c>
      <c r="E42">
        <v>161</v>
      </c>
      <c r="F42">
        <v>150</v>
      </c>
      <c r="G42">
        <v>153</v>
      </c>
      <c r="H42">
        <v>160</v>
      </c>
      <c r="I42">
        <v>154</v>
      </c>
      <c r="J42">
        <v>149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L42">
        <v>42</v>
      </c>
      <c r="AM42">
        <v>3.5000000000000003E-2</v>
      </c>
      <c r="AN42">
        <v>5.0000000000000001E-3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 spans="3:49" x14ac:dyDescent="0.25">
      <c r="C43">
        <v>155</v>
      </c>
      <c r="D43">
        <v>166</v>
      </c>
      <c r="E43">
        <v>168</v>
      </c>
      <c r="F43">
        <v>157</v>
      </c>
      <c r="G43">
        <v>162</v>
      </c>
      <c r="H43">
        <v>167</v>
      </c>
      <c r="I43">
        <v>163</v>
      </c>
      <c r="J43">
        <v>156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L43">
        <v>43</v>
      </c>
      <c r="AM43">
        <v>3.5000000000000003E-2</v>
      </c>
      <c r="AN43">
        <v>0.01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</row>
    <row r="44" spans="3:49" x14ac:dyDescent="0.25">
      <c r="C44">
        <v>157</v>
      </c>
      <c r="D44">
        <v>168</v>
      </c>
      <c r="E44">
        <v>170</v>
      </c>
      <c r="F44">
        <v>159</v>
      </c>
      <c r="G44">
        <v>163</v>
      </c>
      <c r="H44">
        <v>169</v>
      </c>
      <c r="I44">
        <v>164</v>
      </c>
      <c r="J44">
        <v>158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L44">
        <v>44</v>
      </c>
      <c r="AM44">
        <v>3.5000000000000003E-2</v>
      </c>
      <c r="AN44">
        <v>1.4999999999999999E-2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</row>
    <row r="45" spans="3:49" x14ac:dyDescent="0.25">
      <c r="C45">
        <v>159</v>
      </c>
      <c r="D45">
        <v>170</v>
      </c>
      <c r="E45">
        <v>172</v>
      </c>
      <c r="F45">
        <v>161</v>
      </c>
      <c r="G45">
        <v>164</v>
      </c>
      <c r="H45">
        <v>171</v>
      </c>
      <c r="I45">
        <v>165</v>
      </c>
      <c r="J45">
        <v>160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L45">
        <v>45</v>
      </c>
      <c r="AM45">
        <v>0.04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</row>
    <row r="46" spans="3:49" x14ac:dyDescent="0.25">
      <c r="C46">
        <v>166</v>
      </c>
      <c r="D46">
        <v>177</v>
      </c>
      <c r="E46">
        <v>179</v>
      </c>
      <c r="F46">
        <v>168</v>
      </c>
      <c r="G46">
        <v>173</v>
      </c>
      <c r="H46">
        <v>178</v>
      </c>
      <c r="I46">
        <v>174</v>
      </c>
      <c r="J46">
        <v>167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L46">
        <v>46</v>
      </c>
      <c r="AM46">
        <v>0.04</v>
      </c>
      <c r="AN46">
        <v>2.5000000000000001E-3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</row>
    <row r="47" spans="3:49" x14ac:dyDescent="0.25">
      <c r="C47">
        <v>168</v>
      </c>
      <c r="D47">
        <v>179</v>
      </c>
      <c r="E47">
        <v>181</v>
      </c>
      <c r="F47">
        <v>170</v>
      </c>
      <c r="G47">
        <v>174</v>
      </c>
      <c r="H47">
        <v>180</v>
      </c>
      <c r="I47">
        <v>175</v>
      </c>
      <c r="J47">
        <v>169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L47">
        <v>47</v>
      </c>
      <c r="AM47">
        <v>0.04</v>
      </c>
      <c r="AN47">
        <v>5.0000000000000001E-3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</row>
    <row r="48" spans="3:49" x14ac:dyDescent="0.25">
      <c r="C48">
        <v>170</v>
      </c>
      <c r="D48">
        <v>181</v>
      </c>
      <c r="E48">
        <v>183</v>
      </c>
      <c r="F48">
        <v>172</v>
      </c>
      <c r="G48">
        <v>175</v>
      </c>
      <c r="H48">
        <v>182</v>
      </c>
      <c r="I48">
        <v>176</v>
      </c>
      <c r="J48">
        <v>171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L48">
        <v>48</v>
      </c>
      <c r="AM48">
        <v>0.04</v>
      </c>
      <c r="AN48">
        <v>7.4999999999999997E-3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</row>
    <row r="49" spans="3:49" x14ac:dyDescent="0.25">
      <c r="C49">
        <v>177</v>
      </c>
      <c r="D49">
        <v>188</v>
      </c>
      <c r="E49">
        <v>190</v>
      </c>
      <c r="F49">
        <v>179</v>
      </c>
      <c r="G49">
        <v>184</v>
      </c>
      <c r="H49">
        <v>189</v>
      </c>
      <c r="I49">
        <v>185</v>
      </c>
      <c r="J49">
        <v>178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L49">
        <v>49</v>
      </c>
      <c r="AM49">
        <v>0.04</v>
      </c>
      <c r="AN49">
        <v>0.01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</row>
    <row r="50" spans="3:49" x14ac:dyDescent="0.25">
      <c r="C50">
        <v>179</v>
      </c>
      <c r="D50">
        <v>190</v>
      </c>
      <c r="E50">
        <v>192</v>
      </c>
      <c r="F50">
        <v>181</v>
      </c>
      <c r="G50">
        <v>185</v>
      </c>
      <c r="H50">
        <v>191</v>
      </c>
      <c r="I50">
        <v>186</v>
      </c>
      <c r="J50">
        <v>180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L50">
        <v>50</v>
      </c>
      <c r="AM50">
        <v>0.04</v>
      </c>
      <c r="AN50">
        <v>1.2500000000000001E-2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</row>
    <row r="51" spans="3:49" x14ac:dyDescent="0.25">
      <c r="C51">
        <v>181</v>
      </c>
      <c r="D51">
        <v>192</v>
      </c>
      <c r="E51">
        <v>194</v>
      </c>
      <c r="F51">
        <v>183</v>
      </c>
      <c r="G51">
        <v>186</v>
      </c>
      <c r="H51">
        <v>193</v>
      </c>
      <c r="I51">
        <v>187</v>
      </c>
      <c r="J51">
        <v>182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L51">
        <v>51</v>
      </c>
      <c r="AM51">
        <v>0.04</v>
      </c>
      <c r="AN51">
        <v>1.4999999999999999E-2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</row>
    <row r="52" spans="3:49" x14ac:dyDescent="0.25">
      <c r="C52">
        <v>188</v>
      </c>
      <c r="D52">
        <v>199</v>
      </c>
      <c r="E52">
        <v>201</v>
      </c>
      <c r="F52">
        <v>190</v>
      </c>
      <c r="G52">
        <v>195</v>
      </c>
      <c r="H52">
        <v>200</v>
      </c>
      <c r="I52">
        <v>196</v>
      </c>
      <c r="J52">
        <v>189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L52">
        <v>52</v>
      </c>
      <c r="AM52">
        <v>4.4999999999999998E-2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</row>
    <row r="53" spans="3:49" x14ac:dyDescent="0.25">
      <c r="C53">
        <v>190</v>
      </c>
      <c r="D53">
        <v>201</v>
      </c>
      <c r="E53">
        <v>203</v>
      </c>
      <c r="F53">
        <v>192</v>
      </c>
      <c r="G53">
        <v>196</v>
      </c>
      <c r="H53">
        <v>202</v>
      </c>
      <c r="I53">
        <v>197</v>
      </c>
      <c r="J53">
        <v>191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L53">
        <v>53</v>
      </c>
      <c r="AM53">
        <v>4.4999999999999998E-2</v>
      </c>
      <c r="AN53">
        <v>5.0000000000000001E-3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</row>
    <row r="54" spans="3:49" x14ac:dyDescent="0.25">
      <c r="C54">
        <v>192</v>
      </c>
      <c r="D54">
        <v>203</v>
      </c>
      <c r="E54">
        <v>205</v>
      </c>
      <c r="F54">
        <v>194</v>
      </c>
      <c r="G54">
        <v>197</v>
      </c>
      <c r="H54">
        <v>204</v>
      </c>
      <c r="I54">
        <v>198</v>
      </c>
      <c r="J54">
        <v>193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L54">
        <v>54</v>
      </c>
      <c r="AM54">
        <v>4.4999999999999998E-2</v>
      </c>
      <c r="AN54">
        <v>0.01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</row>
    <row r="55" spans="3:49" x14ac:dyDescent="0.25">
      <c r="C55">
        <v>199</v>
      </c>
      <c r="D55">
        <v>210</v>
      </c>
      <c r="E55">
        <v>212</v>
      </c>
      <c r="F55">
        <v>201</v>
      </c>
      <c r="G55">
        <v>206</v>
      </c>
      <c r="H55">
        <v>211</v>
      </c>
      <c r="I55">
        <v>207</v>
      </c>
      <c r="J55">
        <v>200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L55">
        <v>55</v>
      </c>
      <c r="AM55">
        <v>4.4999999999999998E-2</v>
      </c>
      <c r="AN55">
        <v>1.4999999999999999E-2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</row>
    <row r="56" spans="3:49" x14ac:dyDescent="0.25">
      <c r="C56">
        <v>201</v>
      </c>
      <c r="D56">
        <v>212</v>
      </c>
      <c r="E56">
        <v>214</v>
      </c>
      <c r="F56">
        <v>203</v>
      </c>
      <c r="G56">
        <v>207</v>
      </c>
      <c r="H56">
        <v>213</v>
      </c>
      <c r="I56">
        <v>208</v>
      </c>
      <c r="J56">
        <v>202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L56">
        <v>56</v>
      </c>
      <c r="AM56">
        <v>0.05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</row>
    <row r="57" spans="3:49" x14ac:dyDescent="0.25">
      <c r="C57">
        <v>203</v>
      </c>
      <c r="D57">
        <v>214</v>
      </c>
      <c r="E57">
        <v>216</v>
      </c>
      <c r="F57">
        <v>205</v>
      </c>
      <c r="G57">
        <v>208</v>
      </c>
      <c r="H57">
        <v>215</v>
      </c>
      <c r="I57">
        <v>209</v>
      </c>
      <c r="J57">
        <v>204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L57">
        <v>57</v>
      </c>
      <c r="AM57">
        <v>0.05</v>
      </c>
      <c r="AN57">
        <v>2.5000000000000001E-3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</row>
    <row r="58" spans="3:49" x14ac:dyDescent="0.25">
      <c r="C58">
        <v>210</v>
      </c>
      <c r="D58">
        <v>221</v>
      </c>
      <c r="E58">
        <v>223</v>
      </c>
      <c r="F58">
        <v>212</v>
      </c>
      <c r="G58">
        <v>217</v>
      </c>
      <c r="H58">
        <v>222</v>
      </c>
      <c r="I58">
        <v>218</v>
      </c>
      <c r="J58">
        <v>211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L58">
        <v>58</v>
      </c>
      <c r="AM58">
        <v>0.05</v>
      </c>
      <c r="AN58">
        <v>5.0000000000000001E-3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</row>
    <row r="59" spans="3:49" x14ac:dyDescent="0.25">
      <c r="C59">
        <v>212</v>
      </c>
      <c r="D59">
        <v>223</v>
      </c>
      <c r="E59">
        <v>225</v>
      </c>
      <c r="F59">
        <v>214</v>
      </c>
      <c r="G59">
        <v>218</v>
      </c>
      <c r="H59">
        <v>224</v>
      </c>
      <c r="I59">
        <v>219</v>
      </c>
      <c r="J59">
        <v>213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L59">
        <v>59</v>
      </c>
      <c r="AM59">
        <v>0.05</v>
      </c>
      <c r="AN59">
        <v>7.4999999999999997E-3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</row>
    <row r="60" spans="3:49" x14ac:dyDescent="0.25">
      <c r="C60">
        <v>214</v>
      </c>
      <c r="D60">
        <v>225</v>
      </c>
      <c r="E60">
        <v>227</v>
      </c>
      <c r="F60">
        <v>216</v>
      </c>
      <c r="G60">
        <v>219</v>
      </c>
      <c r="H60">
        <v>226</v>
      </c>
      <c r="I60">
        <v>220</v>
      </c>
      <c r="J60">
        <v>215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L60">
        <v>60</v>
      </c>
      <c r="AM60">
        <v>0.05</v>
      </c>
      <c r="AN60">
        <v>0.01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</row>
    <row r="61" spans="3:49" x14ac:dyDescent="0.25">
      <c r="C61">
        <v>221</v>
      </c>
      <c r="D61">
        <v>232</v>
      </c>
      <c r="E61">
        <v>234</v>
      </c>
      <c r="F61">
        <v>223</v>
      </c>
      <c r="G61">
        <v>228</v>
      </c>
      <c r="H61">
        <v>233</v>
      </c>
      <c r="I61">
        <v>229</v>
      </c>
      <c r="J61">
        <v>222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L61">
        <v>61</v>
      </c>
      <c r="AM61">
        <v>0.05</v>
      </c>
      <c r="AN61">
        <v>1.2500000000000001E-2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</row>
    <row r="62" spans="3:49" x14ac:dyDescent="0.25">
      <c r="C62">
        <v>223</v>
      </c>
      <c r="D62">
        <v>234</v>
      </c>
      <c r="E62">
        <v>236</v>
      </c>
      <c r="F62">
        <v>225</v>
      </c>
      <c r="G62">
        <v>229</v>
      </c>
      <c r="H62">
        <v>235</v>
      </c>
      <c r="I62">
        <v>230</v>
      </c>
      <c r="J62">
        <v>224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L62">
        <v>62</v>
      </c>
      <c r="AM62">
        <v>0.05</v>
      </c>
      <c r="AN62">
        <v>1.4999999999999999E-2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</row>
    <row r="63" spans="3:49" x14ac:dyDescent="0.25">
      <c r="C63">
        <v>225</v>
      </c>
      <c r="D63">
        <v>236</v>
      </c>
      <c r="E63">
        <v>238</v>
      </c>
      <c r="F63">
        <v>227</v>
      </c>
      <c r="G63">
        <v>230</v>
      </c>
      <c r="H63">
        <v>237</v>
      </c>
      <c r="I63">
        <v>231</v>
      </c>
      <c r="J63">
        <v>226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L63">
        <v>63</v>
      </c>
      <c r="AM63">
        <v>5.5E-2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</row>
    <row r="64" spans="3:49" x14ac:dyDescent="0.25">
      <c r="C64">
        <v>232</v>
      </c>
      <c r="D64">
        <v>243</v>
      </c>
      <c r="E64">
        <v>245</v>
      </c>
      <c r="F64">
        <v>234</v>
      </c>
      <c r="G64">
        <v>239</v>
      </c>
      <c r="H64">
        <v>244</v>
      </c>
      <c r="I64">
        <v>240</v>
      </c>
      <c r="J64">
        <v>233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L64">
        <v>64</v>
      </c>
      <c r="AM64">
        <v>5.5E-2</v>
      </c>
      <c r="AN64">
        <v>5.0000000000000001E-3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</row>
    <row r="65" spans="3:49" x14ac:dyDescent="0.25">
      <c r="C65">
        <v>234</v>
      </c>
      <c r="D65">
        <v>245</v>
      </c>
      <c r="E65">
        <v>247</v>
      </c>
      <c r="F65">
        <v>236</v>
      </c>
      <c r="G65">
        <v>240</v>
      </c>
      <c r="H65">
        <v>246</v>
      </c>
      <c r="I65">
        <v>241</v>
      </c>
      <c r="J65">
        <v>235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L65">
        <v>65</v>
      </c>
      <c r="AM65">
        <v>5.5E-2</v>
      </c>
      <c r="AN65">
        <v>0.01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</row>
    <row r="66" spans="3:49" x14ac:dyDescent="0.25">
      <c r="C66">
        <v>236</v>
      </c>
      <c r="D66">
        <v>247</v>
      </c>
      <c r="E66">
        <v>249</v>
      </c>
      <c r="F66">
        <v>238</v>
      </c>
      <c r="G66">
        <v>241</v>
      </c>
      <c r="H66">
        <v>248</v>
      </c>
      <c r="I66">
        <v>242</v>
      </c>
      <c r="J66">
        <v>237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L66">
        <v>66</v>
      </c>
      <c r="AM66">
        <v>5.5E-2</v>
      </c>
      <c r="AN66">
        <v>1.4999999999999999E-2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</row>
    <row r="67" spans="3:49" x14ac:dyDescent="0.25">
      <c r="C67">
        <v>243</v>
      </c>
      <c r="D67">
        <v>254</v>
      </c>
      <c r="E67">
        <v>256</v>
      </c>
      <c r="F67">
        <v>245</v>
      </c>
      <c r="G67">
        <v>250</v>
      </c>
      <c r="H67">
        <v>255</v>
      </c>
      <c r="I67">
        <v>251</v>
      </c>
      <c r="J67">
        <v>244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L67">
        <v>67</v>
      </c>
      <c r="AM67">
        <v>0.06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</row>
    <row r="68" spans="3:49" x14ac:dyDescent="0.25">
      <c r="C68">
        <v>245</v>
      </c>
      <c r="D68">
        <v>256</v>
      </c>
      <c r="E68">
        <v>258</v>
      </c>
      <c r="F68">
        <v>247</v>
      </c>
      <c r="G68">
        <v>251</v>
      </c>
      <c r="H68">
        <v>257</v>
      </c>
      <c r="I68">
        <v>252</v>
      </c>
      <c r="J68">
        <v>246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L68">
        <v>68</v>
      </c>
      <c r="AM68">
        <v>0.06</v>
      </c>
      <c r="AN68">
        <v>2.5000000000000001E-3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</row>
    <row r="69" spans="3:49" x14ac:dyDescent="0.25">
      <c r="C69">
        <v>247</v>
      </c>
      <c r="D69">
        <v>258</v>
      </c>
      <c r="E69">
        <v>260</v>
      </c>
      <c r="F69">
        <v>249</v>
      </c>
      <c r="G69">
        <v>252</v>
      </c>
      <c r="H69">
        <v>259</v>
      </c>
      <c r="I69">
        <v>253</v>
      </c>
      <c r="J69">
        <v>248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L69">
        <v>69</v>
      </c>
      <c r="AM69">
        <v>0.06</v>
      </c>
      <c r="AN69">
        <v>5.0000000000000001E-3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</row>
    <row r="70" spans="3:49" x14ac:dyDescent="0.25">
      <c r="C70">
        <v>254</v>
      </c>
      <c r="D70">
        <v>265</v>
      </c>
      <c r="E70">
        <v>267</v>
      </c>
      <c r="F70">
        <v>256</v>
      </c>
      <c r="G70">
        <v>261</v>
      </c>
      <c r="H70">
        <v>266</v>
      </c>
      <c r="I70">
        <v>262</v>
      </c>
      <c r="J70">
        <v>255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L70">
        <v>70</v>
      </c>
      <c r="AM70">
        <v>0.06</v>
      </c>
      <c r="AN70">
        <v>7.4999999999999997E-3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</row>
    <row r="71" spans="3:49" x14ac:dyDescent="0.25">
      <c r="C71">
        <v>256</v>
      </c>
      <c r="D71">
        <v>267</v>
      </c>
      <c r="E71">
        <v>269</v>
      </c>
      <c r="F71">
        <v>258</v>
      </c>
      <c r="G71">
        <v>262</v>
      </c>
      <c r="H71">
        <v>268</v>
      </c>
      <c r="I71">
        <v>263</v>
      </c>
      <c r="J71">
        <v>257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L71">
        <v>71</v>
      </c>
      <c r="AM71">
        <v>0.06</v>
      </c>
      <c r="AN71">
        <v>0.01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</row>
    <row r="72" spans="3:49" x14ac:dyDescent="0.25">
      <c r="C72">
        <v>258</v>
      </c>
      <c r="D72">
        <v>269</v>
      </c>
      <c r="E72">
        <v>271</v>
      </c>
      <c r="F72">
        <v>260</v>
      </c>
      <c r="G72">
        <v>263</v>
      </c>
      <c r="H72">
        <v>270</v>
      </c>
      <c r="I72">
        <v>264</v>
      </c>
      <c r="J72">
        <v>259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L72">
        <v>72</v>
      </c>
      <c r="AM72">
        <v>0.06</v>
      </c>
      <c r="AN72">
        <v>1.2500000000000001E-2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</row>
    <row r="73" spans="3:49" x14ac:dyDescent="0.25">
      <c r="C73">
        <v>265</v>
      </c>
      <c r="D73">
        <v>276</v>
      </c>
      <c r="E73">
        <v>278</v>
      </c>
      <c r="F73">
        <v>267</v>
      </c>
      <c r="G73">
        <v>272</v>
      </c>
      <c r="H73">
        <v>277</v>
      </c>
      <c r="I73">
        <v>273</v>
      </c>
      <c r="J73">
        <v>266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L73">
        <v>73</v>
      </c>
      <c r="AM73">
        <v>0.06</v>
      </c>
      <c r="AN73">
        <v>1.4999999999999999E-2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</row>
    <row r="74" spans="3:49" x14ac:dyDescent="0.25">
      <c r="C74">
        <v>267</v>
      </c>
      <c r="D74">
        <v>278</v>
      </c>
      <c r="E74">
        <v>280</v>
      </c>
      <c r="F74">
        <v>269</v>
      </c>
      <c r="G74">
        <v>273</v>
      </c>
      <c r="H74">
        <v>279</v>
      </c>
      <c r="I74">
        <v>274</v>
      </c>
      <c r="J74">
        <v>268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L74">
        <v>74</v>
      </c>
      <c r="AM74">
        <v>6.5000000000000002E-2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</row>
    <row r="75" spans="3:49" x14ac:dyDescent="0.25">
      <c r="C75">
        <v>269</v>
      </c>
      <c r="D75">
        <v>280</v>
      </c>
      <c r="E75">
        <v>282</v>
      </c>
      <c r="F75">
        <v>271</v>
      </c>
      <c r="G75">
        <v>274</v>
      </c>
      <c r="H75">
        <v>281</v>
      </c>
      <c r="I75">
        <v>275</v>
      </c>
      <c r="J75">
        <v>270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L75">
        <v>75</v>
      </c>
      <c r="AM75">
        <v>6.5000000000000002E-2</v>
      </c>
      <c r="AN75">
        <v>5.0000000000000001E-3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</row>
    <row r="76" spans="3:49" x14ac:dyDescent="0.25">
      <c r="C76">
        <v>276</v>
      </c>
      <c r="D76">
        <v>287</v>
      </c>
      <c r="E76">
        <v>289</v>
      </c>
      <c r="F76">
        <v>278</v>
      </c>
      <c r="G76">
        <v>283</v>
      </c>
      <c r="H76">
        <v>288</v>
      </c>
      <c r="I76">
        <v>284</v>
      </c>
      <c r="J76">
        <v>277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L76">
        <v>76</v>
      </c>
      <c r="AM76">
        <v>6.5000000000000002E-2</v>
      </c>
      <c r="AN76">
        <v>0.01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</row>
    <row r="77" spans="3:49" x14ac:dyDescent="0.25">
      <c r="C77">
        <v>278</v>
      </c>
      <c r="D77">
        <v>289</v>
      </c>
      <c r="E77">
        <v>291</v>
      </c>
      <c r="F77">
        <v>280</v>
      </c>
      <c r="G77">
        <v>284</v>
      </c>
      <c r="H77">
        <v>290</v>
      </c>
      <c r="I77">
        <v>285</v>
      </c>
      <c r="J77">
        <v>279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L77">
        <v>77</v>
      </c>
      <c r="AM77">
        <v>6.5000000000000002E-2</v>
      </c>
      <c r="AN77">
        <v>1.4999999999999999E-2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</row>
    <row r="78" spans="3:49" x14ac:dyDescent="0.25">
      <c r="C78">
        <v>280</v>
      </c>
      <c r="D78">
        <v>291</v>
      </c>
      <c r="E78">
        <v>293</v>
      </c>
      <c r="F78">
        <v>282</v>
      </c>
      <c r="G78">
        <v>285</v>
      </c>
      <c r="H78">
        <v>292</v>
      </c>
      <c r="I78">
        <v>286</v>
      </c>
      <c r="J78">
        <v>281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L78">
        <v>78</v>
      </c>
      <c r="AM78">
        <v>7.0000000000000007E-2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</row>
    <row r="79" spans="3:49" x14ac:dyDescent="0.25">
      <c r="C79">
        <v>287</v>
      </c>
      <c r="D79">
        <v>298</v>
      </c>
      <c r="E79">
        <v>300</v>
      </c>
      <c r="F79">
        <v>289</v>
      </c>
      <c r="G79">
        <v>294</v>
      </c>
      <c r="H79">
        <v>299</v>
      </c>
      <c r="I79">
        <v>295</v>
      </c>
      <c r="J79">
        <v>288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L79">
        <v>79</v>
      </c>
      <c r="AM79">
        <v>7.0000000000000007E-2</v>
      </c>
      <c r="AN79">
        <v>2.5000000000000001E-3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</row>
    <row r="80" spans="3:49" x14ac:dyDescent="0.25">
      <c r="C80">
        <v>289</v>
      </c>
      <c r="D80">
        <v>300</v>
      </c>
      <c r="E80">
        <v>302</v>
      </c>
      <c r="F80">
        <v>291</v>
      </c>
      <c r="G80">
        <v>295</v>
      </c>
      <c r="H80">
        <v>301</v>
      </c>
      <c r="I80">
        <v>296</v>
      </c>
      <c r="J80">
        <v>290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L80">
        <v>80</v>
      </c>
      <c r="AM80">
        <v>7.0000000000000007E-2</v>
      </c>
      <c r="AN80">
        <v>5.0000000000000001E-3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</row>
    <row r="81" spans="3:49" x14ac:dyDescent="0.25">
      <c r="C81">
        <v>291</v>
      </c>
      <c r="D81">
        <v>302</v>
      </c>
      <c r="E81">
        <v>304</v>
      </c>
      <c r="F81">
        <v>293</v>
      </c>
      <c r="G81">
        <v>296</v>
      </c>
      <c r="H81">
        <v>303</v>
      </c>
      <c r="I81">
        <v>297</v>
      </c>
      <c r="J81">
        <v>292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L81">
        <v>81</v>
      </c>
      <c r="AM81">
        <v>7.0000000000000007E-2</v>
      </c>
      <c r="AN81">
        <v>7.4999999999999997E-3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</row>
    <row r="82" spans="3:49" x14ac:dyDescent="0.25">
      <c r="C82">
        <v>298</v>
      </c>
      <c r="D82">
        <v>309</v>
      </c>
      <c r="E82">
        <v>311</v>
      </c>
      <c r="F82">
        <v>300</v>
      </c>
      <c r="G82">
        <v>305</v>
      </c>
      <c r="H82">
        <v>310</v>
      </c>
      <c r="I82">
        <v>306</v>
      </c>
      <c r="J82">
        <v>299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L82">
        <v>82</v>
      </c>
      <c r="AM82">
        <v>7.0000000000000007E-2</v>
      </c>
      <c r="AN82">
        <v>0.01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</row>
    <row r="83" spans="3:49" x14ac:dyDescent="0.25">
      <c r="C83">
        <v>300</v>
      </c>
      <c r="D83">
        <v>311</v>
      </c>
      <c r="E83">
        <v>313</v>
      </c>
      <c r="F83">
        <v>302</v>
      </c>
      <c r="G83">
        <v>306</v>
      </c>
      <c r="H83">
        <v>312</v>
      </c>
      <c r="I83">
        <v>307</v>
      </c>
      <c r="J83">
        <v>301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L83">
        <v>83</v>
      </c>
      <c r="AM83">
        <v>7.0000000000000007E-2</v>
      </c>
      <c r="AN83">
        <v>1.2500000000000001E-2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</row>
    <row r="84" spans="3:49" x14ac:dyDescent="0.25">
      <c r="C84">
        <v>302</v>
      </c>
      <c r="D84">
        <v>313</v>
      </c>
      <c r="E84">
        <v>315</v>
      </c>
      <c r="F84">
        <v>304</v>
      </c>
      <c r="G84">
        <v>307</v>
      </c>
      <c r="H84">
        <v>314</v>
      </c>
      <c r="I84">
        <v>308</v>
      </c>
      <c r="J84">
        <v>303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L84">
        <v>84</v>
      </c>
      <c r="AM84">
        <v>7.0000000000000007E-2</v>
      </c>
      <c r="AN84">
        <v>1.4999999999999999E-2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</row>
    <row r="85" spans="3:49" x14ac:dyDescent="0.25">
      <c r="C85">
        <v>309</v>
      </c>
      <c r="D85">
        <v>320</v>
      </c>
      <c r="E85">
        <v>322</v>
      </c>
      <c r="F85">
        <v>311</v>
      </c>
      <c r="G85">
        <v>316</v>
      </c>
      <c r="H85">
        <v>321</v>
      </c>
      <c r="I85">
        <v>317</v>
      </c>
      <c r="J85">
        <v>310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L85">
        <v>85</v>
      </c>
      <c r="AM85">
        <v>7.4999999999999997E-2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</row>
    <row r="86" spans="3:49" x14ac:dyDescent="0.25">
      <c r="C86">
        <v>311</v>
      </c>
      <c r="D86">
        <v>322</v>
      </c>
      <c r="E86">
        <v>324</v>
      </c>
      <c r="F86">
        <v>313</v>
      </c>
      <c r="G86">
        <v>317</v>
      </c>
      <c r="H86">
        <v>323</v>
      </c>
      <c r="I86">
        <v>318</v>
      </c>
      <c r="J86">
        <v>312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L86">
        <v>86</v>
      </c>
      <c r="AM86">
        <v>7.4999999999999997E-2</v>
      </c>
      <c r="AN86">
        <v>5.0000000000000001E-3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</row>
    <row r="87" spans="3:49" x14ac:dyDescent="0.25">
      <c r="C87">
        <v>313</v>
      </c>
      <c r="D87">
        <v>324</v>
      </c>
      <c r="E87">
        <v>326</v>
      </c>
      <c r="F87">
        <v>315</v>
      </c>
      <c r="G87">
        <v>318</v>
      </c>
      <c r="H87">
        <v>325</v>
      </c>
      <c r="I87">
        <v>319</v>
      </c>
      <c r="J87">
        <v>314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L87">
        <v>87</v>
      </c>
      <c r="AM87">
        <v>7.4999999999999997E-2</v>
      </c>
      <c r="AN87">
        <v>0.01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</row>
    <row r="88" spans="3:49" x14ac:dyDescent="0.25">
      <c r="C88">
        <v>320</v>
      </c>
      <c r="D88">
        <v>331</v>
      </c>
      <c r="E88">
        <v>333</v>
      </c>
      <c r="F88">
        <v>322</v>
      </c>
      <c r="G88">
        <v>327</v>
      </c>
      <c r="H88">
        <v>332</v>
      </c>
      <c r="I88">
        <v>328</v>
      </c>
      <c r="J88">
        <v>321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L88">
        <v>88</v>
      </c>
      <c r="AM88">
        <v>7.4999999999999997E-2</v>
      </c>
      <c r="AN88">
        <v>1.4999999999999999E-2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</row>
    <row r="89" spans="3:49" x14ac:dyDescent="0.25">
      <c r="C89">
        <v>322</v>
      </c>
      <c r="D89">
        <v>333</v>
      </c>
      <c r="E89">
        <v>335</v>
      </c>
      <c r="F89">
        <v>324</v>
      </c>
      <c r="G89">
        <v>328</v>
      </c>
      <c r="H89">
        <v>334</v>
      </c>
      <c r="I89">
        <v>329</v>
      </c>
      <c r="J89">
        <v>323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L89">
        <v>89</v>
      </c>
      <c r="AM89">
        <v>0.08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</row>
    <row r="90" spans="3:49" x14ac:dyDescent="0.25">
      <c r="C90">
        <v>324</v>
      </c>
      <c r="D90">
        <v>335</v>
      </c>
      <c r="E90">
        <v>337</v>
      </c>
      <c r="F90">
        <v>326</v>
      </c>
      <c r="G90">
        <v>329</v>
      </c>
      <c r="H90">
        <v>336</v>
      </c>
      <c r="I90">
        <v>330</v>
      </c>
      <c r="J90">
        <v>325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L90">
        <v>90</v>
      </c>
      <c r="AM90">
        <v>0.08</v>
      </c>
      <c r="AN90">
        <v>2.5000000000000001E-3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</row>
    <row r="91" spans="3:49" x14ac:dyDescent="0.25">
      <c r="AL91">
        <v>91</v>
      </c>
      <c r="AM91">
        <v>0.08</v>
      </c>
      <c r="AN91">
        <v>5.0000000000000001E-3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</row>
    <row r="92" spans="3:49" x14ac:dyDescent="0.25">
      <c r="AL92">
        <v>92</v>
      </c>
      <c r="AM92">
        <v>0.08</v>
      </c>
      <c r="AN92">
        <v>7.4999999999999997E-3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</row>
    <row r="93" spans="3:49" x14ac:dyDescent="0.25">
      <c r="AL93">
        <v>93</v>
      </c>
      <c r="AM93">
        <v>0.08</v>
      </c>
      <c r="AN93">
        <v>0.01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</row>
    <row r="94" spans="3:49" x14ac:dyDescent="0.25">
      <c r="AL94">
        <v>94</v>
      </c>
      <c r="AM94">
        <v>0.08</v>
      </c>
      <c r="AN94">
        <v>1.2500000000000001E-2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</row>
    <row r="95" spans="3:49" x14ac:dyDescent="0.25">
      <c r="AL95">
        <v>95</v>
      </c>
      <c r="AM95">
        <v>0.08</v>
      </c>
      <c r="AN95">
        <v>1.4999999999999999E-2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</row>
    <row r="96" spans="3:49" x14ac:dyDescent="0.25">
      <c r="AL96">
        <v>96</v>
      </c>
      <c r="AM96">
        <v>8.5000000000000006E-2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</row>
    <row r="97" spans="38:49" x14ac:dyDescent="0.25">
      <c r="AL97">
        <v>97</v>
      </c>
      <c r="AM97">
        <v>8.5000000000000006E-2</v>
      </c>
      <c r="AN97">
        <v>5.0000000000000001E-3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</row>
    <row r="98" spans="38:49" x14ac:dyDescent="0.25">
      <c r="AL98">
        <v>98</v>
      </c>
      <c r="AM98">
        <v>8.5000000000000006E-2</v>
      </c>
      <c r="AN98">
        <v>0.01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</row>
    <row r="99" spans="38:49" x14ac:dyDescent="0.25">
      <c r="AL99">
        <v>99</v>
      </c>
      <c r="AM99">
        <v>8.5000000000000006E-2</v>
      </c>
      <c r="AN99">
        <v>1.4999999999999999E-2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</row>
    <row r="100" spans="38:49" x14ac:dyDescent="0.25">
      <c r="AL100">
        <v>100</v>
      </c>
      <c r="AM100">
        <v>0.09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</row>
    <row r="101" spans="38:49" x14ac:dyDescent="0.25">
      <c r="AL101">
        <v>101</v>
      </c>
      <c r="AM101">
        <v>0.09</v>
      </c>
      <c r="AN101">
        <v>2.5000000000000001E-3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</row>
    <row r="102" spans="38:49" x14ac:dyDescent="0.25">
      <c r="AL102">
        <v>102</v>
      </c>
      <c r="AM102">
        <v>0.09</v>
      </c>
      <c r="AN102">
        <v>5.0000000000000001E-3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</row>
    <row r="103" spans="38:49" x14ac:dyDescent="0.25">
      <c r="AL103">
        <v>103</v>
      </c>
      <c r="AM103">
        <v>0.09</v>
      </c>
      <c r="AN103">
        <v>7.4999999999999997E-3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</row>
    <row r="104" spans="38:49" x14ac:dyDescent="0.25">
      <c r="AL104">
        <v>104</v>
      </c>
      <c r="AM104">
        <v>0.09</v>
      </c>
      <c r="AN104">
        <v>0.01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</row>
    <row r="105" spans="38:49" x14ac:dyDescent="0.25">
      <c r="AL105">
        <v>105</v>
      </c>
      <c r="AM105">
        <v>0.09</v>
      </c>
      <c r="AN105">
        <v>1.2500000000000001E-2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</row>
    <row r="106" spans="38:49" x14ac:dyDescent="0.25">
      <c r="AL106">
        <v>106</v>
      </c>
      <c r="AM106">
        <v>0.09</v>
      </c>
      <c r="AN106">
        <v>1.4999999999999999E-2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</row>
    <row r="107" spans="38:49" x14ac:dyDescent="0.25">
      <c r="AL107">
        <v>107</v>
      </c>
      <c r="AM107">
        <v>9.5000000000000001E-2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</row>
    <row r="108" spans="38:49" x14ac:dyDescent="0.25">
      <c r="AL108">
        <v>108</v>
      </c>
      <c r="AM108">
        <v>9.5000000000000001E-2</v>
      </c>
      <c r="AN108">
        <v>5.0000000000000001E-3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</row>
    <row r="109" spans="38:49" x14ac:dyDescent="0.25">
      <c r="AL109">
        <v>109</v>
      </c>
      <c r="AM109">
        <v>9.5000000000000001E-2</v>
      </c>
      <c r="AN109">
        <v>0.01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</row>
    <row r="110" spans="38:49" x14ac:dyDescent="0.25">
      <c r="AL110">
        <v>110</v>
      </c>
      <c r="AM110">
        <v>9.5000000000000001E-2</v>
      </c>
      <c r="AN110">
        <v>1.4999999999999999E-2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</row>
    <row r="111" spans="38:49" x14ac:dyDescent="0.25">
      <c r="AL111">
        <v>111</v>
      </c>
      <c r="AM111">
        <v>0.1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</row>
    <row r="112" spans="38:49" x14ac:dyDescent="0.25">
      <c r="AL112">
        <v>112</v>
      </c>
      <c r="AM112">
        <v>0.1</v>
      </c>
      <c r="AN112">
        <v>2.5000000000000001E-3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</row>
    <row r="113" spans="38:49" x14ac:dyDescent="0.25">
      <c r="AL113">
        <v>113</v>
      </c>
      <c r="AM113">
        <v>0.1</v>
      </c>
      <c r="AN113">
        <v>5.0000000000000001E-3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</row>
    <row r="114" spans="38:49" x14ac:dyDescent="0.25">
      <c r="AL114">
        <v>114</v>
      </c>
      <c r="AM114">
        <v>0.1</v>
      </c>
      <c r="AN114">
        <v>7.4999999999999997E-3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</row>
    <row r="115" spans="38:49" x14ac:dyDescent="0.25">
      <c r="AL115">
        <v>115</v>
      </c>
      <c r="AM115">
        <v>0.1</v>
      </c>
      <c r="AN115">
        <v>0.01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</row>
    <row r="116" spans="38:49" x14ac:dyDescent="0.25">
      <c r="AL116">
        <v>116</v>
      </c>
      <c r="AM116">
        <v>0.1</v>
      </c>
      <c r="AN116">
        <v>1.2500000000000001E-2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</row>
    <row r="117" spans="38:49" x14ac:dyDescent="0.25">
      <c r="AL117">
        <v>117</v>
      </c>
      <c r="AM117">
        <v>0.1</v>
      </c>
      <c r="AN117">
        <v>1.4999999999999999E-2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</row>
    <row r="118" spans="38:49" x14ac:dyDescent="0.25">
      <c r="AL118">
        <v>118</v>
      </c>
      <c r="AM118">
        <v>0.105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</row>
    <row r="119" spans="38:49" x14ac:dyDescent="0.25">
      <c r="AL119">
        <v>119</v>
      </c>
      <c r="AM119">
        <v>0.105</v>
      </c>
      <c r="AN119">
        <v>5.0000000000000001E-3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</row>
    <row r="120" spans="38:49" x14ac:dyDescent="0.25">
      <c r="AL120">
        <v>120</v>
      </c>
      <c r="AM120">
        <v>0.105</v>
      </c>
      <c r="AN120">
        <v>0.01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</row>
    <row r="121" spans="38:49" x14ac:dyDescent="0.25">
      <c r="AL121">
        <v>121</v>
      </c>
      <c r="AM121">
        <v>0.105</v>
      </c>
      <c r="AN121">
        <v>1.4999999999999999E-2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</row>
    <row r="122" spans="38:49" x14ac:dyDescent="0.25">
      <c r="AL122">
        <v>122</v>
      </c>
      <c r="AM122">
        <v>0.11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</row>
    <row r="123" spans="38:49" x14ac:dyDescent="0.25">
      <c r="AL123">
        <v>123</v>
      </c>
      <c r="AM123">
        <v>0.11</v>
      </c>
      <c r="AN123">
        <v>2.5000000000000001E-3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</row>
    <row r="124" spans="38:49" x14ac:dyDescent="0.25">
      <c r="AL124">
        <v>124</v>
      </c>
      <c r="AM124">
        <v>0.11</v>
      </c>
      <c r="AN124">
        <v>5.0000000000000001E-3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</row>
    <row r="125" spans="38:49" x14ac:dyDescent="0.25">
      <c r="AL125">
        <v>125</v>
      </c>
      <c r="AM125">
        <v>0.11</v>
      </c>
      <c r="AN125">
        <v>7.4999999999999997E-3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</row>
    <row r="126" spans="38:49" x14ac:dyDescent="0.25">
      <c r="AL126">
        <v>126</v>
      </c>
      <c r="AM126">
        <v>0.11</v>
      </c>
      <c r="AN126">
        <v>0.01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</row>
    <row r="127" spans="38:49" x14ac:dyDescent="0.25">
      <c r="AL127">
        <v>127</v>
      </c>
      <c r="AM127">
        <v>0.11</v>
      </c>
      <c r="AN127">
        <v>1.2500000000000001E-2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</row>
    <row r="128" spans="38:49" x14ac:dyDescent="0.25">
      <c r="AL128">
        <v>128</v>
      </c>
      <c r="AM128">
        <v>0.11</v>
      </c>
      <c r="AN128">
        <v>1.4999999999999999E-2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</row>
    <row r="129" spans="38:49" x14ac:dyDescent="0.25">
      <c r="AL129">
        <v>129</v>
      </c>
      <c r="AM129">
        <v>0.115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</row>
    <row r="130" spans="38:49" x14ac:dyDescent="0.25">
      <c r="AL130">
        <v>130</v>
      </c>
      <c r="AM130">
        <v>0.115</v>
      </c>
      <c r="AN130">
        <v>5.0000000000000001E-3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</row>
    <row r="131" spans="38:49" x14ac:dyDescent="0.25">
      <c r="AL131">
        <v>131</v>
      </c>
      <c r="AM131">
        <v>0.115</v>
      </c>
      <c r="AN131">
        <v>0.01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</row>
    <row r="132" spans="38:49" x14ac:dyDescent="0.25">
      <c r="AL132">
        <v>132</v>
      </c>
      <c r="AM132">
        <v>0.115</v>
      </c>
      <c r="AN132">
        <v>1.4999999999999999E-2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</row>
    <row r="133" spans="38:49" x14ac:dyDescent="0.25">
      <c r="AL133">
        <v>133</v>
      </c>
      <c r="AM133">
        <v>0.12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</row>
    <row r="134" spans="38:49" x14ac:dyDescent="0.25">
      <c r="AL134">
        <v>134</v>
      </c>
      <c r="AM134">
        <v>0.12</v>
      </c>
      <c r="AN134">
        <v>2.5000000000000001E-3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</row>
    <row r="135" spans="38:49" x14ac:dyDescent="0.25">
      <c r="AL135">
        <v>135</v>
      </c>
      <c r="AM135">
        <v>0.12</v>
      </c>
      <c r="AN135">
        <v>5.0000000000000001E-3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</row>
    <row r="136" spans="38:49" x14ac:dyDescent="0.25">
      <c r="AL136">
        <v>136</v>
      </c>
      <c r="AM136">
        <v>0.12</v>
      </c>
      <c r="AN136">
        <v>7.4999999999999997E-3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</row>
    <row r="137" spans="38:49" x14ac:dyDescent="0.25">
      <c r="AL137">
        <v>137</v>
      </c>
      <c r="AM137">
        <v>0.12</v>
      </c>
      <c r="AN137">
        <v>0.01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</row>
    <row r="138" spans="38:49" x14ac:dyDescent="0.25">
      <c r="AL138">
        <v>138</v>
      </c>
      <c r="AM138">
        <v>0.12</v>
      </c>
      <c r="AN138">
        <v>1.2500000000000001E-2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</row>
    <row r="139" spans="38:49" x14ac:dyDescent="0.25">
      <c r="AL139">
        <v>139</v>
      </c>
      <c r="AM139">
        <v>0.12</v>
      </c>
      <c r="AN139">
        <v>1.4999999999999999E-2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</row>
    <row r="140" spans="38:49" x14ac:dyDescent="0.25">
      <c r="AL140">
        <v>140</v>
      </c>
      <c r="AM140">
        <v>0.125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</row>
    <row r="141" spans="38:49" x14ac:dyDescent="0.25">
      <c r="AL141">
        <v>141</v>
      </c>
      <c r="AM141">
        <v>0.125</v>
      </c>
      <c r="AN141">
        <v>5.0000000000000001E-3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</row>
    <row r="142" spans="38:49" x14ac:dyDescent="0.25">
      <c r="AL142">
        <v>142</v>
      </c>
      <c r="AM142">
        <v>0.125</v>
      </c>
      <c r="AN142">
        <v>0.01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</row>
    <row r="143" spans="38:49" x14ac:dyDescent="0.25">
      <c r="AL143">
        <v>143</v>
      </c>
      <c r="AM143">
        <v>0.125</v>
      </c>
      <c r="AN143">
        <v>1.4999999999999999E-2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</row>
    <row r="144" spans="38:49" x14ac:dyDescent="0.25">
      <c r="AL144">
        <v>144</v>
      </c>
      <c r="AM144">
        <v>0.13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</row>
    <row r="145" spans="38:49" x14ac:dyDescent="0.25">
      <c r="AL145">
        <v>145</v>
      </c>
      <c r="AM145">
        <v>0.13</v>
      </c>
      <c r="AN145">
        <v>2.5000000000000001E-3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</row>
    <row r="146" spans="38:49" x14ac:dyDescent="0.25">
      <c r="AL146">
        <v>146</v>
      </c>
      <c r="AM146">
        <v>0.13</v>
      </c>
      <c r="AN146">
        <v>5.0000000000000001E-3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</row>
    <row r="147" spans="38:49" x14ac:dyDescent="0.25">
      <c r="AL147">
        <v>147</v>
      </c>
      <c r="AM147">
        <v>0.13</v>
      </c>
      <c r="AN147">
        <v>7.4999999999999997E-3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</row>
    <row r="148" spans="38:49" x14ac:dyDescent="0.25">
      <c r="AL148">
        <v>148</v>
      </c>
      <c r="AM148">
        <v>0.13</v>
      </c>
      <c r="AN148">
        <v>0.01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</row>
    <row r="149" spans="38:49" x14ac:dyDescent="0.25">
      <c r="AL149">
        <v>149</v>
      </c>
      <c r="AM149">
        <v>0.13</v>
      </c>
      <c r="AN149">
        <v>1.2500000000000001E-2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</row>
    <row r="150" spans="38:49" x14ac:dyDescent="0.25">
      <c r="AL150">
        <v>150</v>
      </c>
      <c r="AM150">
        <v>0.13</v>
      </c>
      <c r="AN150">
        <v>1.4999999999999999E-2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</row>
    <row r="151" spans="38:49" x14ac:dyDescent="0.25">
      <c r="AL151">
        <v>151</v>
      </c>
      <c r="AM151">
        <v>0.13500000000000001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</row>
    <row r="152" spans="38:49" x14ac:dyDescent="0.25">
      <c r="AL152">
        <v>152</v>
      </c>
      <c r="AM152">
        <v>0.13500000000000001</v>
      </c>
      <c r="AN152">
        <v>5.0000000000000001E-3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</row>
    <row r="153" spans="38:49" x14ac:dyDescent="0.25">
      <c r="AL153">
        <v>153</v>
      </c>
      <c r="AM153">
        <v>0.13500000000000001</v>
      </c>
      <c r="AN153">
        <v>0.01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</row>
    <row r="154" spans="38:49" x14ac:dyDescent="0.25">
      <c r="AL154">
        <v>154</v>
      </c>
      <c r="AM154">
        <v>0.13500000000000001</v>
      </c>
      <c r="AN154">
        <v>1.4999999999999999E-2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</row>
    <row r="155" spans="38:49" x14ac:dyDescent="0.25">
      <c r="AL155">
        <v>155</v>
      </c>
      <c r="AM155">
        <v>0.14000000000000001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</row>
    <row r="156" spans="38:49" x14ac:dyDescent="0.25">
      <c r="AL156">
        <v>156</v>
      </c>
      <c r="AM156">
        <v>0.14000000000000001</v>
      </c>
      <c r="AN156">
        <v>2.5000000000000001E-3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</row>
    <row r="157" spans="38:49" x14ac:dyDescent="0.25">
      <c r="AL157">
        <v>157</v>
      </c>
      <c r="AM157">
        <v>0.14000000000000001</v>
      </c>
      <c r="AN157">
        <v>5.0000000000000001E-3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</row>
    <row r="158" spans="38:49" x14ac:dyDescent="0.25">
      <c r="AL158">
        <v>158</v>
      </c>
      <c r="AM158">
        <v>0.14000000000000001</v>
      </c>
      <c r="AN158">
        <v>7.4999999999999997E-3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</row>
    <row r="159" spans="38:49" x14ac:dyDescent="0.25">
      <c r="AL159">
        <v>159</v>
      </c>
      <c r="AM159">
        <v>0.14000000000000001</v>
      </c>
      <c r="AN159">
        <v>0.01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</row>
    <row r="160" spans="38:49" x14ac:dyDescent="0.25">
      <c r="AL160">
        <v>160</v>
      </c>
      <c r="AM160">
        <v>0.14000000000000001</v>
      </c>
      <c r="AN160">
        <v>1.2500000000000001E-2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</row>
    <row r="161" spans="38:49" x14ac:dyDescent="0.25">
      <c r="AL161">
        <v>161</v>
      </c>
      <c r="AM161">
        <v>0.14000000000000001</v>
      </c>
      <c r="AN161">
        <v>1.4999999999999999E-2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</row>
    <row r="162" spans="38:49" x14ac:dyDescent="0.25">
      <c r="AL162">
        <v>162</v>
      </c>
      <c r="AM162">
        <v>0.14499999999999999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</row>
    <row r="163" spans="38:49" x14ac:dyDescent="0.25">
      <c r="AL163">
        <v>163</v>
      </c>
      <c r="AM163">
        <v>0.14499999999999999</v>
      </c>
      <c r="AN163">
        <v>5.0000000000000001E-3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</row>
    <row r="164" spans="38:49" x14ac:dyDescent="0.25">
      <c r="AL164">
        <v>164</v>
      </c>
      <c r="AM164">
        <v>0.14499999999999999</v>
      </c>
      <c r="AN164">
        <v>0.01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</row>
    <row r="165" spans="38:49" x14ac:dyDescent="0.25">
      <c r="AL165">
        <v>165</v>
      </c>
      <c r="AM165">
        <v>0.14499999999999999</v>
      </c>
      <c r="AN165">
        <v>1.4999999999999999E-2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</row>
    <row r="166" spans="38:49" x14ac:dyDescent="0.25">
      <c r="AL166">
        <v>166</v>
      </c>
      <c r="AM166">
        <v>0.15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</row>
    <row r="167" spans="38:49" x14ac:dyDescent="0.25">
      <c r="AL167">
        <v>167</v>
      </c>
      <c r="AM167">
        <v>0.15</v>
      </c>
      <c r="AN167">
        <v>2.5000000000000001E-3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</row>
    <row r="168" spans="38:49" x14ac:dyDescent="0.25">
      <c r="AL168">
        <v>168</v>
      </c>
      <c r="AM168">
        <v>0.15</v>
      </c>
      <c r="AN168">
        <v>5.0000000000000001E-3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</row>
    <row r="169" spans="38:49" x14ac:dyDescent="0.25">
      <c r="AL169">
        <v>169</v>
      </c>
      <c r="AM169">
        <v>0.15</v>
      </c>
      <c r="AN169">
        <v>7.4999999999999997E-3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</row>
    <row r="170" spans="38:49" x14ac:dyDescent="0.25">
      <c r="AL170">
        <v>170</v>
      </c>
      <c r="AM170">
        <v>0.15</v>
      </c>
      <c r="AN170">
        <v>0.01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</row>
    <row r="171" spans="38:49" x14ac:dyDescent="0.25">
      <c r="AL171">
        <v>171</v>
      </c>
      <c r="AM171">
        <v>0.15</v>
      </c>
      <c r="AN171">
        <v>1.2500000000000001E-2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</row>
    <row r="172" spans="38:49" x14ac:dyDescent="0.25">
      <c r="AL172">
        <v>172</v>
      </c>
      <c r="AM172">
        <v>0.15</v>
      </c>
      <c r="AN172">
        <v>1.4999999999999999E-2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</row>
    <row r="173" spans="38:49" x14ac:dyDescent="0.25">
      <c r="AL173">
        <v>173</v>
      </c>
      <c r="AM173">
        <v>0.155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</row>
    <row r="174" spans="38:49" x14ac:dyDescent="0.25">
      <c r="AL174">
        <v>174</v>
      </c>
      <c r="AM174">
        <v>0.155</v>
      </c>
      <c r="AN174">
        <v>5.0000000000000001E-3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</row>
    <row r="175" spans="38:49" x14ac:dyDescent="0.25">
      <c r="AL175">
        <v>175</v>
      </c>
      <c r="AM175">
        <v>0.155</v>
      </c>
      <c r="AN175">
        <v>0.01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</row>
    <row r="176" spans="38:49" x14ac:dyDescent="0.25">
      <c r="AL176">
        <v>176</v>
      </c>
      <c r="AM176">
        <v>0.155</v>
      </c>
      <c r="AN176">
        <v>1.4999999999999999E-2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</row>
    <row r="177" spans="38:49" x14ac:dyDescent="0.25">
      <c r="AL177">
        <v>177</v>
      </c>
      <c r="AM177">
        <v>0.16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</row>
    <row r="178" spans="38:49" x14ac:dyDescent="0.25">
      <c r="AL178">
        <v>178</v>
      </c>
      <c r="AM178">
        <v>0.16</v>
      </c>
      <c r="AN178">
        <v>2.5000000000000001E-3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</row>
    <row r="179" spans="38:49" x14ac:dyDescent="0.25">
      <c r="AL179">
        <v>179</v>
      </c>
      <c r="AM179">
        <v>0.16</v>
      </c>
      <c r="AN179">
        <v>5.0000000000000001E-3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</row>
    <row r="180" spans="38:49" x14ac:dyDescent="0.25">
      <c r="AL180">
        <v>180</v>
      </c>
      <c r="AM180">
        <v>0.16</v>
      </c>
      <c r="AN180">
        <v>7.4999999999999997E-3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</row>
    <row r="181" spans="38:49" x14ac:dyDescent="0.25">
      <c r="AL181">
        <v>181</v>
      </c>
      <c r="AM181">
        <v>0.16</v>
      </c>
      <c r="AN181">
        <v>0.01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</row>
    <row r="182" spans="38:49" x14ac:dyDescent="0.25">
      <c r="AL182">
        <v>182</v>
      </c>
      <c r="AM182">
        <v>0.16</v>
      </c>
      <c r="AN182">
        <v>1.2500000000000001E-2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</row>
    <row r="183" spans="38:49" x14ac:dyDescent="0.25">
      <c r="AL183">
        <v>183</v>
      </c>
      <c r="AM183">
        <v>0.16</v>
      </c>
      <c r="AN183">
        <v>1.4999999999999999E-2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</row>
    <row r="184" spans="38:49" x14ac:dyDescent="0.25">
      <c r="AL184">
        <v>184</v>
      </c>
      <c r="AM184">
        <v>0.16500000000000001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</row>
    <row r="185" spans="38:49" x14ac:dyDescent="0.25">
      <c r="AL185">
        <v>185</v>
      </c>
      <c r="AM185">
        <v>0.16500000000000001</v>
      </c>
      <c r="AN185">
        <v>5.0000000000000001E-3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</row>
    <row r="186" spans="38:49" x14ac:dyDescent="0.25">
      <c r="AL186">
        <v>186</v>
      </c>
      <c r="AM186">
        <v>0.16500000000000001</v>
      </c>
      <c r="AN186">
        <v>0.01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</row>
    <row r="187" spans="38:49" x14ac:dyDescent="0.25">
      <c r="AL187">
        <v>187</v>
      </c>
      <c r="AM187">
        <v>0.16500000000000001</v>
      </c>
      <c r="AN187">
        <v>1.4999999999999999E-2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</row>
    <row r="188" spans="38:49" x14ac:dyDescent="0.25">
      <c r="AL188">
        <v>188</v>
      </c>
      <c r="AM188">
        <v>0.17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</row>
    <row r="189" spans="38:49" x14ac:dyDescent="0.25">
      <c r="AL189">
        <v>189</v>
      </c>
      <c r="AM189">
        <v>0.17</v>
      </c>
      <c r="AN189">
        <v>2.5000000000000001E-3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</row>
    <row r="190" spans="38:49" x14ac:dyDescent="0.25">
      <c r="AL190">
        <v>190</v>
      </c>
      <c r="AM190">
        <v>0.17</v>
      </c>
      <c r="AN190">
        <v>5.0000000000000001E-3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</row>
    <row r="191" spans="38:49" x14ac:dyDescent="0.25">
      <c r="AL191">
        <v>191</v>
      </c>
      <c r="AM191">
        <v>0.17</v>
      </c>
      <c r="AN191">
        <v>7.4999999999999997E-3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</row>
    <row r="192" spans="38:49" x14ac:dyDescent="0.25">
      <c r="AL192">
        <v>192</v>
      </c>
      <c r="AM192">
        <v>0.17</v>
      </c>
      <c r="AN192">
        <v>0.01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</row>
    <row r="193" spans="38:49" x14ac:dyDescent="0.25">
      <c r="AL193">
        <v>193</v>
      </c>
      <c r="AM193">
        <v>0.17</v>
      </c>
      <c r="AN193">
        <v>1.2500000000000001E-2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</row>
    <row r="194" spans="38:49" x14ac:dyDescent="0.25">
      <c r="AL194">
        <v>194</v>
      </c>
      <c r="AM194">
        <v>0.17</v>
      </c>
      <c r="AN194">
        <v>1.4999999999999999E-2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</row>
    <row r="195" spans="38:49" x14ac:dyDescent="0.25">
      <c r="AL195">
        <v>195</v>
      </c>
      <c r="AM195">
        <v>0.17499999999999999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</row>
    <row r="196" spans="38:49" x14ac:dyDescent="0.25">
      <c r="AL196">
        <v>196</v>
      </c>
      <c r="AM196">
        <v>0.17499999999999999</v>
      </c>
      <c r="AN196">
        <v>5.0000000000000001E-3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</row>
    <row r="197" spans="38:49" x14ac:dyDescent="0.25">
      <c r="AL197">
        <v>197</v>
      </c>
      <c r="AM197">
        <v>0.17499999999999999</v>
      </c>
      <c r="AN197">
        <v>0.01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</row>
    <row r="198" spans="38:49" x14ac:dyDescent="0.25">
      <c r="AL198">
        <v>198</v>
      </c>
      <c r="AM198">
        <v>0.17499999999999999</v>
      </c>
      <c r="AN198">
        <v>1.4999999999999999E-2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</row>
    <row r="199" spans="38:49" x14ac:dyDescent="0.25">
      <c r="AL199">
        <v>199</v>
      </c>
      <c r="AM199">
        <v>0.18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</row>
    <row r="200" spans="38:49" x14ac:dyDescent="0.25">
      <c r="AL200">
        <v>200</v>
      </c>
      <c r="AM200">
        <v>0.18</v>
      </c>
      <c r="AN200">
        <v>2.5000000000000001E-3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</row>
    <row r="201" spans="38:49" x14ac:dyDescent="0.25">
      <c r="AL201">
        <v>201</v>
      </c>
      <c r="AM201">
        <v>0.18</v>
      </c>
      <c r="AN201">
        <v>5.0000000000000001E-3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</row>
    <row r="202" spans="38:49" x14ac:dyDescent="0.25">
      <c r="AL202">
        <v>202</v>
      </c>
      <c r="AM202">
        <v>0.18</v>
      </c>
      <c r="AN202">
        <v>7.4999999999999997E-3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</row>
    <row r="203" spans="38:49" x14ac:dyDescent="0.25">
      <c r="AL203">
        <v>203</v>
      </c>
      <c r="AM203">
        <v>0.18</v>
      </c>
      <c r="AN203">
        <v>0.01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</row>
    <row r="204" spans="38:49" x14ac:dyDescent="0.25">
      <c r="AL204">
        <v>204</v>
      </c>
      <c r="AM204">
        <v>0.18</v>
      </c>
      <c r="AN204">
        <v>1.2500000000000001E-2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</row>
    <row r="205" spans="38:49" x14ac:dyDescent="0.25">
      <c r="AL205">
        <v>205</v>
      </c>
      <c r="AM205">
        <v>0.18</v>
      </c>
      <c r="AN205">
        <v>1.4999999999999999E-2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</row>
    <row r="206" spans="38:49" x14ac:dyDescent="0.25">
      <c r="AL206">
        <v>206</v>
      </c>
      <c r="AM206">
        <v>0.185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</row>
    <row r="207" spans="38:49" x14ac:dyDescent="0.25">
      <c r="AL207">
        <v>207</v>
      </c>
      <c r="AM207">
        <v>0.185</v>
      </c>
      <c r="AN207">
        <v>5.0000000000000001E-3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</row>
    <row r="208" spans="38:49" x14ac:dyDescent="0.25">
      <c r="AL208">
        <v>208</v>
      </c>
      <c r="AM208">
        <v>0.185</v>
      </c>
      <c r="AN208">
        <v>0.01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</row>
    <row r="209" spans="38:49" x14ac:dyDescent="0.25">
      <c r="AL209">
        <v>209</v>
      </c>
      <c r="AM209">
        <v>0.185</v>
      </c>
      <c r="AN209">
        <v>1.4999999999999999E-2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</row>
    <row r="210" spans="38:49" x14ac:dyDescent="0.25">
      <c r="AL210">
        <v>210</v>
      </c>
      <c r="AM210">
        <v>0.19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</row>
    <row r="211" spans="38:49" x14ac:dyDescent="0.25">
      <c r="AL211">
        <v>211</v>
      </c>
      <c r="AM211">
        <v>0.19</v>
      </c>
      <c r="AN211">
        <v>2.5000000000000001E-3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</row>
    <row r="212" spans="38:49" x14ac:dyDescent="0.25">
      <c r="AL212">
        <v>212</v>
      </c>
      <c r="AM212">
        <v>0.19</v>
      </c>
      <c r="AN212">
        <v>5.0000000000000001E-3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</row>
    <row r="213" spans="38:49" x14ac:dyDescent="0.25">
      <c r="AL213">
        <v>213</v>
      </c>
      <c r="AM213">
        <v>0.19</v>
      </c>
      <c r="AN213">
        <v>7.4999999999999997E-3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</row>
    <row r="214" spans="38:49" x14ac:dyDescent="0.25">
      <c r="AL214">
        <v>214</v>
      </c>
      <c r="AM214">
        <v>0.19</v>
      </c>
      <c r="AN214">
        <v>0.01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</row>
    <row r="215" spans="38:49" x14ac:dyDescent="0.25">
      <c r="AL215">
        <v>215</v>
      </c>
      <c r="AM215">
        <v>0.19</v>
      </c>
      <c r="AN215">
        <v>1.2500000000000001E-2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</row>
    <row r="216" spans="38:49" x14ac:dyDescent="0.25">
      <c r="AL216">
        <v>216</v>
      </c>
      <c r="AM216">
        <v>0.19</v>
      </c>
      <c r="AN216">
        <v>1.4999999999999999E-2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</row>
    <row r="217" spans="38:49" x14ac:dyDescent="0.25">
      <c r="AL217">
        <v>217</v>
      </c>
      <c r="AM217">
        <v>0.19500000000000001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</row>
    <row r="218" spans="38:49" x14ac:dyDescent="0.25">
      <c r="AL218">
        <v>218</v>
      </c>
      <c r="AM218">
        <v>0.19500000000000001</v>
      </c>
      <c r="AN218">
        <v>5.0000000000000001E-3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</row>
    <row r="219" spans="38:49" x14ac:dyDescent="0.25">
      <c r="AL219">
        <v>219</v>
      </c>
      <c r="AM219">
        <v>0.19500000000000001</v>
      </c>
      <c r="AN219">
        <v>0.01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</row>
    <row r="220" spans="38:49" x14ac:dyDescent="0.25">
      <c r="AL220">
        <v>220</v>
      </c>
      <c r="AM220">
        <v>0.19500000000000001</v>
      </c>
      <c r="AN220">
        <v>1.4999999999999999E-2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</row>
    <row r="221" spans="38:49" x14ac:dyDescent="0.25">
      <c r="AL221">
        <v>221</v>
      </c>
      <c r="AM221">
        <v>0.2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</row>
    <row r="222" spans="38:49" x14ac:dyDescent="0.25">
      <c r="AL222">
        <v>222</v>
      </c>
      <c r="AM222">
        <v>0.2</v>
      </c>
      <c r="AN222">
        <v>2.5000000000000001E-3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</row>
    <row r="223" spans="38:49" x14ac:dyDescent="0.25">
      <c r="AL223">
        <v>223</v>
      </c>
      <c r="AM223">
        <v>0.2</v>
      </c>
      <c r="AN223">
        <v>5.0000000000000001E-3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</row>
    <row r="224" spans="38:49" x14ac:dyDescent="0.25">
      <c r="AL224">
        <v>224</v>
      </c>
      <c r="AM224">
        <v>0.2</v>
      </c>
      <c r="AN224">
        <v>7.4999999999999997E-3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</row>
    <row r="225" spans="38:49" x14ac:dyDescent="0.25">
      <c r="AL225">
        <v>225</v>
      </c>
      <c r="AM225">
        <v>0.2</v>
      </c>
      <c r="AN225">
        <v>0.01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</row>
    <row r="226" spans="38:49" x14ac:dyDescent="0.25">
      <c r="AL226">
        <v>226</v>
      </c>
      <c r="AM226">
        <v>0.2</v>
      </c>
      <c r="AN226">
        <v>1.2500000000000001E-2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</row>
    <row r="227" spans="38:49" x14ac:dyDescent="0.25">
      <c r="AL227">
        <v>227</v>
      </c>
      <c r="AM227">
        <v>0.2</v>
      </c>
      <c r="AN227">
        <v>1.4999999999999999E-2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</row>
    <row r="228" spans="38:49" x14ac:dyDescent="0.25">
      <c r="AL228">
        <v>228</v>
      </c>
      <c r="AM228">
        <v>0.20499999999999999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</row>
    <row r="229" spans="38:49" x14ac:dyDescent="0.25">
      <c r="AL229">
        <v>229</v>
      </c>
      <c r="AM229">
        <v>0.20499999999999999</v>
      </c>
      <c r="AN229">
        <v>5.0000000000000001E-3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</row>
    <row r="230" spans="38:49" x14ac:dyDescent="0.25">
      <c r="AL230">
        <v>230</v>
      </c>
      <c r="AM230">
        <v>0.20499999999999999</v>
      </c>
      <c r="AN230">
        <v>0.01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</row>
    <row r="231" spans="38:49" x14ac:dyDescent="0.25">
      <c r="AL231">
        <v>231</v>
      </c>
      <c r="AM231">
        <v>0.20499999999999999</v>
      </c>
      <c r="AN231">
        <v>1.4999999999999999E-2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</row>
    <row r="232" spans="38:49" x14ac:dyDescent="0.25">
      <c r="AL232">
        <v>232</v>
      </c>
      <c r="AM232">
        <v>0.21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</row>
    <row r="233" spans="38:49" x14ac:dyDescent="0.25">
      <c r="AL233">
        <v>233</v>
      </c>
      <c r="AM233">
        <v>0.21</v>
      </c>
      <c r="AN233">
        <v>2.5000000000000001E-3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</row>
    <row r="234" spans="38:49" x14ac:dyDescent="0.25">
      <c r="AL234">
        <v>234</v>
      </c>
      <c r="AM234">
        <v>0.21</v>
      </c>
      <c r="AN234">
        <v>5.0000000000000001E-3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</row>
    <row r="235" spans="38:49" x14ac:dyDescent="0.25">
      <c r="AL235">
        <v>235</v>
      </c>
      <c r="AM235">
        <v>0.21</v>
      </c>
      <c r="AN235">
        <v>7.4999999999999997E-3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</row>
    <row r="236" spans="38:49" x14ac:dyDescent="0.25">
      <c r="AL236">
        <v>236</v>
      </c>
      <c r="AM236">
        <v>0.21</v>
      </c>
      <c r="AN236">
        <v>0.01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</row>
    <row r="237" spans="38:49" x14ac:dyDescent="0.25">
      <c r="AL237">
        <v>237</v>
      </c>
      <c r="AM237">
        <v>0.21</v>
      </c>
      <c r="AN237">
        <v>1.2500000000000001E-2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</row>
    <row r="238" spans="38:49" x14ac:dyDescent="0.25">
      <c r="AL238">
        <v>238</v>
      </c>
      <c r="AM238">
        <v>0.21</v>
      </c>
      <c r="AN238">
        <v>1.4999999999999999E-2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</row>
    <row r="239" spans="38:49" x14ac:dyDescent="0.25">
      <c r="AL239">
        <v>239</v>
      </c>
      <c r="AM239">
        <v>0.215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</row>
    <row r="240" spans="38:49" x14ac:dyDescent="0.25">
      <c r="AL240">
        <v>240</v>
      </c>
      <c r="AM240">
        <v>0.215</v>
      </c>
      <c r="AN240">
        <v>5.0000000000000001E-3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</row>
    <row r="241" spans="38:49" x14ac:dyDescent="0.25">
      <c r="AL241">
        <v>241</v>
      </c>
      <c r="AM241">
        <v>0.215</v>
      </c>
      <c r="AN241">
        <v>0.01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</row>
    <row r="242" spans="38:49" x14ac:dyDescent="0.25">
      <c r="AL242">
        <v>242</v>
      </c>
      <c r="AM242">
        <v>0.215</v>
      </c>
      <c r="AN242">
        <v>1.4999999999999999E-2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</row>
    <row r="243" spans="38:49" x14ac:dyDescent="0.25">
      <c r="AL243">
        <v>243</v>
      </c>
      <c r="AM243">
        <v>0.22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</row>
    <row r="244" spans="38:49" x14ac:dyDescent="0.25">
      <c r="AL244">
        <v>244</v>
      </c>
      <c r="AM244">
        <v>0.22</v>
      </c>
      <c r="AN244">
        <v>2.5000000000000001E-3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</row>
    <row r="245" spans="38:49" x14ac:dyDescent="0.25">
      <c r="AL245">
        <v>245</v>
      </c>
      <c r="AM245">
        <v>0.22</v>
      </c>
      <c r="AN245">
        <v>5.0000000000000001E-3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</row>
    <row r="246" spans="38:49" x14ac:dyDescent="0.25">
      <c r="AL246">
        <v>246</v>
      </c>
      <c r="AM246">
        <v>0.22</v>
      </c>
      <c r="AN246">
        <v>7.4999999999999997E-3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</row>
    <row r="247" spans="38:49" x14ac:dyDescent="0.25">
      <c r="AL247">
        <v>247</v>
      </c>
      <c r="AM247">
        <v>0.22</v>
      </c>
      <c r="AN247">
        <v>0.01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</row>
    <row r="248" spans="38:49" x14ac:dyDescent="0.25">
      <c r="AL248">
        <v>248</v>
      </c>
      <c r="AM248">
        <v>0.22</v>
      </c>
      <c r="AN248">
        <v>1.2500000000000001E-2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</row>
    <row r="249" spans="38:49" x14ac:dyDescent="0.25">
      <c r="AL249">
        <v>249</v>
      </c>
      <c r="AM249">
        <v>0.22</v>
      </c>
      <c r="AN249">
        <v>1.4999999999999999E-2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</row>
    <row r="250" spans="38:49" x14ac:dyDescent="0.25">
      <c r="AL250">
        <v>250</v>
      </c>
      <c r="AM250">
        <v>0.22500000000000001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</row>
    <row r="251" spans="38:49" x14ac:dyDescent="0.25">
      <c r="AL251">
        <v>251</v>
      </c>
      <c r="AM251">
        <v>0.22500000000000001</v>
      </c>
      <c r="AN251">
        <v>5.0000000000000001E-3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</row>
    <row r="252" spans="38:49" x14ac:dyDescent="0.25">
      <c r="AL252">
        <v>252</v>
      </c>
      <c r="AM252">
        <v>0.22500000000000001</v>
      </c>
      <c r="AN252">
        <v>0.01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</row>
    <row r="253" spans="38:49" x14ac:dyDescent="0.25">
      <c r="AL253">
        <v>253</v>
      </c>
      <c r="AM253">
        <v>0.22500000000000001</v>
      </c>
      <c r="AN253">
        <v>1.4999999999999999E-2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</row>
    <row r="254" spans="38:49" x14ac:dyDescent="0.25">
      <c r="AL254">
        <v>254</v>
      </c>
      <c r="AM254">
        <v>0.23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</row>
    <row r="255" spans="38:49" x14ac:dyDescent="0.25">
      <c r="AL255">
        <v>255</v>
      </c>
      <c r="AM255">
        <v>0.23</v>
      </c>
      <c r="AN255">
        <v>2.5000000000000001E-3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</row>
    <row r="256" spans="38:49" x14ac:dyDescent="0.25">
      <c r="AL256">
        <v>256</v>
      </c>
      <c r="AM256">
        <v>0.23</v>
      </c>
      <c r="AN256">
        <v>5.0000000000000001E-3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</row>
    <row r="257" spans="38:49" x14ac:dyDescent="0.25">
      <c r="AL257">
        <v>257</v>
      </c>
      <c r="AM257">
        <v>0.23</v>
      </c>
      <c r="AN257">
        <v>7.4999999999999997E-3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</row>
    <row r="258" spans="38:49" x14ac:dyDescent="0.25">
      <c r="AL258">
        <v>258</v>
      </c>
      <c r="AM258">
        <v>0.23</v>
      </c>
      <c r="AN258">
        <v>0.01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</row>
    <row r="259" spans="38:49" x14ac:dyDescent="0.25">
      <c r="AL259">
        <v>259</v>
      </c>
      <c r="AM259">
        <v>0.23</v>
      </c>
      <c r="AN259">
        <v>1.2500000000000001E-2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</row>
    <row r="260" spans="38:49" x14ac:dyDescent="0.25">
      <c r="AL260">
        <v>260</v>
      </c>
      <c r="AM260">
        <v>0.23</v>
      </c>
      <c r="AN260">
        <v>1.4999999999999999E-2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</row>
    <row r="261" spans="38:49" x14ac:dyDescent="0.25">
      <c r="AL261">
        <v>261</v>
      </c>
      <c r="AM261">
        <v>0.23499999999999999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</row>
    <row r="262" spans="38:49" x14ac:dyDescent="0.25">
      <c r="AL262">
        <v>262</v>
      </c>
      <c r="AM262">
        <v>0.23499999999999999</v>
      </c>
      <c r="AN262">
        <v>5.0000000000000001E-3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</row>
    <row r="263" spans="38:49" x14ac:dyDescent="0.25">
      <c r="AL263">
        <v>263</v>
      </c>
      <c r="AM263">
        <v>0.23499999999999999</v>
      </c>
      <c r="AN263">
        <v>0.01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</row>
    <row r="264" spans="38:49" x14ac:dyDescent="0.25">
      <c r="AL264">
        <v>264</v>
      </c>
      <c r="AM264">
        <v>0.23499999999999999</v>
      </c>
      <c r="AN264">
        <v>1.4999999999999999E-2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</row>
    <row r="265" spans="38:49" x14ac:dyDescent="0.25">
      <c r="AL265">
        <v>265</v>
      </c>
      <c r="AM265">
        <v>0.24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</row>
    <row r="266" spans="38:49" x14ac:dyDescent="0.25">
      <c r="AL266">
        <v>266</v>
      </c>
      <c r="AM266">
        <v>0.24</v>
      </c>
      <c r="AN266">
        <v>2.5000000000000001E-3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</row>
    <row r="267" spans="38:49" x14ac:dyDescent="0.25">
      <c r="AL267">
        <v>267</v>
      </c>
      <c r="AM267">
        <v>0.24</v>
      </c>
      <c r="AN267">
        <v>5.0000000000000001E-3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</row>
    <row r="268" spans="38:49" x14ac:dyDescent="0.25">
      <c r="AL268">
        <v>268</v>
      </c>
      <c r="AM268">
        <v>0.24</v>
      </c>
      <c r="AN268">
        <v>7.4999999999999997E-3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</row>
    <row r="269" spans="38:49" x14ac:dyDescent="0.25">
      <c r="AL269">
        <v>269</v>
      </c>
      <c r="AM269">
        <v>0.24</v>
      </c>
      <c r="AN269">
        <v>0.01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</row>
    <row r="270" spans="38:49" x14ac:dyDescent="0.25">
      <c r="AL270">
        <v>270</v>
      </c>
      <c r="AM270">
        <v>0.24</v>
      </c>
      <c r="AN270">
        <v>1.2500000000000001E-2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</row>
    <row r="271" spans="38:49" x14ac:dyDescent="0.25">
      <c r="AL271">
        <v>271</v>
      </c>
      <c r="AM271">
        <v>0.24</v>
      </c>
      <c r="AN271">
        <v>1.4999999999999999E-2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</row>
    <row r="272" spans="38:49" x14ac:dyDescent="0.25">
      <c r="AL272">
        <v>272</v>
      </c>
      <c r="AM272">
        <v>0.245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</row>
    <row r="273" spans="38:49" x14ac:dyDescent="0.25">
      <c r="AL273">
        <v>273</v>
      </c>
      <c r="AM273">
        <v>0.245</v>
      </c>
      <c r="AN273">
        <v>5.0000000000000001E-3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</row>
    <row r="274" spans="38:49" x14ac:dyDescent="0.25">
      <c r="AL274">
        <v>274</v>
      </c>
      <c r="AM274">
        <v>0.245</v>
      </c>
      <c r="AN274">
        <v>0.01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</row>
    <row r="275" spans="38:49" x14ac:dyDescent="0.25">
      <c r="AL275">
        <v>275</v>
      </c>
      <c r="AM275">
        <v>0.245</v>
      </c>
      <c r="AN275">
        <v>1.4999999999999999E-2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</row>
    <row r="276" spans="38:49" x14ac:dyDescent="0.25">
      <c r="AL276">
        <v>276</v>
      </c>
      <c r="AM276">
        <v>0.25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</row>
    <row r="277" spans="38:49" x14ac:dyDescent="0.25">
      <c r="AL277">
        <v>277</v>
      </c>
      <c r="AM277">
        <v>0.25</v>
      </c>
      <c r="AN277">
        <v>2.5000000000000001E-3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</row>
    <row r="278" spans="38:49" x14ac:dyDescent="0.25">
      <c r="AL278">
        <v>278</v>
      </c>
      <c r="AM278">
        <v>0.25</v>
      </c>
      <c r="AN278">
        <v>5.0000000000000001E-3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</row>
    <row r="279" spans="38:49" x14ac:dyDescent="0.25">
      <c r="AL279">
        <v>279</v>
      </c>
      <c r="AM279">
        <v>0.25</v>
      </c>
      <c r="AN279">
        <v>7.4999999999999997E-3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</row>
    <row r="280" spans="38:49" x14ac:dyDescent="0.25">
      <c r="AL280">
        <v>280</v>
      </c>
      <c r="AM280">
        <v>0.25</v>
      </c>
      <c r="AN280">
        <v>0.01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</row>
    <row r="281" spans="38:49" x14ac:dyDescent="0.25">
      <c r="AL281">
        <v>281</v>
      </c>
      <c r="AM281">
        <v>0.25</v>
      </c>
      <c r="AN281">
        <v>1.2500000000000001E-2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</row>
    <row r="282" spans="38:49" x14ac:dyDescent="0.25">
      <c r="AL282">
        <v>282</v>
      </c>
      <c r="AM282">
        <v>0.25</v>
      </c>
      <c r="AN282">
        <v>1.4999999999999999E-2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</row>
    <row r="283" spans="38:49" x14ac:dyDescent="0.25">
      <c r="AL283">
        <v>283</v>
      </c>
      <c r="AM283">
        <v>0.255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</row>
    <row r="284" spans="38:49" x14ac:dyDescent="0.25">
      <c r="AL284">
        <v>284</v>
      </c>
      <c r="AM284">
        <v>0.255</v>
      </c>
      <c r="AN284">
        <v>5.0000000000000001E-3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</row>
    <row r="285" spans="38:49" x14ac:dyDescent="0.25">
      <c r="AL285">
        <v>285</v>
      </c>
      <c r="AM285">
        <v>0.255</v>
      </c>
      <c r="AN285">
        <v>0.01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</row>
    <row r="286" spans="38:49" x14ac:dyDescent="0.25">
      <c r="AL286">
        <v>286</v>
      </c>
      <c r="AM286">
        <v>0.255</v>
      </c>
      <c r="AN286">
        <v>1.4999999999999999E-2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</row>
    <row r="287" spans="38:49" x14ac:dyDescent="0.25">
      <c r="AL287">
        <v>287</v>
      </c>
      <c r="AM287">
        <v>0.26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</row>
    <row r="288" spans="38:49" x14ac:dyDescent="0.25">
      <c r="AL288">
        <v>288</v>
      </c>
      <c r="AM288">
        <v>0.26</v>
      </c>
      <c r="AN288">
        <v>2.5000000000000001E-3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</row>
    <row r="289" spans="38:49" x14ac:dyDescent="0.25">
      <c r="AL289">
        <v>289</v>
      </c>
      <c r="AM289">
        <v>0.26</v>
      </c>
      <c r="AN289">
        <v>5.0000000000000001E-3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</row>
    <row r="290" spans="38:49" x14ac:dyDescent="0.25">
      <c r="AL290">
        <v>290</v>
      </c>
      <c r="AM290">
        <v>0.26</v>
      </c>
      <c r="AN290">
        <v>7.4999999999999997E-3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</row>
    <row r="291" spans="38:49" x14ac:dyDescent="0.25">
      <c r="AL291">
        <v>291</v>
      </c>
      <c r="AM291">
        <v>0.26</v>
      </c>
      <c r="AN291">
        <v>0.01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</row>
    <row r="292" spans="38:49" x14ac:dyDescent="0.25">
      <c r="AL292">
        <v>292</v>
      </c>
      <c r="AM292">
        <v>0.26</v>
      </c>
      <c r="AN292">
        <v>1.2500000000000001E-2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</row>
    <row r="293" spans="38:49" x14ac:dyDescent="0.25">
      <c r="AL293">
        <v>293</v>
      </c>
      <c r="AM293">
        <v>0.26</v>
      </c>
      <c r="AN293">
        <v>1.4999999999999999E-2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</row>
    <row r="294" spans="38:49" x14ac:dyDescent="0.25">
      <c r="AL294">
        <v>294</v>
      </c>
      <c r="AM294">
        <v>0.26500000000000001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</row>
    <row r="295" spans="38:49" x14ac:dyDescent="0.25">
      <c r="AL295">
        <v>295</v>
      </c>
      <c r="AM295">
        <v>0.26500000000000001</v>
      </c>
      <c r="AN295">
        <v>5.0000000000000001E-3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</row>
    <row r="296" spans="38:49" x14ac:dyDescent="0.25">
      <c r="AL296">
        <v>296</v>
      </c>
      <c r="AM296">
        <v>0.26500000000000001</v>
      </c>
      <c r="AN296">
        <v>0.01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</row>
    <row r="297" spans="38:49" x14ac:dyDescent="0.25">
      <c r="AL297">
        <v>297</v>
      </c>
      <c r="AM297">
        <v>0.26500000000000001</v>
      </c>
      <c r="AN297">
        <v>1.4999999999999999E-2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</row>
    <row r="298" spans="38:49" x14ac:dyDescent="0.25">
      <c r="AL298">
        <v>298</v>
      </c>
      <c r="AM298">
        <v>0.27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</row>
    <row r="299" spans="38:49" x14ac:dyDescent="0.25">
      <c r="AL299">
        <v>299</v>
      </c>
      <c r="AM299">
        <v>0.27</v>
      </c>
      <c r="AN299">
        <v>2.5000000000000001E-3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</row>
    <row r="300" spans="38:49" x14ac:dyDescent="0.25">
      <c r="AL300">
        <v>300</v>
      </c>
      <c r="AM300">
        <v>0.27</v>
      </c>
      <c r="AN300">
        <v>5.0000000000000001E-3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</row>
    <row r="301" spans="38:49" x14ac:dyDescent="0.25">
      <c r="AL301">
        <v>301</v>
      </c>
      <c r="AM301">
        <v>0.27</v>
      </c>
      <c r="AN301">
        <v>7.4999999999999997E-3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</row>
    <row r="302" spans="38:49" x14ac:dyDescent="0.25">
      <c r="AL302">
        <v>302</v>
      </c>
      <c r="AM302">
        <v>0.27</v>
      </c>
      <c r="AN302">
        <v>0.01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</row>
    <row r="303" spans="38:49" x14ac:dyDescent="0.25">
      <c r="AL303">
        <v>303</v>
      </c>
      <c r="AM303">
        <v>0.27</v>
      </c>
      <c r="AN303">
        <v>1.2500000000000001E-2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</row>
    <row r="304" spans="38:49" x14ac:dyDescent="0.25">
      <c r="AL304">
        <v>304</v>
      </c>
      <c r="AM304">
        <v>0.27</v>
      </c>
      <c r="AN304">
        <v>1.4999999999999999E-2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</row>
    <row r="305" spans="38:49" x14ac:dyDescent="0.25">
      <c r="AL305">
        <v>305</v>
      </c>
      <c r="AM305">
        <v>0.27500000000000002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</row>
    <row r="306" spans="38:49" x14ac:dyDescent="0.25">
      <c r="AL306">
        <v>306</v>
      </c>
      <c r="AM306">
        <v>0.27500000000000002</v>
      </c>
      <c r="AN306">
        <v>5.0000000000000001E-3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</row>
    <row r="307" spans="38:49" x14ac:dyDescent="0.25">
      <c r="AL307">
        <v>307</v>
      </c>
      <c r="AM307">
        <v>0.27500000000000002</v>
      </c>
      <c r="AN307">
        <v>0.01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</row>
    <row r="308" spans="38:49" x14ac:dyDescent="0.25">
      <c r="AL308">
        <v>308</v>
      </c>
      <c r="AM308">
        <v>0.27500000000000002</v>
      </c>
      <c r="AN308">
        <v>1.4999999999999999E-2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</row>
    <row r="309" spans="38:49" x14ac:dyDescent="0.25">
      <c r="AL309">
        <v>309</v>
      </c>
      <c r="AM309">
        <v>0.28000000000000003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</row>
    <row r="310" spans="38:49" x14ac:dyDescent="0.25">
      <c r="AL310">
        <v>310</v>
      </c>
      <c r="AM310">
        <v>0.28000000000000003</v>
      </c>
      <c r="AN310">
        <v>2.5000000000000001E-3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</row>
    <row r="311" spans="38:49" x14ac:dyDescent="0.25">
      <c r="AL311">
        <v>311</v>
      </c>
      <c r="AM311">
        <v>0.28000000000000003</v>
      </c>
      <c r="AN311">
        <v>5.0000000000000001E-3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</row>
    <row r="312" spans="38:49" x14ac:dyDescent="0.25">
      <c r="AL312">
        <v>312</v>
      </c>
      <c r="AM312">
        <v>0.28000000000000003</v>
      </c>
      <c r="AN312">
        <v>7.4999999999999997E-3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</row>
    <row r="313" spans="38:49" x14ac:dyDescent="0.25">
      <c r="AL313">
        <v>313</v>
      </c>
      <c r="AM313">
        <v>0.28000000000000003</v>
      </c>
      <c r="AN313">
        <v>0.01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</row>
    <row r="314" spans="38:49" x14ac:dyDescent="0.25">
      <c r="AL314">
        <v>314</v>
      </c>
      <c r="AM314">
        <v>0.28000000000000003</v>
      </c>
      <c r="AN314">
        <v>1.2500000000000001E-2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</row>
    <row r="315" spans="38:49" x14ac:dyDescent="0.25">
      <c r="AL315">
        <v>315</v>
      </c>
      <c r="AM315">
        <v>0.28000000000000003</v>
      </c>
      <c r="AN315">
        <v>1.4999999999999999E-2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</row>
    <row r="316" spans="38:49" x14ac:dyDescent="0.25">
      <c r="AL316">
        <v>316</v>
      </c>
      <c r="AM316">
        <v>0.28499999999999998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</row>
    <row r="317" spans="38:49" x14ac:dyDescent="0.25">
      <c r="AL317">
        <v>317</v>
      </c>
      <c r="AM317">
        <v>0.28499999999999998</v>
      </c>
      <c r="AN317">
        <v>5.0000000000000001E-3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</row>
    <row r="318" spans="38:49" x14ac:dyDescent="0.25">
      <c r="AL318">
        <v>318</v>
      </c>
      <c r="AM318">
        <v>0.28499999999999998</v>
      </c>
      <c r="AN318">
        <v>0.01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</row>
    <row r="319" spans="38:49" x14ac:dyDescent="0.25">
      <c r="AL319">
        <v>319</v>
      </c>
      <c r="AM319">
        <v>0.28499999999999998</v>
      </c>
      <c r="AN319">
        <v>1.4999999999999999E-2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</row>
    <row r="320" spans="38:49" x14ac:dyDescent="0.25">
      <c r="AL320">
        <v>320</v>
      </c>
      <c r="AM320">
        <v>0.28999999999999998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</row>
    <row r="321" spans="38:49" x14ac:dyDescent="0.25">
      <c r="AL321">
        <v>321</v>
      </c>
      <c r="AM321">
        <v>0.28999999999999998</v>
      </c>
      <c r="AN321">
        <v>2.5000000000000001E-3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</row>
    <row r="322" spans="38:49" x14ac:dyDescent="0.25">
      <c r="AL322">
        <v>322</v>
      </c>
      <c r="AM322">
        <v>0.28999999999999998</v>
      </c>
      <c r="AN322">
        <v>5.0000000000000001E-3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</row>
    <row r="323" spans="38:49" x14ac:dyDescent="0.25">
      <c r="AL323">
        <v>323</v>
      </c>
      <c r="AM323">
        <v>0.28999999999999998</v>
      </c>
      <c r="AN323">
        <v>7.4999999999999997E-3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</row>
    <row r="324" spans="38:49" x14ac:dyDescent="0.25">
      <c r="AL324">
        <v>324</v>
      </c>
      <c r="AM324">
        <v>0.28999999999999998</v>
      </c>
      <c r="AN324">
        <v>0.01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</row>
    <row r="325" spans="38:49" x14ac:dyDescent="0.25">
      <c r="AL325">
        <v>325</v>
      </c>
      <c r="AM325">
        <v>0.28999999999999998</v>
      </c>
      <c r="AN325">
        <v>1.2500000000000001E-2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</row>
    <row r="326" spans="38:49" x14ac:dyDescent="0.25">
      <c r="AL326">
        <v>326</v>
      </c>
      <c r="AM326">
        <v>0.28999999999999998</v>
      </c>
      <c r="AN326">
        <v>1.4999999999999999E-2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</row>
    <row r="327" spans="38:49" x14ac:dyDescent="0.25">
      <c r="AL327">
        <v>327</v>
      </c>
      <c r="AM327">
        <v>0.29499999999999998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</row>
    <row r="328" spans="38:49" x14ac:dyDescent="0.25">
      <c r="AL328">
        <v>328</v>
      </c>
      <c r="AM328">
        <v>0.29499999999999998</v>
      </c>
      <c r="AN328">
        <v>5.0000000000000001E-3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</row>
    <row r="329" spans="38:49" x14ac:dyDescent="0.25">
      <c r="AL329">
        <v>329</v>
      </c>
      <c r="AM329">
        <v>0.29499999999999998</v>
      </c>
      <c r="AN329">
        <v>0.01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</row>
    <row r="330" spans="38:49" x14ac:dyDescent="0.25">
      <c r="AL330">
        <v>330</v>
      </c>
      <c r="AM330">
        <v>0.29499999999999998</v>
      </c>
      <c r="AN330">
        <v>1.4999999999999999E-2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</row>
    <row r="331" spans="38:49" x14ac:dyDescent="0.25">
      <c r="AL331">
        <v>331</v>
      </c>
      <c r="AM331">
        <v>0.3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</row>
    <row r="332" spans="38:49" x14ac:dyDescent="0.25">
      <c r="AL332">
        <v>332</v>
      </c>
      <c r="AM332">
        <v>0.3</v>
      </c>
      <c r="AN332">
        <v>2.5000000000000001E-3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</row>
    <row r="333" spans="38:49" x14ac:dyDescent="0.25">
      <c r="AL333">
        <v>333</v>
      </c>
      <c r="AM333">
        <v>0.3</v>
      </c>
      <c r="AN333">
        <v>5.0000000000000001E-3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</row>
    <row r="334" spans="38:49" x14ac:dyDescent="0.25">
      <c r="AL334">
        <v>334</v>
      </c>
      <c r="AM334">
        <v>0.3</v>
      </c>
      <c r="AN334">
        <v>7.4999999999999997E-3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</row>
    <row r="335" spans="38:49" x14ac:dyDescent="0.25">
      <c r="AL335">
        <v>335</v>
      </c>
      <c r="AM335">
        <v>0.3</v>
      </c>
      <c r="AN335">
        <v>0.01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</row>
    <row r="336" spans="38:49" x14ac:dyDescent="0.25">
      <c r="AL336">
        <v>336</v>
      </c>
      <c r="AM336">
        <v>0.3</v>
      </c>
      <c r="AN336">
        <v>1.2500000000000001E-2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</row>
    <row r="337" spans="38:49" x14ac:dyDescent="0.25">
      <c r="AL337">
        <v>337</v>
      </c>
      <c r="AM337">
        <v>0.3</v>
      </c>
      <c r="AN337">
        <v>1.4999999999999999E-2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0" sqref="H20"/>
    </sheetView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FG-MEEP-O</vt:lpstr>
      <vt:lpstr>Sheet3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2023-07-04T05:49:14Z</dcterms:modified>
</cp:coreProperties>
</file>