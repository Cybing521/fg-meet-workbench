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3"/>
  </bookViews>
  <sheets>
    <sheet name="Sheet1" sheetId="1" r:id="rId1"/>
    <sheet name="Sheet2" sheetId="2" r:id="rId2"/>
    <sheet name="Sheet3" sheetId="7" r:id="rId3"/>
    <sheet name="Sheet4" sheetId="8" r:id="rId4"/>
    <sheet name="Sheet7" sheetId="11" r:id="rId5"/>
  </sheets>
  <calcPr calcId="144525"/>
</workbook>
</file>

<file path=xl/calcChain.xml><?xml version="1.0" encoding="utf-8"?>
<calcChain xmlns="http://schemas.openxmlformats.org/spreadsheetml/2006/main">
  <c r="G49" i="8" l="1"/>
  <c r="G48" i="8"/>
  <c r="G38" i="8"/>
  <c r="G37" i="8"/>
  <c r="AD59" i="1" l="1"/>
  <c r="AD60" i="1"/>
  <c r="AD61" i="1"/>
  <c r="AD62" i="1"/>
  <c r="AD63" i="1"/>
  <c r="AD64" i="1"/>
  <c r="D32" i="8" l="1"/>
  <c r="H32" i="8" s="1"/>
  <c r="D33" i="8"/>
  <c r="H33" i="8" s="1"/>
  <c r="D43" i="8"/>
  <c r="H43" i="8" s="1"/>
  <c r="D44" i="8"/>
  <c r="H44" i="8" s="1"/>
  <c r="G51" i="1" l="1"/>
  <c r="G50" i="1"/>
  <c r="G49" i="1"/>
  <c r="AD50" i="1" l="1"/>
  <c r="AD51" i="1"/>
  <c r="AD52" i="1"/>
  <c r="AD53" i="1"/>
  <c r="AD54" i="1"/>
  <c r="AD55" i="1"/>
  <c r="G39" i="1" l="1"/>
  <c r="N38" i="1"/>
  <c r="M38" i="1"/>
  <c r="L38" i="1"/>
  <c r="G38" i="1"/>
  <c r="G37" i="1"/>
  <c r="V59" i="1"/>
  <c r="V60" i="1" s="1"/>
  <c r="AD58" i="1"/>
  <c r="AD49" i="1"/>
  <c r="V50" i="1"/>
  <c r="V51" i="1" s="1"/>
  <c r="G71" i="1"/>
  <c r="N70" i="1"/>
  <c r="M70" i="1"/>
  <c r="L70" i="1"/>
  <c r="G70" i="1"/>
  <c r="G69" i="1"/>
  <c r="V53" i="1" l="1"/>
  <c r="V54" i="1" s="1"/>
  <c r="V55" i="1" s="1"/>
  <c r="V52" i="1"/>
  <c r="V62" i="1"/>
  <c r="V63" i="1" s="1"/>
  <c r="V64" i="1" s="1"/>
  <c r="V61" i="1"/>
  <c r="K38" i="1"/>
  <c r="J38" i="1" s="1"/>
  <c r="K70" i="1"/>
  <c r="J70" i="1" s="1"/>
  <c r="Z41" i="1"/>
  <c r="Z42" i="1"/>
  <c r="Z43" i="1"/>
  <c r="Z44" i="1"/>
  <c r="Z45" i="1"/>
  <c r="Z40" i="1"/>
  <c r="V41" i="1"/>
  <c r="V42" i="1" s="1"/>
  <c r="V43" i="1" s="1"/>
  <c r="V44" i="1" s="1"/>
  <c r="V45" i="1" s="1"/>
  <c r="AA32" i="1"/>
  <c r="AA33" i="1"/>
  <c r="AA34" i="1"/>
  <c r="AA35" i="1"/>
  <c r="AA36" i="1"/>
  <c r="AA31" i="1"/>
  <c r="V32" i="1"/>
  <c r="V33" i="1" s="1"/>
  <c r="V34" i="1" s="1"/>
  <c r="V35" i="1" s="1"/>
  <c r="V36" i="1" s="1"/>
  <c r="Z22" i="1" l="1"/>
  <c r="Z23" i="1"/>
  <c r="Z24" i="1"/>
  <c r="Z25" i="1"/>
  <c r="Z26" i="1"/>
  <c r="Z21" i="1"/>
  <c r="V22" i="1"/>
  <c r="V23" i="1" s="1"/>
  <c r="V24" i="1" s="1"/>
  <c r="V25" i="1" s="1"/>
  <c r="V26" i="1" s="1"/>
  <c r="AA16" i="1"/>
  <c r="AA15" i="1"/>
  <c r="AA14" i="1"/>
  <c r="AA13" i="1"/>
  <c r="AA12" i="1"/>
  <c r="V12" i="1"/>
  <c r="V13" i="1" s="1"/>
  <c r="V14" i="1" s="1"/>
  <c r="V15" i="1" s="1"/>
  <c r="V16" i="1" s="1"/>
  <c r="AA11" i="1"/>
  <c r="AA3" i="1"/>
  <c r="AA4" i="1"/>
  <c r="AA5" i="1"/>
  <c r="AA6" i="1"/>
  <c r="AA7" i="1"/>
  <c r="G61" i="1"/>
  <c r="N60" i="1"/>
  <c r="M60" i="1"/>
  <c r="L60" i="1"/>
  <c r="G60" i="1"/>
  <c r="G59" i="1"/>
  <c r="N50" i="1"/>
  <c r="M50" i="1"/>
  <c r="L50" i="1"/>
  <c r="G29" i="1"/>
  <c r="N28" i="1"/>
  <c r="M28" i="1"/>
  <c r="L28" i="1"/>
  <c r="G28" i="1"/>
  <c r="G27" i="1"/>
  <c r="G21" i="1"/>
  <c r="K20" i="1" s="1"/>
  <c r="J20" i="1" s="1"/>
  <c r="N20" i="1"/>
  <c r="M20" i="1"/>
  <c r="L20" i="1"/>
  <c r="G20" i="1"/>
  <c r="G19" i="1"/>
  <c r="AA2" i="1"/>
  <c r="V3" i="1"/>
  <c r="V4" i="1" s="1"/>
  <c r="V5" i="1" s="1"/>
  <c r="V6" i="1" s="1"/>
  <c r="V7" i="1" s="1"/>
  <c r="K60" i="1" l="1"/>
  <c r="J60" i="1" s="1"/>
  <c r="K50" i="1"/>
  <c r="J50" i="1" s="1"/>
  <c r="K28" i="1"/>
  <c r="J28" i="1" s="1"/>
  <c r="N11" i="1" l="1"/>
  <c r="M11" i="1"/>
  <c r="L11" i="1"/>
  <c r="N2" i="1"/>
  <c r="M2" i="1"/>
  <c r="L2" i="1"/>
  <c r="B5" i="7"/>
  <c r="B6" i="7" s="1"/>
  <c r="B7" i="7" s="1"/>
  <c r="B8" i="7" s="1"/>
  <c r="G12" i="1" l="1"/>
  <c r="G11" i="1"/>
  <c r="G10" i="1"/>
  <c r="G3" i="1"/>
  <c r="G2" i="1"/>
  <c r="G1" i="1"/>
  <c r="K11" i="1" l="1"/>
  <c r="J11" i="1" s="1"/>
  <c r="K2" i="1"/>
  <c r="J2" i="1" s="1"/>
</calcChain>
</file>

<file path=xl/sharedStrings.xml><?xml version="1.0" encoding="utf-8"?>
<sst xmlns="http://schemas.openxmlformats.org/spreadsheetml/2006/main" count="429" uniqueCount="128">
  <si>
    <t>C11</t>
    <phoneticPr fontId="1" type="noConversion"/>
  </si>
  <si>
    <t>C33</t>
    <phoneticPr fontId="1" type="noConversion"/>
  </si>
  <si>
    <t>C12</t>
    <phoneticPr fontId="1" type="noConversion"/>
  </si>
  <si>
    <t>C13</t>
    <phoneticPr fontId="1" type="noConversion"/>
  </si>
  <si>
    <t>C22</t>
    <phoneticPr fontId="1" type="noConversion"/>
  </si>
  <si>
    <r>
      <t>C44=</t>
    </r>
    <r>
      <rPr>
        <u/>
        <sz val="11"/>
        <color theme="1"/>
        <rFont val="宋体"/>
        <family val="3"/>
        <charset val="134"/>
        <scheme val="minor"/>
      </rPr>
      <t>C44</t>
    </r>
    <phoneticPr fontId="1" type="noConversion"/>
  </si>
  <si>
    <r>
      <t>C55=</t>
    </r>
    <r>
      <rPr>
        <u/>
        <sz val="11"/>
        <color theme="1"/>
        <rFont val="宋体"/>
        <family val="3"/>
        <charset val="134"/>
        <scheme val="minor"/>
      </rPr>
      <t>C55</t>
    </r>
    <phoneticPr fontId="1" type="noConversion"/>
  </si>
  <si>
    <r>
      <t>C66=</t>
    </r>
    <r>
      <rPr>
        <u/>
        <sz val="11"/>
        <color theme="1"/>
        <rFont val="宋体"/>
        <family val="3"/>
        <charset val="134"/>
        <scheme val="minor"/>
      </rPr>
      <t>C66</t>
    </r>
    <phoneticPr fontId="1" type="noConversion"/>
  </si>
  <si>
    <t>V12</t>
    <phoneticPr fontId="1" type="noConversion"/>
  </si>
  <si>
    <t>G12</t>
    <phoneticPr fontId="1" type="noConversion"/>
  </si>
  <si>
    <t>G13</t>
    <phoneticPr fontId="1" type="noConversion"/>
  </si>
  <si>
    <t>G23</t>
    <phoneticPr fontId="1" type="noConversion"/>
  </si>
  <si>
    <t>转换</t>
    <phoneticPr fontId="1" type="noConversion"/>
  </si>
  <si>
    <t>陈倩</t>
    <phoneticPr fontId="1" type="noConversion"/>
  </si>
  <si>
    <t>Y1=Y2</t>
    <phoneticPr fontId="1" type="noConversion"/>
  </si>
  <si>
    <t>赵</t>
    <phoneticPr fontId="1" type="noConversion"/>
  </si>
  <si>
    <t>BFB</t>
    <phoneticPr fontId="1" type="noConversion"/>
  </si>
  <si>
    <t>Y1=Y2</t>
    <phoneticPr fontId="1" type="noConversion"/>
  </si>
  <si>
    <t>index</t>
  </si>
  <si>
    <t>E1</t>
  </si>
  <si>
    <t>E2</t>
  </si>
  <si>
    <t>v12</t>
  </si>
  <si>
    <t>v23</t>
  </si>
  <si>
    <t>G12</t>
  </si>
  <si>
    <t>G13</t>
  </si>
  <si>
    <t>G23</t>
  </si>
  <si>
    <t>d31</t>
  </si>
  <si>
    <t>d32</t>
  </si>
  <si>
    <t>Angel</t>
  </si>
  <si>
    <t>HE</t>
  </si>
  <si>
    <t>q31</t>
  </si>
  <si>
    <t>q32</t>
  </si>
  <si>
    <t>g33</t>
  </si>
  <si>
    <t>k33</t>
  </si>
  <si>
    <t>r33</t>
  </si>
  <si>
    <t>Density</t>
  </si>
  <si>
    <t>zC1</t>
  </si>
  <si>
    <t>Zc2</t>
  </si>
  <si>
    <t>IsSmtLay(2)</t>
  </si>
  <si>
    <t>F</t>
    <phoneticPr fontId="1" type="noConversion"/>
  </si>
  <si>
    <t>Vf</t>
    <phoneticPr fontId="1" type="noConversion"/>
  </si>
  <si>
    <t>B</t>
    <phoneticPr fontId="1" type="noConversion"/>
  </si>
  <si>
    <t>e31</t>
    <phoneticPr fontId="1" type="noConversion"/>
  </si>
  <si>
    <t>c33</t>
    <phoneticPr fontId="1" type="noConversion"/>
  </si>
  <si>
    <t>c13</t>
    <phoneticPr fontId="1" type="noConversion"/>
  </si>
  <si>
    <t>e33</t>
    <phoneticPr fontId="1" type="noConversion"/>
  </si>
  <si>
    <t>B(1Vf)</t>
    <phoneticPr fontId="1" type="noConversion"/>
  </si>
  <si>
    <t>F(0Vf)</t>
    <phoneticPr fontId="1" type="noConversion"/>
  </si>
  <si>
    <t>B(0.2Vf)</t>
    <phoneticPr fontId="1" type="noConversion"/>
  </si>
  <si>
    <t>B(0.4Vf)</t>
    <phoneticPr fontId="1" type="noConversion"/>
  </si>
  <si>
    <t>B(0.6Vf)</t>
    <phoneticPr fontId="1" type="noConversion"/>
  </si>
  <si>
    <t>B(0.8Vf)</t>
    <phoneticPr fontId="1" type="noConversion"/>
  </si>
  <si>
    <t>q31</t>
    <phoneticPr fontId="1" type="noConversion"/>
  </si>
  <si>
    <t>q33</t>
    <phoneticPr fontId="1" type="noConversion"/>
  </si>
  <si>
    <t>g33</t>
    <phoneticPr fontId="1" type="noConversion"/>
  </si>
  <si>
    <t>k33</t>
    <phoneticPr fontId="1" type="noConversion"/>
  </si>
  <si>
    <t>r33</t>
    <phoneticPr fontId="1" type="noConversion"/>
  </si>
  <si>
    <t>index</t>
    <phoneticPr fontId="1" type="noConversion"/>
  </si>
  <si>
    <t>E1</t>
    <phoneticPr fontId="1" type="noConversion"/>
  </si>
  <si>
    <t>E2</t>
    <phoneticPr fontId="1" type="noConversion"/>
  </si>
  <si>
    <t>v12</t>
    <phoneticPr fontId="1" type="noConversion"/>
  </si>
  <si>
    <t>v23</t>
    <phoneticPr fontId="1" type="noConversion"/>
  </si>
  <si>
    <t>G12</t>
    <phoneticPr fontId="1" type="noConversion"/>
  </si>
  <si>
    <t>G13</t>
    <phoneticPr fontId="1" type="noConversion"/>
  </si>
  <si>
    <t>G23</t>
    <phoneticPr fontId="1" type="noConversion"/>
  </si>
  <si>
    <t>d31</t>
    <phoneticPr fontId="1" type="noConversion"/>
  </si>
  <si>
    <t>d32</t>
    <phoneticPr fontId="1" type="noConversion"/>
  </si>
  <si>
    <t>Angel</t>
    <phoneticPr fontId="1" type="noConversion"/>
  </si>
  <si>
    <t>HE</t>
    <phoneticPr fontId="1" type="noConversion"/>
  </si>
  <si>
    <t>q31</t>
    <phoneticPr fontId="1" type="noConversion"/>
  </si>
  <si>
    <t>q32</t>
    <phoneticPr fontId="1" type="noConversion"/>
  </si>
  <si>
    <t>g33</t>
    <phoneticPr fontId="1" type="noConversion"/>
  </si>
  <si>
    <t>k33</t>
    <phoneticPr fontId="1" type="noConversion"/>
  </si>
  <si>
    <t>r33</t>
    <phoneticPr fontId="1" type="noConversion"/>
  </si>
  <si>
    <t>Density</t>
    <phoneticPr fontId="1" type="noConversion"/>
  </si>
  <si>
    <t>zC1</t>
    <phoneticPr fontId="1" type="noConversion"/>
  </si>
  <si>
    <t>Zc2</t>
    <phoneticPr fontId="1" type="noConversion"/>
  </si>
  <si>
    <t>IsSmtLay(2)</t>
    <phoneticPr fontId="1" type="noConversion"/>
  </si>
  <si>
    <t>F</t>
    <phoneticPr fontId="1" type="noConversion"/>
  </si>
  <si>
    <t>B(1Vf)</t>
    <phoneticPr fontId="1" type="noConversion"/>
  </si>
  <si>
    <t>F(0Vf)</t>
    <phoneticPr fontId="1" type="noConversion"/>
  </si>
  <si>
    <t>FBF</t>
    <phoneticPr fontId="1" type="noConversion"/>
  </si>
  <si>
    <t>FG-BFB</t>
    <phoneticPr fontId="1" type="noConversion"/>
  </si>
  <si>
    <t>FG-FBF</t>
    <phoneticPr fontId="1" type="noConversion"/>
  </si>
  <si>
    <t>%%%%%%%%%%%%%%%%%%%%%%%%%%%%%%%%%%%%%%%%%%%%%%%%%%%%%%%%%%%%%%%%%%%%%%%%%%%%%%5</t>
    <phoneticPr fontId="1" type="noConversion"/>
  </si>
  <si>
    <t>Sladek(Text2)</t>
    <phoneticPr fontId="1" type="noConversion"/>
  </si>
  <si>
    <t>不转换</t>
    <phoneticPr fontId="1" type="noConversion"/>
  </si>
  <si>
    <t>转换后</t>
    <phoneticPr fontId="1" type="noConversion"/>
  </si>
  <si>
    <t>（需要手动填入）</t>
    <phoneticPr fontId="1" type="noConversion"/>
  </si>
  <si>
    <r>
      <t>C44=</t>
    </r>
    <r>
      <rPr>
        <u/>
        <sz val="11"/>
        <color rgb="FFFF0000"/>
        <rFont val="宋体"/>
        <family val="3"/>
        <charset val="134"/>
        <scheme val="minor"/>
      </rPr>
      <t>C44</t>
    </r>
    <phoneticPr fontId="1" type="noConversion"/>
  </si>
  <si>
    <r>
      <t>C55=</t>
    </r>
    <r>
      <rPr>
        <u/>
        <sz val="11"/>
        <color rgb="FFFF0000"/>
        <rFont val="宋体"/>
        <family val="3"/>
        <charset val="134"/>
        <scheme val="minor"/>
      </rPr>
      <t>C55</t>
    </r>
    <phoneticPr fontId="1" type="noConversion"/>
  </si>
  <si>
    <r>
      <t>C66=</t>
    </r>
    <r>
      <rPr>
        <u/>
        <sz val="11"/>
        <color rgb="FFFF0000"/>
        <rFont val="宋体"/>
        <family val="3"/>
        <charset val="134"/>
        <scheme val="minor"/>
      </rPr>
      <t>C66</t>
    </r>
    <phoneticPr fontId="1" type="noConversion"/>
  </si>
  <si>
    <t>P33</t>
    <phoneticPr fontId="1" type="noConversion"/>
  </si>
  <si>
    <t>P33</t>
    <phoneticPr fontId="1" type="noConversion"/>
  </si>
  <si>
    <t>e33</t>
    <phoneticPr fontId="1" type="noConversion"/>
  </si>
  <si>
    <t>α1</t>
    <phoneticPr fontId="1" type="noConversion"/>
  </si>
  <si>
    <t>α2</t>
    <phoneticPr fontId="1" type="noConversion"/>
  </si>
  <si>
    <t>α3</t>
    <phoneticPr fontId="1" type="noConversion"/>
  </si>
  <si>
    <t>c13</t>
  </si>
  <si>
    <t>τ33</t>
    <phoneticPr fontId="1" type="noConversion"/>
  </si>
  <si>
    <t>q33</t>
    <phoneticPr fontId="1" type="noConversion"/>
  </si>
  <si>
    <t>%%%%%%%%%%%%%%%%%%%%%%%%%%%%%%%%%%%%%%%%%%%%%%%%%%%%%%%%%%%%%%%%%%%%%%%%%%%%%%%%%%%%%%%%%%%%%%%%%%%%%%%%%%%%%%%%%%%%5</t>
    <phoneticPr fontId="1" type="noConversion"/>
  </si>
  <si>
    <t>B(0.5Vf)</t>
    <phoneticPr fontId="1" type="noConversion"/>
  </si>
  <si>
    <t>热电参数计算</t>
    <phoneticPr fontId="1" type="noConversion"/>
  </si>
  <si>
    <t>A1</t>
  </si>
  <si>
    <t>A2</t>
  </si>
  <si>
    <t>PyroE</t>
  </si>
  <si>
    <t>PyroM</t>
  </si>
  <si>
    <t>转换前</t>
    <phoneticPr fontId="1" type="noConversion"/>
  </si>
  <si>
    <t>转换后</t>
    <phoneticPr fontId="1" type="noConversion"/>
  </si>
  <si>
    <t>K</t>
    <phoneticPr fontId="1" type="noConversion"/>
  </si>
  <si>
    <t>0.5Vf</t>
    <phoneticPr fontId="1" type="noConversion"/>
  </si>
  <si>
    <t>0.6Vf</t>
    <phoneticPr fontId="1" type="noConversion"/>
  </si>
  <si>
    <t>σ11</t>
  </si>
  <si>
    <t>C12</t>
    <phoneticPr fontId="1" type="noConversion"/>
  </si>
  <si>
    <t>C22</t>
    <phoneticPr fontId="1" type="noConversion"/>
  </si>
  <si>
    <t>C11</t>
    <phoneticPr fontId="1" type="noConversion"/>
  </si>
  <si>
    <t>α*▲T</t>
    <phoneticPr fontId="1" type="noConversion"/>
  </si>
  <si>
    <t>▲T</t>
    <phoneticPr fontId="1" type="noConversion"/>
  </si>
  <si>
    <t>0.6Vf</t>
    <phoneticPr fontId="1" type="noConversion"/>
  </si>
  <si>
    <t>0.5Vf</t>
    <phoneticPr fontId="1" type="noConversion"/>
  </si>
  <si>
    <t>sladek_text2</t>
    <phoneticPr fontId="1" type="noConversion"/>
  </si>
  <si>
    <t>α</t>
    <phoneticPr fontId="1" type="noConversion"/>
  </si>
  <si>
    <t>α1</t>
    <phoneticPr fontId="1" type="noConversion"/>
  </si>
  <si>
    <t>C13</t>
    <phoneticPr fontId="1" type="noConversion"/>
  </si>
  <si>
    <t>C33</t>
    <phoneticPr fontId="1" type="noConversion"/>
  </si>
  <si>
    <t>α3</t>
    <phoneticPr fontId="1" type="noConversion"/>
  </si>
  <si>
    <t>α(转换后)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</si>
</sst>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E+00"/>
    <numFmt numFmtId="177" formatCode="0.000_);[Red]\(0.000\)"/>
    <numFmt numFmtId="178" formatCode="0.0000E+00"/>
  </numFmts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u/>
      <sz val="11"/>
      <color theme="1"/>
      <name val="宋体"/>
      <family val="2"/>
      <scheme val="minor"/>
    </font>
    <font>
      <u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2" borderId="0" xfId="0" applyFill="1"/>
    <xf numFmtId="11" fontId="0" fillId="0" borderId="0" xfId="0" applyNumberFormat="1"/>
    <xf numFmtId="11" fontId="0" fillId="2" borderId="0" xfId="0" applyNumberFormat="1" applyFill="1"/>
    <xf numFmtId="0" fontId="0" fillId="0" borderId="0" xfId="0" applyNumberFormat="1"/>
    <xf numFmtId="11" fontId="0" fillId="3" borderId="0" xfId="0" applyNumberFormat="1" applyFill="1"/>
    <xf numFmtId="176" fontId="0" fillId="0" borderId="0" xfId="0" applyNumberFormat="1"/>
    <xf numFmtId="0" fontId="3" fillId="2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6" fontId="3" fillId="0" borderId="0" xfId="0" applyNumberFormat="1" applyFont="1"/>
    <xf numFmtId="176" fontId="4" fillId="0" borderId="0" xfId="0" applyNumberFormat="1" applyFont="1"/>
    <xf numFmtId="0" fontId="5" fillId="0" borderId="0" xfId="0" applyFont="1"/>
    <xf numFmtId="0" fontId="2" fillId="2" borderId="0" xfId="0" applyFont="1" applyFill="1"/>
    <xf numFmtId="177" fontId="0" fillId="0" borderId="0" xfId="0" applyNumberFormat="1"/>
    <xf numFmtId="0" fontId="3" fillId="0" borderId="0" xfId="0" applyFont="1"/>
    <xf numFmtId="0" fontId="7" fillId="0" borderId="0" xfId="0" applyFont="1"/>
    <xf numFmtId="11" fontId="3" fillId="0" borderId="0" xfId="0" applyNumberFormat="1" applyFont="1"/>
    <xf numFmtId="0" fontId="8" fillId="0" borderId="0" xfId="0" applyFont="1"/>
    <xf numFmtId="0" fontId="0" fillId="5" borderId="0" xfId="0" applyFill="1"/>
    <xf numFmtId="0" fontId="3" fillId="5" borderId="0" xfId="0" applyFont="1" applyFill="1"/>
    <xf numFmtId="0" fontId="7" fillId="5" borderId="0" xfId="0" applyFont="1" applyFill="1"/>
    <xf numFmtId="0" fontId="9" fillId="5" borderId="0" xfId="0" applyFont="1" applyFill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6"/>
  <sheetViews>
    <sheetView topLeftCell="A64" workbookViewId="0">
      <selection activeCell="C50" sqref="C50"/>
    </sheetView>
  </sheetViews>
  <sheetFormatPr defaultRowHeight="14"/>
  <cols>
    <col min="1" max="2" width="9.26953125" bestFit="1" customWidth="1"/>
    <col min="3" max="4" width="9.36328125" bestFit="1" customWidth="1"/>
    <col min="5" max="5" width="17.08984375" customWidth="1"/>
    <col min="6" max="6" width="9.26953125" bestFit="1" customWidth="1"/>
    <col min="7" max="7" width="10.90625" customWidth="1"/>
    <col min="8" max="8" width="9.26953125" bestFit="1" customWidth="1"/>
    <col min="9" max="9" width="13.6328125" customWidth="1"/>
    <col min="10" max="10" width="10.1796875" customWidth="1"/>
    <col min="11" max="18" width="9.26953125" bestFit="1" customWidth="1"/>
    <col min="19" max="19" width="10.26953125" bestFit="1" customWidth="1"/>
    <col min="20" max="21" width="9.26953125" bestFit="1" customWidth="1"/>
    <col min="23" max="26" width="9.26953125" bestFit="1" customWidth="1"/>
    <col min="27" max="27" width="11.1796875" customWidth="1"/>
    <col min="28" max="28" width="9.26953125" bestFit="1" customWidth="1"/>
    <col min="29" max="29" width="10.26953125" bestFit="1" customWidth="1"/>
    <col min="30" max="30" width="10.453125" customWidth="1"/>
  </cols>
  <sheetData>
    <row r="1" spans="1:27">
      <c r="A1" s="2" t="s">
        <v>46</v>
      </c>
      <c r="B1" t="s">
        <v>0</v>
      </c>
      <c r="C1" s="3">
        <v>166000000000</v>
      </c>
      <c r="F1" s="1" t="s">
        <v>0</v>
      </c>
      <c r="G1">
        <f>C1-C4^2/C2</f>
        <v>128444444444.44444</v>
      </c>
      <c r="J1" s="2" t="s">
        <v>14</v>
      </c>
      <c r="K1" s="2" t="s">
        <v>8</v>
      </c>
      <c r="L1" s="2" t="s">
        <v>9</v>
      </c>
      <c r="M1" s="2" t="s">
        <v>10</v>
      </c>
      <c r="N1" s="2" t="s">
        <v>11</v>
      </c>
      <c r="V1" t="s">
        <v>40</v>
      </c>
      <c r="W1" t="s">
        <v>42</v>
      </c>
      <c r="X1" t="s">
        <v>43</v>
      </c>
      <c r="Y1" t="s">
        <v>44</v>
      </c>
      <c r="Z1" t="s">
        <v>45</v>
      </c>
      <c r="AA1" s="15" t="s">
        <v>42</v>
      </c>
    </row>
    <row r="2" spans="1:27">
      <c r="B2" t="s">
        <v>1</v>
      </c>
      <c r="C2" s="3">
        <v>162000000000</v>
      </c>
      <c r="F2" s="14" t="s">
        <v>4</v>
      </c>
      <c r="G2">
        <f>C1-C4^2/C2</f>
        <v>128444444444.44444</v>
      </c>
      <c r="J2" s="2">
        <f>G1*(1-K2^2)</f>
        <v>116331314878.89275</v>
      </c>
      <c r="K2" s="2">
        <f>G3/G2</f>
        <v>0.30709342560553632</v>
      </c>
      <c r="L2" s="2">
        <f>0+G6</f>
        <v>44500000000</v>
      </c>
      <c r="M2" s="2">
        <f>G4*6/5</f>
        <v>51600000000</v>
      </c>
      <c r="N2" s="2">
        <f>G5*6/5</f>
        <v>51600000000</v>
      </c>
      <c r="U2" t="s">
        <v>39</v>
      </c>
      <c r="V2">
        <v>0</v>
      </c>
      <c r="W2">
        <v>0</v>
      </c>
      <c r="X2" s="3">
        <v>269500000000</v>
      </c>
      <c r="Y2" s="3">
        <v>170000000000</v>
      </c>
      <c r="Z2">
        <v>0</v>
      </c>
      <c r="AA2" s="3">
        <f>W2-Y2*Z2/X2</f>
        <v>0</v>
      </c>
    </row>
    <row r="3" spans="1:27">
      <c r="B3" t="s">
        <v>2</v>
      </c>
      <c r="C3" s="3">
        <v>77000000000</v>
      </c>
      <c r="F3" s="1" t="s">
        <v>2</v>
      </c>
      <c r="G3">
        <f>C3-C4^2/C2</f>
        <v>39444444444.444443</v>
      </c>
      <c r="V3">
        <f>V2+0.2</f>
        <v>0.2</v>
      </c>
      <c r="W3">
        <v>-2</v>
      </c>
      <c r="X3" s="3">
        <v>240000000000</v>
      </c>
      <c r="Y3" s="3">
        <v>145000000000</v>
      </c>
      <c r="Z3">
        <v>4</v>
      </c>
      <c r="AA3" s="3">
        <f t="shared" ref="AA3:AA7" si="0">W3-Y3*Z3/X3</f>
        <v>-4.4166666666666661</v>
      </c>
    </row>
    <row r="4" spans="1:27">
      <c r="B4" t="s">
        <v>3</v>
      </c>
      <c r="C4" s="3">
        <v>78000000000</v>
      </c>
      <c r="F4" t="s">
        <v>5</v>
      </c>
      <c r="G4" s="3">
        <v>43000000000</v>
      </c>
      <c r="V4">
        <f t="shared" ref="V4:V7" si="1">V3+0.2</f>
        <v>0.4</v>
      </c>
      <c r="W4">
        <v>-3</v>
      </c>
      <c r="X4" s="3">
        <v>220000000000</v>
      </c>
      <c r="Y4" s="3">
        <v>125000000000</v>
      </c>
      <c r="Z4">
        <v>7</v>
      </c>
      <c r="AA4" s="3">
        <f t="shared" si="0"/>
        <v>-6.9772727272727266</v>
      </c>
    </row>
    <row r="5" spans="1:27">
      <c r="F5" t="s">
        <v>6</v>
      </c>
      <c r="G5" s="3">
        <v>43000000000</v>
      </c>
      <c r="V5">
        <f t="shared" si="1"/>
        <v>0.60000000000000009</v>
      </c>
      <c r="W5">
        <v>-3.5</v>
      </c>
      <c r="X5" s="3">
        <v>190000000000</v>
      </c>
      <c r="Y5" s="3">
        <v>110000000000</v>
      </c>
      <c r="Z5">
        <v>11</v>
      </c>
      <c r="AA5" s="3">
        <f t="shared" si="0"/>
        <v>-9.8684210526315788</v>
      </c>
    </row>
    <row r="6" spans="1:27">
      <c r="F6" t="s">
        <v>7</v>
      </c>
      <c r="G6" s="3">
        <v>44500000000</v>
      </c>
      <c r="V6">
        <f t="shared" si="1"/>
        <v>0.8</v>
      </c>
      <c r="W6">
        <v>-4</v>
      </c>
      <c r="X6" s="3">
        <v>170000000000</v>
      </c>
      <c r="Y6" s="3">
        <v>100000000000</v>
      </c>
      <c r="Z6">
        <v>14</v>
      </c>
      <c r="AA6" s="3">
        <f t="shared" si="0"/>
        <v>-12.235294117647058</v>
      </c>
    </row>
    <row r="7" spans="1:27">
      <c r="U7" t="s">
        <v>41</v>
      </c>
      <c r="V7">
        <f t="shared" si="1"/>
        <v>1</v>
      </c>
      <c r="W7">
        <v>-4.4000000000000004</v>
      </c>
      <c r="X7" s="3">
        <v>162000000000</v>
      </c>
      <c r="Y7" s="3">
        <v>78000000000</v>
      </c>
      <c r="Z7">
        <v>18.600000000000001</v>
      </c>
      <c r="AA7" s="3">
        <f t="shared" si="0"/>
        <v>-13.355555555555556</v>
      </c>
    </row>
    <row r="9" spans="1:27">
      <c r="A9" s="2" t="s">
        <v>47</v>
      </c>
    </row>
    <row r="10" spans="1:27">
      <c r="B10" t="s">
        <v>0</v>
      </c>
      <c r="C10" s="3">
        <v>286000000000</v>
      </c>
      <c r="F10" s="1" t="s">
        <v>0</v>
      </c>
      <c r="G10">
        <f>C10-C13^2/C11</f>
        <v>178764378478.66418</v>
      </c>
      <c r="J10" s="2" t="s">
        <v>17</v>
      </c>
      <c r="K10" s="2" t="s">
        <v>8</v>
      </c>
      <c r="L10" s="2" t="s">
        <v>9</v>
      </c>
      <c r="M10" s="2" t="s">
        <v>10</v>
      </c>
      <c r="N10" s="2" t="s">
        <v>11</v>
      </c>
      <c r="V10" t="s">
        <v>40</v>
      </c>
      <c r="W10" t="s">
        <v>52</v>
      </c>
      <c r="X10" t="s">
        <v>43</v>
      </c>
      <c r="Y10" t="s">
        <v>44</v>
      </c>
      <c r="Z10" t="s">
        <v>53</v>
      </c>
      <c r="AA10" s="15" t="s">
        <v>52</v>
      </c>
    </row>
    <row r="11" spans="1:27">
      <c r="B11" t="s">
        <v>1</v>
      </c>
      <c r="C11" s="3">
        <v>269500000000</v>
      </c>
      <c r="F11" s="14" t="s">
        <v>4</v>
      </c>
      <c r="G11">
        <f>C10-C13^2/C11</f>
        <v>178764378478.66418</v>
      </c>
      <c r="J11" s="2">
        <f>G10*(1-K11^2)</f>
        <v>154570780662.97195</v>
      </c>
      <c r="K11" s="2">
        <f>G12/G11</f>
        <v>0.36788301471656604</v>
      </c>
      <c r="L11" s="2">
        <f>G15+0</f>
        <v>56500000000</v>
      </c>
      <c r="M11" s="2">
        <f>G14*6/5</f>
        <v>54360000000</v>
      </c>
      <c r="N11" s="2">
        <f>G14*6/5</f>
        <v>54360000000</v>
      </c>
      <c r="U11" t="s">
        <v>39</v>
      </c>
      <c r="V11">
        <v>0</v>
      </c>
      <c r="W11">
        <v>580</v>
      </c>
      <c r="X11" s="3">
        <v>269500000000</v>
      </c>
      <c r="Y11" s="3">
        <v>170000000000</v>
      </c>
      <c r="Z11">
        <v>700</v>
      </c>
      <c r="AA11" s="3">
        <f>W11-Y11*Z11/X11</f>
        <v>138.44155844155841</v>
      </c>
    </row>
    <row r="12" spans="1:27">
      <c r="B12" t="s">
        <v>2</v>
      </c>
      <c r="C12" s="3">
        <v>173000000000</v>
      </c>
      <c r="F12" s="1" t="s">
        <v>2</v>
      </c>
      <c r="G12">
        <f>C12-C13^2/C11</f>
        <v>65764378478.6642</v>
      </c>
      <c r="V12">
        <f>V11+0.2</f>
        <v>0.2</v>
      </c>
      <c r="W12">
        <v>410</v>
      </c>
      <c r="X12" s="3">
        <v>240000000000</v>
      </c>
      <c r="Y12" s="3">
        <v>145000000000</v>
      </c>
      <c r="Z12">
        <v>550</v>
      </c>
      <c r="AA12" s="3">
        <f t="shared" ref="AA12:AA16" si="2">W12-Y12*Z12/X12</f>
        <v>77.708333333333314</v>
      </c>
    </row>
    <row r="13" spans="1:27">
      <c r="B13" t="s">
        <v>3</v>
      </c>
      <c r="C13" s="3">
        <v>170000000000</v>
      </c>
      <c r="F13" t="s">
        <v>5</v>
      </c>
      <c r="G13" s="3">
        <v>45300000000</v>
      </c>
      <c r="V13">
        <f t="shared" ref="V13:V16" si="3">V12+0.2</f>
        <v>0.4</v>
      </c>
      <c r="W13">
        <v>300</v>
      </c>
      <c r="X13" s="3">
        <v>220000000000</v>
      </c>
      <c r="Y13" s="3">
        <v>125000000000</v>
      </c>
      <c r="Z13">
        <v>380</v>
      </c>
      <c r="AA13" s="3">
        <f t="shared" si="2"/>
        <v>84.090909090909093</v>
      </c>
    </row>
    <row r="14" spans="1:27">
      <c r="F14" t="s">
        <v>6</v>
      </c>
      <c r="G14" s="3">
        <v>45300000000</v>
      </c>
      <c r="V14">
        <f t="shared" si="3"/>
        <v>0.60000000000000009</v>
      </c>
      <c r="W14">
        <v>200</v>
      </c>
      <c r="X14" s="3">
        <v>190000000000</v>
      </c>
      <c r="Y14" s="3">
        <v>110000000000</v>
      </c>
      <c r="Z14">
        <v>260</v>
      </c>
      <c r="AA14" s="3">
        <f t="shared" si="2"/>
        <v>49.473684210526329</v>
      </c>
    </row>
    <row r="15" spans="1:27">
      <c r="F15" t="s">
        <v>7</v>
      </c>
      <c r="G15" s="3">
        <v>56500000000</v>
      </c>
      <c r="V15">
        <f t="shared" si="3"/>
        <v>0.8</v>
      </c>
      <c r="W15">
        <v>100</v>
      </c>
      <c r="X15" s="3">
        <v>170000000000</v>
      </c>
      <c r="Y15" s="3">
        <v>100000000000</v>
      </c>
      <c r="Z15">
        <v>120</v>
      </c>
      <c r="AA15" s="3">
        <f t="shared" si="2"/>
        <v>29.411764705882348</v>
      </c>
    </row>
    <row r="16" spans="1:27">
      <c r="U16" t="s">
        <v>41</v>
      </c>
      <c r="V16">
        <f t="shared" si="3"/>
        <v>1</v>
      </c>
      <c r="W16">
        <v>0</v>
      </c>
      <c r="X16" s="3">
        <v>162000000000</v>
      </c>
      <c r="Y16" s="3">
        <v>78000000000</v>
      </c>
      <c r="Z16">
        <v>0</v>
      </c>
      <c r="AA16" s="3">
        <f t="shared" si="2"/>
        <v>0</v>
      </c>
    </row>
    <row r="19" spans="1:27">
      <c r="A19" s="2" t="s">
        <v>48</v>
      </c>
      <c r="B19" t="s">
        <v>0</v>
      </c>
      <c r="C19" s="3">
        <v>250000000000</v>
      </c>
      <c r="F19" s="1" t="s">
        <v>0</v>
      </c>
      <c r="G19">
        <f>C19-C22^2/C20</f>
        <v>162395833333.33331</v>
      </c>
      <c r="J19" s="2" t="s">
        <v>14</v>
      </c>
      <c r="K19" s="2" t="s">
        <v>8</v>
      </c>
      <c r="L19" s="2" t="s">
        <v>9</v>
      </c>
      <c r="M19" s="2" t="s">
        <v>10</v>
      </c>
      <c r="N19" s="2" t="s">
        <v>11</v>
      </c>
    </row>
    <row r="20" spans="1:27">
      <c r="B20" t="s">
        <v>1</v>
      </c>
      <c r="C20" s="3">
        <v>240000000000</v>
      </c>
      <c r="F20" s="14" t="s">
        <v>4</v>
      </c>
      <c r="G20">
        <f>C19-C22^2/C20</f>
        <v>162395833333.33331</v>
      </c>
      <c r="J20" s="2">
        <f>G19*(1-K20^2)</f>
        <v>141397305965.3624</v>
      </c>
      <c r="K20" s="2">
        <f>G21/G20</f>
        <v>0.35958948043617706</v>
      </c>
      <c r="L20" s="2">
        <f>0+G24</f>
        <v>52000000000</v>
      </c>
      <c r="M20" s="2">
        <f>G22*6/5</f>
        <v>54000000000</v>
      </c>
      <c r="N20" s="2">
        <f>G23*6/5</f>
        <v>54000000000</v>
      </c>
      <c r="V20" t="s">
        <v>40</v>
      </c>
      <c r="W20" t="s">
        <v>43</v>
      </c>
      <c r="X20" t="s">
        <v>54</v>
      </c>
      <c r="Y20" t="s">
        <v>45</v>
      </c>
      <c r="Z20" s="15" t="s">
        <v>54</v>
      </c>
    </row>
    <row r="21" spans="1:27">
      <c r="B21" t="s">
        <v>2</v>
      </c>
      <c r="C21" s="3">
        <v>146000000000</v>
      </c>
      <c r="F21" s="1" t="s">
        <v>2</v>
      </c>
      <c r="G21">
        <f>C21-C22^2/C20</f>
        <v>58395833333.333328</v>
      </c>
      <c r="U21" t="s">
        <v>39</v>
      </c>
      <c r="V21">
        <v>0</v>
      </c>
      <c r="W21" s="3">
        <v>269500000000</v>
      </c>
      <c r="X21" s="3">
        <v>9.3000000000000002E-11</v>
      </c>
      <c r="Y21">
        <v>0</v>
      </c>
      <c r="Z21" s="3">
        <f>X21+(Y21^2)/W21</f>
        <v>9.3000000000000002E-11</v>
      </c>
    </row>
    <row r="22" spans="1:27">
      <c r="B22" t="s">
        <v>3</v>
      </c>
      <c r="C22" s="3">
        <v>145000000000</v>
      </c>
      <c r="F22" t="s">
        <v>5</v>
      </c>
      <c r="G22" s="3">
        <v>45000000000</v>
      </c>
      <c r="V22">
        <f>V21+0.2</f>
        <v>0.2</v>
      </c>
      <c r="W22" s="3">
        <v>240000000000</v>
      </c>
      <c r="X22" s="3">
        <v>2.5000000000000001E-9</v>
      </c>
      <c r="Y22">
        <v>4</v>
      </c>
      <c r="Z22" s="3">
        <f t="shared" ref="Z22:Z26" si="4">X22+(Y22^2)/W22</f>
        <v>2.5666666666666669E-9</v>
      </c>
    </row>
    <row r="23" spans="1:27">
      <c r="F23" t="s">
        <v>6</v>
      </c>
      <c r="G23" s="3">
        <v>45000000000</v>
      </c>
      <c r="V23">
        <f t="shared" ref="V23:V26" si="5">V22+0.2</f>
        <v>0.4</v>
      </c>
      <c r="W23" s="3">
        <v>220000000000</v>
      </c>
      <c r="X23" s="3">
        <v>5.0000000000000001E-9</v>
      </c>
      <c r="Y23">
        <v>7</v>
      </c>
      <c r="Z23" s="3">
        <f t="shared" si="4"/>
        <v>5.2227272727272726E-9</v>
      </c>
    </row>
    <row r="24" spans="1:27">
      <c r="F24" t="s">
        <v>7</v>
      </c>
      <c r="G24" s="3">
        <v>52000000000</v>
      </c>
      <c r="V24">
        <f t="shared" si="5"/>
        <v>0.60000000000000009</v>
      </c>
      <c r="W24" s="3">
        <v>190000000000</v>
      </c>
      <c r="X24" s="3">
        <v>7.4999999999999993E-9</v>
      </c>
      <c r="Y24">
        <v>11</v>
      </c>
      <c r="Z24" s="3">
        <f t="shared" si="4"/>
        <v>8.136842105263158E-9</v>
      </c>
    </row>
    <row r="25" spans="1:27">
      <c r="V25">
        <f t="shared" si="5"/>
        <v>0.8</v>
      </c>
      <c r="W25" s="3">
        <v>170000000000</v>
      </c>
      <c r="X25" s="3">
        <v>1E-8</v>
      </c>
      <c r="Y25">
        <v>14</v>
      </c>
      <c r="Z25" s="3">
        <f t="shared" si="4"/>
        <v>1.1152941176470588E-8</v>
      </c>
    </row>
    <row r="26" spans="1:27">
      <c r="U26" t="s">
        <v>41</v>
      </c>
      <c r="V26">
        <f t="shared" si="5"/>
        <v>1</v>
      </c>
      <c r="W26" s="3">
        <v>162000000000</v>
      </c>
      <c r="X26" s="3">
        <v>1.26E-8</v>
      </c>
      <c r="Y26">
        <v>18.600000000000001</v>
      </c>
      <c r="Z26" s="3">
        <f t="shared" si="4"/>
        <v>1.4735555555555557E-8</v>
      </c>
    </row>
    <row r="27" spans="1:27">
      <c r="A27" s="2" t="s">
        <v>49</v>
      </c>
      <c r="B27" t="s">
        <v>0</v>
      </c>
      <c r="C27" s="3">
        <v>225000000000</v>
      </c>
      <c r="F27" s="1" t="s">
        <v>0</v>
      </c>
      <c r="G27">
        <f>C27-C30^2/C28</f>
        <v>153977272727.27274</v>
      </c>
      <c r="J27" s="2" t="s">
        <v>14</v>
      </c>
      <c r="K27" s="2" t="s">
        <v>8</v>
      </c>
      <c r="L27" s="2" t="s">
        <v>9</v>
      </c>
      <c r="M27" s="2" t="s">
        <v>10</v>
      </c>
      <c r="N27" s="2" t="s">
        <v>11</v>
      </c>
    </row>
    <row r="28" spans="1:27">
      <c r="B28" t="s">
        <v>1</v>
      </c>
      <c r="C28" s="3">
        <v>220000000000</v>
      </c>
      <c r="F28" s="14" t="s">
        <v>4</v>
      </c>
      <c r="G28">
        <f>C27-C30^2/C28</f>
        <v>153977272727.27274</v>
      </c>
      <c r="J28" s="2">
        <f>G27*(1-K28^2)</f>
        <v>135055350553.50554</v>
      </c>
      <c r="K28" s="2">
        <f>G29/G28</f>
        <v>0.35055350553505538</v>
      </c>
      <c r="L28" s="2">
        <f>0+G32</f>
        <v>50000000000</v>
      </c>
      <c r="M28" s="2">
        <f>G30*6/5</f>
        <v>54000000000</v>
      </c>
      <c r="N28" s="2">
        <f>G31*6/5</f>
        <v>54000000000</v>
      </c>
    </row>
    <row r="29" spans="1:27">
      <c r="B29" t="s">
        <v>2</v>
      </c>
      <c r="C29" s="3">
        <v>125000000000</v>
      </c>
      <c r="F29" s="1" t="s">
        <v>2</v>
      </c>
      <c r="G29">
        <f>C29-C30^2/C28</f>
        <v>53977272727.272736</v>
      </c>
    </row>
    <row r="30" spans="1:27">
      <c r="B30" t="s">
        <v>3</v>
      </c>
      <c r="C30" s="3">
        <v>125000000000</v>
      </c>
      <c r="F30" t="s">
        <v>5</v>
      </c>
      <c r="G30" s="3">
        <v>45000000000</v>
      </c>
      <c r="V30" t="s">
        <v>40</v>
      </c>
      <c r="W30" t="s">
        <v>43</v>
      </c>
      <c r="X30" t="s">
        <v>55</v>
      </c>
      <c r="Y30" t="s">
        <v>45</v>
      </c>
      <c r="Z30" t="s">
        <v>53</v>
      </c>
      <c r="AA30" s="15" t="s">
        <v>55</v>
      </c>
    </row>
    <row r="31" spans="1:27">
      <c r="F31" t="s">
        <v>6</v>
      </c>
      <c r="G31" s="3">
        <v>45000000000</v>
      </c>
      <c r="U31" t="s">
        <v>39</v>
      </c>
      <c r="V31">
        <v>0</v>
      </c>
      <c r="W31" s="3">
        <v>269500000000</v>
      </c>
      <c r="X31" s="3">
        <v>0</v>
      </c>
      <c r="Y31">
        <v>0</v>
      </c>
      <c r="Z31">
        <v>700</v>
      </c>
      <c r="AA31" s="3">
        <f>X31+Y31*Z31/W31</f>
        <v>0</v>
      </c>
    </row>
    <row r="32" spans="1:27">
      <c r="F32" t="s">
        <v>7</v>
      </c>
      <c r="G32" s="3">
        <v>50000000000</v>
      </c>
      <c r="V32">
        <f>V31+0.2</f>
        <v>0.2</v>
      </c>
      <c r="W32" s="3">
        <v>240000000000</v>
      </c>
      <c r="X32" s="3">
        <v>2.0000000000000001E-9</v>
      </c>
      <c r="Y32">
        <v>4</v>
      </c>
      <c r="Z32">
        <v>550</v>
      </c>
      <c r="AA32" s="3">
        <f t="shared" ref="AA32" si="6">X32+Y32*Z32/W32</f>
        <v>1.1166666666666666E-8</v>
      </c>
    </row>
    <row r="33" spans="1:30">
      <c r="G33" s="3"/>
      <c r="V33">
        <f>V32+0.2</f>
        <v>0.4</v>
      </c>
      <c r="W33" s="3">
        <v>220000000000</v>
      </c>
      <c r="X33" s="3">
        <v>2.7499999999999998E-9</v>
      </c>
      <c r="Y33">
        <v>7</v>
      </c>
      <c r="Z33">
        <v>380</v>
      </c>
      <c r="AA33" s="3">
        <f>X33+Y33*Z33/W33</f>
        <v>1.4840909090909091E-8</v>
      </c>
    </row>
    <row r="34" spans="1:30">
      <c r="G34" s="3"/>
      <c r="V34">
        <f t="shared" ref="V34:V36" si="7">V33+0.2</f>
        <v>0.60000000000000009</v>
      </c>
      <c r="W34" s="3">
        <v>190000000000</v>
      </c>
      <c r="X34" s="3">
        <v>2.5000000000000001E-9</v>
      </c>
      <c r="Y34">
        <v>11</v>
      </c>
      <c r="Z34">
        <v>260</v>
      </c>
      <c r="AA34" s="3">
        <f>X34+Y34*Z34/W34</f>
        <v>1.7552631578947367E-8</v>
      </c>
    </row>
    <row r="35" spans="1:30">
      <c r="G35" s="3"/>
      <c r="V35">
        <f t="shared" si="7"/>
        <v>0.8</v>
      </c>
      <c r="W35" s="3">
        <v>170000000000</v>
      </c>
      <c r="X35" s="3">
        <v>1.5E-9</v>
      </c>
      <c r="Y35">
        <v>14</v>
      </c>
      <c r="Z35">
        <v>120</v>
      </c>
      <c r="AA35" s="3">
        <f>X35+Y35*Z35/W35</f>
        <v>1.1382352941176471E-8</v>
      </c>
    </row>
    <row r="36" spans="1:30">
      <c r="U36" t="s">
        <v>41</v>
      </c>
      <c r="V36">
        <f t="shared" si="7"/>
        <v>1</v>
      </c>
      <c r="W36" s="3">
        <v>162000000000</v>
      </c>
      <c r="X36" s="3">
        <v>0</v>
      </c>
      <c r="Y36">
        <v>18.600000000000001</v>
      </c>
      <c r="Z36">
        <v>0</v>
      </c>
      <c r="AA36" s="3">
        <f>X36+Y36*Z36/W36</f>
        <v>0</v>
      </c>
    </row>
    <row r="37" spans="1:30">
      <c r="A37" s="2" t="s">
        <v>102</v>
      </c>
      <c r="B37" t="s">
        <v>0</v>
      </c>
      <c r="C37" s="3">
        <v>220000000000</v>
      </c>
      <c r="F37" s="1" t="s">
        <v>0</v>
      </c>
      <c r="G37">
        <f>C37-C40^2/C38</f>
        <v>153023255813.95349</v>
      </c>
      <c r="J37" s="2" t="s">
        <v>14</v>
      </c>
      <c r="K37" s="2" t="s">
        <v>8</v>
      </c>
      <c r="L37" s="2" t="s">
        <v>9</v>
      </c>
      <c r="M37" s="2" t="s">
        <v>10</v>
      </c>
      <c r="N37" s="2" t="s">
        <v>11</v>
      </c>
    </row>
    <row r="38" spans="1:30">
      <c r="B38" t="s">
        <v>1</v>
      </c>
      <c r="C38" s="3">
        <v>215000000000</v>
      </c>
      <c r="F38" s="14" t="s">
        <v>4</v>
      </c>
      <c r="G38">
        <f>C37-C40^2/C38</f>
        <v>153023255813.95349</v>
      </c>
      <c r="J38" s="2">
        <f>G37*(1-K38^2)</f>
        <v>134650455927.05168</v>
      </c>
      <c r="K38" s="2">
        <f>G39/G38</f>
        <v>0.34650455927051671</v>
      </c>
      <c r="L38" s="2">
        <f>0+G42</f>
        <v>50000000000</v>
      </c>
      <c r="M38" s="2">
        <f>G40*6/5</f>
        <v>54000000000</v>
      </c>
      <c r="N38" s="2">
        <f>G41*6/5</f>
        <v>54000000000</v>
      </c>
    </row>
    <row r="39" spans="1:30">
      <c r="B39" t="s">
        <v>2</v>
      </c>
      <c r="C39" s="3">
        <v>120000000000</v>
      </c>
      <c r="F39" s="1" t="s">
        <v>2</v>
      </c>
      <c r="G39">
        <f>C39-C40^2/C38</f>
        <v>53023255813.953491</v>
      </c>
      <c r="V39" t="s">
        <v>40</v>
      </c>
      <c r="W39" t="s">
        <v>43</v>
      </c>
      <c r="X39" t="s">
        <v>56</v>
      </c>
      <c r="Y39" t="s">
        <v>53</v>
      </c>
      <c r="Z39" s="15" t="s">
        <v>56</v>
      </c>
    </row>
    <row r="40" spans="1:30">
      <c r="B40" t="s">
        <v>3</v>
      </c>
      <c r="C40" s="3">
        <v>120000000000</v>
      </c>
      <c r="F40" t="s">
        <v>5</v>
      </c>
      <c r="G40" s="3">
        <v>45000000000</v>
      </c>
      <c r="U40" t="s">
        <v>39</v>
      </c>
      <c r="V40">
        <v>0</v>
      </c>
      <c r="W40" s="3">
        <v>269500000000</v>
      </c>
      <c r="X40" s="3">
        <v>1.5699999999999999E-4</v>
      </c>
      <c r="Y40">
        <v>700</v>
      </c>
      <c r="Z40" s="3">
        <f>X40+Y40^2/W40</f>
        <v>1.5881818181818182E-4</v>
      </c>
    </row>
    <row r="41" spans="1:30">
      <c r="F41" t="s">
        <v>6</v>
      </c>
      <c r="G41" s="3">
        <v>45000000000</v>
      </c>
      <c r="V41">
        <f>V40+0.2</f>
        <v>0.2</v>
      </c>
      <c r="W41" s="3">
        <v>240000000000</v>
      </c>
      <c r="X41" s="3">
        <v>1.3300000000000001E-4</v>
      </c>
      <c r="Y41">
        <v>550</v>
      </c>
      <c r="Z41" s="3">
        <f t="shared" ref="Z41:Z45" si="8">X41+Y41^2/W41</f>
        <v>1.3426041666666667E-4</v>
      </c>
    </row>
    <row r="42" spans="1:30">
      <c r="F42" t="s">
        <v>7</v>
      </c>
      <c r="G42" s="3">
        <v>50000000000</v>
      </c>
      <c r="V42">
        <f t="shared" ref="V42:V45" si="9">V41+0.2</f>
        <v>0.4</v>
      </c>
      <c r="W42" s="3">
        <v>220000000000</v>
      </c>
      <c r="X42" s="3">
        <v>1E-4</v>
      </c>
      <c r="Y42">
        <v>380</v>
      </c>
      <c r="Z42" s="3">
        <f t="shared" si="8"/>
        <v>1.0065636363636364E-4</v>
      </c>
    </row>
    <row r="43" spans="1:30">
      <c r="G43" s="3"/>
      <c r="V43">
        <f t="shared" si="9"/>
        <v>0.60000000000000009</v>
      </c>
      <c r="W43" s="3">
        <v>190000000000</v>
      </c>
      <c r="X43" s="3">
        <v>7.4999999999999993E-5</v>
      </c>
      <c r="Y43">
        <v>260</v>
      </c>
      <c r="Z43" s="3">
        <f t="shared" si="8"/>
        <v>7.5355789473684207E-5</v>
      </c>
    </row>
    <row r="44" spans="1:30">
      <c r="G44" s="3"/>
      <c r="V44">
        <f t="shared" si="9"/>
        <v>0.8</v>
      </c>
      <c r="W44" s="3">
        <v>170000000000</v>
      </c>
      <c r="X44" s="3">
        <v>5.0000000000000002E-5</v>
      </c>
      <c r="Y44">
        <v>120</v>
      </c>
      <c r="Z44" s="3">
        <f t="shared" si="8"/>
        <v>5.0084705882352946E-5</v>
      </c>
    </row>
    <row r="45" spans="1:30">
      <c r="G45" s="3"/>
      <c r="U45" t="s">
        <v>41</v>
      </c>
      <c r="V45">
        <f t="shared" si="9"/>
        <v>1</v>
      </c>
      <c r="W45" s="3">
        <v>162000000000</v>
      </c>
      <c r="X45" s="3">
        <v>1.0000000000000001E-5</v>
      </c>
      <c r="Y45">
        <v>0</v>
      </c>
      <c r="Z45" s="3">
        <f t="shared" si="8"/>
        <v>1.0000000000000001E-5</v>
      </c>
    </row>
    <row r="46" spans="1:30">
      <c r="G46" s="3"/>
    </row>
    <row r="48" spans="1:30">
      <c r="V48" t="s">
        <v>40</v>
      </c>
      <c r="W48" t="s">
        <v>43</v>
      </c>
      <c r="X48" t="s">
        <v>98</v>
      </c>
      <c r="Y48" t="s">
        <v>95</v>
      </c>
      <c r="Z48" t="s">
        <v>96</v>
      </c>
      <c r="AA48" t="s">
        <v>97</v>
      </c>
      <c r="AB48" t="s">
        <v>94</v>
      </c>
      <c r="AC48" t="s">
        <v>93</v>
      </c>
      <c r="AD48" s="15" t="s">
        <v>92</v>
      </c>
    </row>
    <row r="49" spans="1:31">
      <c r="A49" s="2" t="s">
        <v>50</v>
      </c>
      <c r="B49" t="s">
        <v>0</v>
      </c>
      <c r="C49" s="3">
        <v>200000000000</v>
      </c>
      <c r="F49" s="1" t="s">
        <v>0</v>
      </c>
      <c r="G49">
        <f>C49-C52^2/C50</f>
        <v>136315789473.68422</v>
      </c>
      <c r="J49" s="2" t="s">
        <v>14</v>
      </c>
      <c r="K49" s="2" t="s">
        <v>8</v>
      </c>
      <c r="L49" s="2" t="s">
        <v>9</v>
      </c>
      <c r="M49" s="2" t="s">
        <v>10</v>
      </c>
      <c r="N49" s="2" t="s">
        <v>11</v>
      </c>
      <c r="U49" t="s">
        <v>39</v>
      </c>
      <c r="V49">
        <v>0</v>
      </c>
      <c r="W49" s="3">
        <v>269500000000</v>
      </c>
      <c r="X49" s="3">
        <v>170000000000</v>
      </c>
      <c r="Y49" s="3">
        <v>1.0000000000000001E-5</v>
      </c>
      <c r="Z49" s="3">
        <v>1.0000000000000001E-5</v>
      </c>
      <c r="AA49" s="3">
        <v>1.0000000000000001E-5</v>
      </c>
      <c r="AB49">
        <v>0</v>
      </c>
      <c r="AC49" s="3">
        <v>0</v>
      </c>
      <c r="AD49" s="3">
        <f>AC49+X49*AB49*Y49/W49+X49*AB49*Z49/W49+AB49*AA49</f>
        <v>0</v>
      </c>
    </row>
    <row r="50" spans="1:31">
      <c r="B50" t="s">
        <v>1</v>
      </c>
      <c r="C50" s="3">
        <v>190000000000</v>
      </c>
      <c r="F50" s="14" t="s">
        <v>4</v>
      </c>
      <c r="G50">
        <f>C49-C52^2/C50</f>
        <v>136315789473.68422</v>
      </c>
      <c r="J50" s="2">
        <f>G49*(1-K50^2)</f>
        <v>120579150579.15059</v>
      </c>
      <c r="K50" s="2">
        <f>G51/G50</f>
        <v>0.33976833976833981</v>
      </c>
      <c r="L50" s="2">
        <f>0+G54</f>
        <v>45000000000</v>
      </c>
      <c r="M50" s="2">
        <f>G52*6/5</f>
        <v>54000000000</v>
      </c>
      <c r="N50" s="2">
        <f>G53*6/5</f>
        <v>54000000000</v>
      </c>
      <c r="V50">
        <f>V49+0.2</f>
        <v>0.2</v>
      </c>
      <c r="W50" s="3">
        <v>240000000000</v>
      </c>
      <c r="X50" s="3">
        <v>145000000000</v>
      </c>
      <c r="Y50" s="3">
        <v>1.08E-5</v>
      </c>
      <c r="Z50" s="3">
        <v>1.08E-5</v>
      </c>
      <c r="AA50" s="3">
        <v>9.3000000000000007E-6</v>
      </c>
      <c r="AB50">
        <v>4</v>
      </c>
      <c r="AC50" s="3">
        <v>-3.4999999999999998E-7</v>
      </c>
      <c r="AD50" s="3">
        <f t="shared" ref="AD50:AD55" si="10">AC50+X50*AB50*Y50/W50+X50*AB50*Z50/W50+AB50*AA50</f>
        <v>8.9049999999999996E-5</v>
      </c>
    </row>
    <row r="51" spans="1:31">
      <c r="B51" t="s">
        <v>2</v>
      </c>
      <c r="C51" s="3">
        <v>110000000000</v>
      </c>
      <c r="F51" s="1" t="s">
        <v>2</v>
      </c>
      <c r="G51">
        <f>C51-C52^2/C50</f>
        <v>46315789473.684219</v>
      </c>
      <c r="V51">
        <f t="shared" ref="V51" si="11">V50+0.2</f>
        <v>0.4</v>
      </c>
      <c r="W51" s="3">
        <v>220000000000</v>
      </c>
      <c r="X51" s="3">
        <v>125000000000</v>
      </c>
      <c r="Y51" s="3">
        <v>1.1800000000000001E-5</v>
      </c>
      <c r="Z51" s="3">
        <v>1.1800000000000001E-5</v>
      </c>
      <c r="AA51" s="3">
        <v>8.6000000000000007E-6</v>
      </c>
      <c r="AB51">
        <v>7</v>
      </c>
      <c r="AC51" s="3">
        <v>-6.5000000000000002E-7</v>
      </c>
      <c r="AD51" s="3">
        <f t="shared" si="10"/>
        <v>1.5341363636363638E-4</v>
      </c>
    </row>
    <row r="52" spans="1:31">
      <c r="B52" t="s">
        <v>3</v>
      </c>
      <c r="C52" s="3">
        <v>110000000000</v>
      </c>
      <c r="F52" t="s">
        <v>5</v>
      </c>
      <c r="G52" s="3">
        <v>45000000000</v>
      </c>
      <c r="V52">
        <f>V51+0.1</f>
        <v>0.5</v>
      </c>
      <c r="W52" s="3">
        <v>215000000000</v>
      </c>
      <c r="X52" s="3">
        <v>120000000000</v>
      </c>
      <c r="Y52" s="3">
        <v>1.2300000000000001E-5</v>
      </c>
      <c r="Z52" s="3">
        <v>1.2300000000000001E-5</v>
      </c>
      <c r="AA52" s="3">
        <v>8.1999999999999994E-6</v>
      </c>
      <c r="AB52" s="5">
        <v>9</v>
      </c>
      <c r="AC52" s="3">
        <v>-7.8000000000000005E-7</v>
      </c>
      <c r="AD52" s="3">
        <f t="shared" si="10"/>
        <v>1.9659209302325581E-4</v>
      </c>
    </row>
    <row r="53" spans="1:31">
      <c r="F53" t="s">
        <v>6</v>
      </c>
      <c r="G53" s="3">
        <v>45000000000</v>
      </c>
      <c r="V53">
        <f>V51+0.2</f>
        <v>0.60000000000000009</v>
      </c>
      <c r="W53" s="3">
        <v>190000000000</v>
      </c>
      <c r="X53" s="3">
        <v>110000000000</v>
      </c>
      <c r="Y53" s="3">
        <v>1.29E-5</v>
      </c>
      <c r="Z53" s="3">
        <v>1.29E-5</v>
      </c>
      <c r="AA53" s="3">
        <v>7.7999999999999999E-6</v>
      </c>
      <c r="AB53">
        <v>11</v>
      </c>
      <c r="AC53" s="3">
        <v>-8.9999999999999996E-7</v>
      </c>
      <c r="AD53" s="3">
        <f t="shared" si="10"/>
        <v>2.4920526315789474E-4</v>
      </c>
    </row>
    <row r="54" spans="1:31">
      <c r="F54" t="s">
        <v>7</v>
      </c>
      <c r="G54" s="3">
        <v>45000000000</v>
      </c>
      <c r="V54">
        <f>V53+0.2</f>
        <v>0.8</v>
      </c>
      <c r="W54" s="3">
        <v>170000000000</v>
      </c>
      <c r="X54" s="3">
        <v>100000000000</v>
      </c>
      <c r="Y54" s="3">
        <v>1.4100000000000001E-5</v>
      </c>
      <c r="Z54" s="3">
        <v>1.4100000000000001E-5</v>
      </c>
      <c r="AA54" s="3">
        <v>7.1999999999999997E-6</v>
      </c>
      <c r="AB54">
        <v>14</v>
      </c>
      <c r="AC54" s="3">
        <v>-1.08E-6</v>
      </c>
      <c r="AD54" s="3">
        <f t="shared" si="10"/>
        <v>3.3195529411764706E-4</v>
      </c>
    </row>
    <row r="55" spans="1:31">
      <c r="U55" t="s">
        <v>41</v>
      </c>
      <c r="V55">
        <f>V54+0.2</f>
        <v>1</v>
      </c>
      <c r="W55" s="3">
        <v>162000000000</v>
      </c>
      <c r="X55" s="3">
        <v>78000000000</v>
      </c>
      <c r="Y55" s="3">
        <v>1.5699999999999999E-5</v>
      </c>
      <c r="Z55" s="3">
        <v>1.5699999999999999E-5</v>
      </c>
      <c r="AA55" s="3">
        <v>6.3999999999999997E-6</v>
      </c>
      <c r="AB55">
        <v>18.600000000000001</v>
      </c>
      <c r="AC55" s="3">
        <v>0</v>
      </c>
      <c r="AD55" s="3">
        <f t="shared" si="10"/>
        <v>4.0024444444444442E-4</v>
      </c>
    </row>
    <row r="57" spans="1:31">
      <c r="V57" t="s">
        <v>40</v>
      </c>
      <c r="W57" t="s">
        <v>43</v>
      </c>
      <c r="X57" t="s">
        <v>98</v>
      </c>
      <c r="Y57" t="s">
        <v>95</v>
      </c>
      <c r="Z57" t="s">
        <v>96</v>
      </c>
      <c r="AA57" t="s">
        <v>97</v>
      </c>
      <c r="AB57" t="s">
        <v>100</v>
      </c>
      <c r="AC57" t="s">
        <v>99</v>
      </c>
      <c r="AD57" s="15" t="s">
        <v>99</v>
      </c>
    </row>
    <row r="58" spans="1:31">
      <c r="U58" t="s">
        <v>39</v>
      </c>
      <c r="V58">
        <v>0</v>
      </c>
      <c r="W58" s="3">
        <v>269500000000</v>
      </c>
      <c r="X58" s="3">
        <v>170000000000</v>
      </c>
      <c r="Y58" s="3">
        <v>1.0000000000000001E-5</v>
      </c>
      <c r="Z58" s="3">
        <v>1.0000000000000001E-5</v>
      </c>
      <c r="AA58" s="3">
        <v>1.0000000000000001E-5</v>
      </c>
      <c r="AB58">
        <v>0</v>
      </c>
      <c r="AC58" s="3">
        <v>0</v>
      </c>
      <c r="AD58" s="3">
        <f>AC58+X58*AB58*Y58/W58+X58*AB58*Z58/W58+AB58*AA58</f>
        <v>0</v>
      </c>
    </row>
    <row r="59" spans="1:31">
      <c r="A59" s="2" t="s">
        <v>51</v>
      </c>
      <c r="B59" t="s">
        <v>0</v>
      </c>
      <c r="C59" s="3">
        <v>175000000000</v>
      </c>
      <c r="F59" s="1" t="s">
        <v>0</v>
      </c>
      <c r="G59">
        <f>C59-C62^2/C60</f>
        <v>116176470588.23529</v>
      </c>
      <c r="J59" s="2" t="s">
        <v>14</v>
      </c>
      <c r="K59" s="2" t="s">
        <v>8</v>
      </c>
      <c r="L59" s="2" t="s">
        <v>9</v>
      </c>
      <c r="M59" s="2" t="s">
        <v>10</v>
      </c>
      <c r="N59" s="2" t="s">
        <v>11</v>
      </c>
      <c r="V59">
        <f>V58+0.2</f>
        <v>0.2</v>
      </c>
      <c r="W59" s="3">
        <v>240000000000</v>
      </c>
      <c r="X59" s="3">
        <v>145000000000</v>
      </c>
      <c r="Y59" s="3">
        <v>1.08E-5</v>
      </c>
      <c r="Z59" s="3">
        <v>1.08E-5</v>
      </c>
      <c r="AA59" s="3">
        <v>9.3000000000000007E-6</v>
      </c>
      <c r="AB59">
        <v>4</v>
      </c>
      <c r="AC59" s="3">
        <v>-3.6000000000000002E-4</v>
      </c>
      <c r="AD59" s="3">
        <f t="shared" ref="AD59:AD64" si="12">AC59+X59*AB59*Y59/W59+X59*AB59*Z59/W59+AB59*AA59</f>
        <v>-2.7060000000000007E-4</v>
      </c>
    </row>
    <row r="60" spans="1:31">
      <c r="B60" t="s">
        <v>1</v>
      </c>
      <c r="C60" s="3">
        <v>170000000000</v>
      </c>
      <c r="F60" s="14" t="s">
        <v>4</v>
      </c>
      <c r="G60">
        <f>C59-C62^2/C60</f>
        <v>116176470588.23529</v>
      </c>
      <c r="J60" s="2">
        <f>G59*(1-K60^2)</f>
        <v>101582278481.01265</v>
      </c>
      <c r="K60" s="2">
        <f>G61/G60</f>
        <v>0.35443037974683544</v>
      </c>
      <c r="L60" s="2">
        <f>0+G64</f>
        <v>37500000000</v>
      </c>
      <c r="M60" s="2">
        <f>G62*6/5</f>
        <v>60000000000</v>
      </c>
      <c r="N60" s="2">
        <f>G63*6/5</f>
        <v>60000000000</v>
      </c>
      <c r="V60">
        <f t="shared" ref="V60" si="13">V59+0.2</f>
        <v>0.4</v>
      </c>
      <c r="W60" s="3">
        <v>220000000000</v>
      </c>
      <c r="X60" s="3">
        <v>125000000000</v>
      </c>
      <c r="Y60" s="3">
        <v>1.1800000000000001E-5</v>
      </c>
      <c r="Z60" s="3">
        <v>1.1800000000000001E-5</v>
      </c>
      <c r="AA60" s="3">
        <v>8.6000000000000007E-6</v>
      </c>
      <c r="AB60">
        <v>7</v>
      </c>
      <c r="AC60" s="3">
        <v>-2.7999999999999998E-4</v>
      </c>
      <c r="AD60" s="3">
        <f t="shared" si="12"/>
        <v>-1.2593636363636358E-4</v>
      </c>
    </row>
    <row r="61" spans="1:31">
      <c r="B61" t="s">
        <v>2</v>
      </c>
      <c r="C61" s="3">
        <v>100000000000</v>
      </c>
      <c r="F61" s="1" t="s">
        <v>2</v>
      </c>
      <c r="G61">
        <f>C61-C62^2/C60</f>
        <v>41176470588.235291</v>
      </c>
      <c r="V61">
        <f>V60+0.1</f>
        <v>0.5</v>
      </c>
      <c r="W61" s="3">
        <v>215000000000</v>
      </c>
      <c r="X61" s="3">
        <v>120000000000</v>
      </c>
      <c r="Y61" s="3">
        <v>1.2300000000000001E-5</v>
      </c>
      <c r="Z61" s="3">
        <v>1.2300000000000001E-5</v>
      </c>
      <c r="AA61" s="3">
        <v>8.1999999999999994E-6</v>
      </c>
      <c r="AB61" s="5">
        <v>9</v>
      </c>
      <c r="AC61" s="3">
        <v>-2.3000000000000001E-4</v>
      </c>
      <c r="AD61" s="3">
        <f t="shared" si="12"/>
        <v>-3.2627906976744194E-5</v>
      </c>
    </row>
    <row r="62" spans="1:31">
      <c r="B62" t="s">
        <v>3</v>
      </c>
      <c r="C62" s="3">
        <v>100000000000</v>
      </c>
      <c r="F62" t="s">
        <v>5</v>
      </c>
      <c r="G62" s="3">
        <v>50000000000</v>
      </c>
      <c r="V62">
        <f>V60+0.2</f>
        <v>0.60000000000000009</v>
      </c>
      <c r="W62" s="3">
        <v>190000000000</v>
      </c>
      <c r="X62" s="3">
        <v>110000000000</v>
      </c>
      <c r="Y62" s="3">
        <v>1.29E-5</v>
      </c>
      <c r="Z62" s="3">
        <v>1.29E-5</v>
      </c>
      <c r="AA62" s="3">
        <v>7.7999999999999999E-6</v>
      </c>
      <c r="AB62">
        <v>11</v>
      </c>
      <c r="AC62" s="3">
        <v>-1.8000000000000001E-4</v>
      </c>
      <c r="AD62" s="3">
        <f t="shared" si="12"/>
        <v>7.010526315789472E-5</v>
      </c>
    </row>
    <row r="63" spans="1:31">
      <c r="F63" t="s">
        <v>6</v>
      </c>
      <c r="G63" s="3">
        <v>50000000000</v>
      </c>
      <c r="V63">
        <f>V62+0.2</f>
        <v>0.8</v>
      </c>
      <c r="W63" s="3">
        <v>170000000000</v>
      </c>
      <c r="X63" s="3">
        <v>100000000000</v>
      </c>
      <c r="Y63" s="3">
        <v>1.4100000000000001E-5</v>
      </c>
      <c r="Z63" s="3">
        <v>1.4100000000000001E-5</v>
      </c>
      <c r="AA63" s="3">
        <v>7.1999999999999997E-6</v>
      </c>
      <c r="AB63">
        <v>14</v>
      </c>
      <c r="AC63" s="3">
        <v>-8.5000000000000006E-5</v>
      </c>
      <c r="AD63" s="3">
        <f t="shared" si="12"/>
        <v>2.4803529411764703E-4</v>
      </c>
      <c r="AE63" s="3"/>
    </row>
    <row r="64" spans="1:31">
      <c r="F64" t="s">
        <v>7</v>
      </c>
      <c r="G64" s="3">
        <v>37500000000</v>
      </c>
      <c r="U64" t="s">
        <v>41</v>
      </c>
      <c r="V64">
        <f>V63+0.2</f>
        <v>1</v>
      </c>
      <c r="W64" s="3">
        <v>162000000000</v>
      </c>
      <c r="X64" s="3">
        <v>78000000000</v>
      </c>
      <c r="Y64" s="3">
        <v>1.5699999999999999E-5</v>
      </c>
      <c r="Z64" s="3">
        <v>1.5699999999999999E-5</v>
      </c>
      <c r="AA64" s="3">
        <v>6.3999999999999997E-6</v>
      </c>
      <c r="AB64">
        <v>18.600000000000001</v>
      </c>
      <c r="AC64" s="3">
        <v>0</v>
      </c>
      <c r="AD64" s="3">
        <f t="shared" si="12"/>
        <v>4.0024444444444442E-4</v>
      </c>
      <c r="AE64" s="3"/>
    </row>
    <row r="65" spans="1:31">
      <c r="AE65" s="3"/>
    </row>
    <row r="66" spans="1:31">
      <c r="A66" t="s">
        <v>84</v>
      </c>
      <c r="T66" t="s">
        <v>101</v>
      </c>
    </row>
    <row r="67" spans="1:31">
      <c r="A67" s="2" t="s">
        <v>85</v>
      </c>
      <c r="AE67" s="3"/>
    </row>
    <row r="68" spans="1:31">
      <c r="AE68" s="3"/>
    </row>
    <row r="69" spans="1:31">
      <c r="A69" s="2"/>
      <c r="B69" t="s">
        <v>0</v>
      </c>
      <c r="C69" s="3">
        <v>213000000000</v>
      </c>
      <c r="F69" s="1" t="s">
        <v>0</v>
      </c>
      <c r="G69">
        <f>C69-C72^2/C70</f>
        <v>151314009661.83575</v>
      </c>
      <c r="J69" s="2" t="s">
        <v>14</v>
      </c>
      <c r="K69" s="2" t="s">
        <v>8</v>
      </c>
      <c r="L69" s="2" t="s">
        <v>9</v>
      </c>
      <c r="M69" s="2" t="s">
        <v>10</v>
      </c>
      <c r="N69" s="2" t="s">
        <v>11</v>
      </c>
      <c r="AE69" s="3"/>
    </row>
    <row r="70" spans="1:31">
      <c r="B70" t="s">
        <v>1</v>
      </c>
      <c r="C70" s="3">
        <v>207000000000</v>
      </c>
      <c r="F70" s="14" t="s">
        <v>4</v>
      </c>
      <c r="G70">
        <f>C69-C72^2/C70</f>
        <v>151314009661.83575</v>
      </c>
      <c r="J70" s="2">
        <f>G69*(1-K70^2)</f>
        <v>133912266138.81618</v>
      </c>
      <c r="K70" s="2">
        <f>G71/G70</f>
        <v>0.33912266138816166</v>
      </c>
      <c r="L70" s="2">
        <f>0+G74</f>
        <v>50000000000</v>
      </c>
      <c r="M70" s="2">
        <f>G72*6/5</f>
        <v>60000000000</v>
      </c>
      <c r="N70" s="2">
        <f>G73*6/5</f>
        <v>60000000000</v>
      </c>
    </row>
    <row r="71" spans="1:31">
      <c r="B71" t="s">
        <v>2</v>
      </c>
      <c r="C71" s="3">
        <v>113000000000</v>
      </c>
      <c r="F71" s="1" t="s">
        <v>2</v>
      </c>
      <c r="G71">
        <f>C71-C72^2/C70</f>
        <v>51314009661.835747</v>
      </c>
    </row>
    <row r="72" spans="1:31">
      <c r="B72" t="s">
        <v>3</v>
      </c>
      <c r="C72" s="3">
        <v>113000000000</v>
      </c>
      <c r="E72" s="17" t="s">
        <v>88</v>
      </c>
      <c r="F72" s="17" t="s">
        <v>89</v>
      </c>
      <c r="G72" s="19">
        <v>50000000000</v>
      </c>
    </row>
    <row r="73" spans="1:31">
      <c r="F73" s="18" t="s">
        <v>90</v>
      </c>
      <c r="G73" s="19">
        <v>50000000000</v>
      </c>
    </row>
    <row r="74" spans="1:31">
      <c r="F74" s="18" t="s">
        <v>91</v>
      </c>
      <c r="G74" s="19">
        <v>50000000000</v>
      </c>
    </row>
    <row r="76" spans="1:31" ht="13.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>
      <selection activeCell="B25" sqref="B25"/>
    </sheetView>
  </sheetViews>
  <sheetFormatPr defaultRowHeight="14"/>
  <cols>
    <col min="2" max="8" width="9.26953125" bestFit="1" customWidth="1"/>
    <col min="9" max="9" width="10.453125" customWidth="1"/>
    <col min="10" max="10" width="10.90625" customWidth="1"/>
    <col min="11" max="11" width="11.81640625" customWidth="1"/>
    <col min="12" max="13" width="9.26953125" bestFit="1" customWidth="1"/>
    <col min="20" max="20" width="10.54296875" customWidth="1"/>
    <col min="21" max="21" width="10.1796875" customWidth="1"/>
    <col min="22" max="22" width="9.26953125" bestFit="1" customWidth="1"/>
  </cols>
  <sheetData>
    <row r="1" spans="1:22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>
      <c r="A2" t="s">
        <v>16</v>
      </c>
      <c r="B2" t="s">
        <v>12</v>
      </c>
    </row>
    <row r="3" spans="1:22">
      <c r="B3">
        <v>1</v>
      </c>
      <c r="C3" s="4">
        <v>116331314878.89301</v>
      </c>
      <c r="D3" s="4">
        <v>116331314878.89301</v>
      </c>
      <c r="E3" s="4">
        <v>0.30709342560553626</v>
      </c>
      <c r="F3" s="4">
        <v>0</v>
      </c>
      <c r="G3" s="4">
        <v>44500000000</v>
      </c>
      <c r="H3" s="4">
        <v>51600000000</v>
      </c>
      <c r="I3" s="4">
        <v>51600000000</v>
      </c>
      <c r="J3" s="3">
        <v>-4.3999999999999997E-9</v>
      </c>
      <c r="K3" s="3">
        <v>-3.08E-11</v>
      </c>
      <c r="L3" s="3">
        <v>0</v>
      </c>
      <c r="M3" s="3">
        <v>2E-3</v>
      </c>
      <c r="N3" s="3">
        <v>0</v>
      </c>
      <c r="O3" s="3">
        <v>0</v>
      </c>
      <c r="P3" s="3">
        <v>3.2100000000000003E-8</v>
      </c>
      <c r="Q3" s="3">
        <v>0</v>
      </c>
      <c r="R3" s="3">
        <v>1.0000000000000001E-5</v>
      </c>
      <c r="S3" s="3">
        <v>5800</v>
      </c>
      <c r="T3">
        <v>-3.0000000000000001E-3</v>
      </c>
      <c r="U3">
        <v>-1E-3</v>
      </c>
      <c r="V3">
        <v>2</v>
      </c>
    </row>
    <row r="4" spans="1:22">
      <c r="B4">
        <v>2</v>
      </c>
      <c r="C4" s="4">
        <v>154570780662.97198</v>
      </c>
      <c r="D4" s="4">
        <v>154570780662.97198</v>
      </c>
      <c r="E4" s="4">
        <v>0.36788301471656604</v>
      </c>
      <c r="F4" s="4">
        <v>0</v>
      </c>
      <c r="G4" s="4">
        <v>56500000000</v>
      </c>
      <c r="H4" s="4">
        <v>54360000000</v>
      </c>
      <c r="I4" s="4">
        <v>54360000000</v>
      </c>
      <c r="J4" s="3">
        <v>0</v>
      </c>
      <c r="K4" s="3">
        <v>0</v>
      </c>
      <c r="L4" s="3">
        <v>0</v>
      </c>
      <c r="M4" s="3">
        <v>2E-3</v>
      </c>
      <c r="N4" s="3">
        <v>580</v>
      </c>
      <c r="O4" s="3">
        <v>580</v>
      </c>
      <c r="P4" s="3">
        <v>9.3000000000000002E-11</v>
      </c>
      <c r="Q4" s="3">
        <v>0</v>
      </c>
      <c r="R4" s="3">
        <v>1.5699999999999999E-4</v>
      </c>
      <c r="S4" s="3">
        <v>5300</v>
      </c>
      <c r="T4">
        <v>-1E-3</v>
      </c>
      <c r="U4">
        <v>1E-3</v>
      </c>
      <c r="V4">
        <v>2</v>
      </c>
    </row>
    <row r="5" spans="1:22">
      <c r="B5">
        <v>3</v>
      </c>
      <c r="C5" s="4">
        <v>116331314878.89301</v>
      </c>
      <c r="D5" s="4">
        <v>116331314878.89301</v>
      </c>
      <c r="E5" s="4">
        <v>0.30709342560553626</v>
      </c>
      <c r="F5" s="4">
        <v>0</v>
      </c>
      <c r="G5" s="4">
        <v>44500000000</v>
      </c>
      <c r="H5" s="4">
        <v>51600000000</v>
      </c>
      <c r="I5" s="4">
        <v>51600000000</v>
      </c>
      <c r="J5" s="3">
        <v>-4.3999999999999997E-9</v>
      </c>
      <c r="K5" s="3">
        <v>-3.08E-11</v>
      </c>
      <c r="L5" s="3">
        <v>0</v>
      </c>
      <c r="M5" s="3">
        <v>2E-3</v>
      </c>
      <c r="N5" s="3">
        <v>0</v>
      </c>
      <c r="O5" s="3">
        <v>0</v>
      </c>
      <c r="P5" s="3">
        <v>3.2100000000000003E-8</v>
      </c>
      <c r="Q5" s="3">
        <v>0</v>
      </c>
      <c r="R5" s="3">
        <v>1.0000000000000001E-5</v>
      </c>
      <c r="S5" s="3">
        <v>5800</v>
      </c>
      <c r="T5">
        <v>1E-3</v>
      </c>
      <c r="U5">
        <v>3.0000000000000001E-3</v>
      </c>
      <c r="V5">
        <v>2</v>
      </c>
    </row>
    <row r="6" spans="1:22">
      <c r="C6" s="4"/>
      <c r="D6" s="4"/>
      <c r="E6" s="4"/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2">
      <c r="C7" s="4"/>
      <c r="D7" s="4"/>
      <c r="E7" s="4"/>
      <c r="F7" s="4"/>
      <c r="G7" s="4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2"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</row>
    <row r="9" spans="1:22">
      <c r="A9" t="s">
        <v>81</v>
      </c>
      <c r="B9" t="s">
        <v>12</v>
      </c>
    </row>
    <row r="10" spans="1:22">
      <c r="B10">
        <v>1</v>
      </c>
      <c r="C10" s="4">
        <v>154570780662.97198</v>
      </c>
      <c r="D10" s="4">
        <v>154570780662.97198</v>
      </c>
      <c r="E10" s="4">
        <v>0.36788301471656604</v>
      </c>
      <c r="F10" s="4">
        <v>0</v>
      </c>
      <c r="G10" s="4">
        <v>56500000000</v>
      </c>
      <c r="H10" s="4">
        <v>54360000000</v>
      </c>
      <c r="I10" s="4">
        <v>54360000000</v>
      </c>
      <c r="J10" s="3">
        <v>0</v>
      </c>
      <c r="K10" s="3">
        <v>0</v>
      </c>
      <c r="L10" s="3">
        <v>0</v>
      </c>
      <c r="M10" s="3">
        <v>2E-3</v>
      </c>
      <c r="N10" s="3">
        <v>580</v>
      </c>
      <c r="O10" s="3">
        <v>580</v>
      </c>
      <c r="P10" s="3">
        <v>9.3000000000000002E-11</v>
      </c>
      <c r="Q10" s="3">
        <v>0</v>
      </c>
      <c r="R10" s="3">
        <v>1.5699999999999999E-4</v>
      </c>
      <c r="S10" s="3">
        <v>5300</v>
      </c>
      <c r="T10">
        <v>-3.0000000000000001E-3</v>
      </c>
      <c r="U10">
        <v>-1E-3</v>
      </c>
      <c r="V10">
        <v>2</v>
      </c>
    </row>
    <row r="11" spans="1:22">
      <c r="B11">
        <v>2</v>
      </c>
      <c r="C11" s="4">
        <v>116331314878.89301</v>
      </c>
      <c r="D11" s="4">
        <v>116331314878.89301</v>
      </c>
      <c r="E11" s="4">
        <v>0.30709342560553626</v>
      </c>
      <c r="F11" s="4">
        <v>0</v>
      </c>
      <c r="G11" s="4">
        <v>44500000000</v>
      </c>
      <c r="H11" s="4">
        <v>51600000000</v>
      </c>
      <c r="I11" s="4">
        <v>51600000000</v>
      </c>
      <c r="J11" s="3">
        <v>-4.3999999999999997E-9</v>
      </c>
      <c r="K11" s="3">
        <v>-3.08E-11</v>
      </c>
      <c r="L11" s="3">
        <v>0</v>
      </c>
      <c r="M11" s="3">
        <v>2E-3</v>
      </c>
      <c r="N11" s="3">
        <v>0</v>
      </c>
      <c r="O11" s="3">
        <v>0</v>
      </c>
      <c r="P11" s="3">
        <v>3.2100000000000003E-8</v>
      </c>
      <c r="Q11" s="3">
        <v>0</v>
      </c>
      <c r="R11" s="3">
        <v>1.0000000000000001E-5</v>
      </c>
      <c r="S11" s="3">
        <v>5800</v>
      </c>
      <c r="T11">
        <v>-1E-3</v>
      </c>
      <c r="U11">
        <v>1E-3</v>
      </c>
      <c r="V11">
        <v>2</v>
      </c>
    </row>
    <row r="12" spans="1:22">
      <c r="B12">
        <v>3</v>
      </c>
      <c r="C12" s="4">
        <v>154570780662.97198</v>
      </c>
      <c r="D12" s="4">
        <v>154570780662.97198</v>
      </c>
      <c r="E12" s="4">
        <v>0.36788301471656604</v>
      </c>
      <c r="F12" s="4">
        <v>0</v>
      </c>
      <c r="G12" s="4">
        <v>56500000000</v>
      </c>
      <c r="H12" s="4">
        <v>54360000000</v>
      </c>
      <c r="I12" s="4">
        <v>54360000000</v>
      </c>
      <c r="J12" s="3">
        <v>0</v>
      </c>
      <c r="K12" s="3">
        <v>0</v>
      </c>
      <c r="L12" s="3">
        <v>0</v>
      </c>
      <c r="M12" s="3">
        <v>2E-3</v>
      </c>
      <c r="N12" s="3">
        <v>580</v>
      </c>
      <c r="O12" s="3">
        <v>580</v>
      </c>
      <c r="P12" s="3">
        <v>9.3000000000000002E-11</v>
      </c>
      <c r="Q12" s="3">
        <v>0</v>
      </c>
      <c r="R12" s="3">
        <v>1.5699999999999999E-4</v>
      </c>
      <c r="S12" s="3">
        <v>5300</v>
      </c>
      <c r="T12">
        <v>1E-3</v>
      </c>
      <c r="U12">
        <v>3.0000000000000001E-3</v>
      </c>
      <c r="V12">
        <v>2</v>
      </c>
    </row>
    <row r="13" spans="1:22"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</row>
    <row r="15" spans="1:22">
      <c r="A15" t="s">
        <v>16</v>
      </c>
      <c r="B15" t="s">
        <v>13</v>
      </c>
    </row>
    <row r="16" spans="1:22">
      <c r="B16">
        <v>1</v>
      </c>
      <c r="C16" s="4">
        <v>112000000000</v>
      </c>
      <c r="D16" s="4">
        <v>116000000000</v>
      </c>
      <c r="E16" s="4">
        <v>0.307</v>
      </c>
      <c r="F16" s="4">
        <v>0.32100000000000001</v>
      </c>
      <c r="G16" s="4">
        <v>43000000000</v>
      </c>
      <c r="H16" s="4">
        <v>43000000000</v>
      </c>
      <c r="I16" s="4">
        <v>44500000000</v>
      </c>
      <c r="J16" s="3">
        <v>-4.3999999999999997E-9</v>
      </c>
      <c r="K16" s="3">
        <v>-3.08E-11</v>
      </c>
      <c r="L16" s="3">
        <v>0</v>
      </c>
      <c r="M16" s="3">
        <v>2E-3</v>
      </c>
      <c r="N16" s="3">
        <v>0</v>
      </c>
      <c r="O16" s="3">
        <v>0</v>
      </c>
      <c r="P16" s="3">
        <v>3.2100000000000003E-8</v>
      </c>
      <c r="Q16" s="3">
        <v>0</v>
      </c>
      <c r="R16" s="3">
        <v>1.0000000000000001E-5</v>
      </c>
      <c r="S16" s="3">
        <v>5800</v>
      </c>
      <c r="T16">
        <v>-3.0000000000000001E-3</v>
      </c>
      <c r="U16">
        <v>-1E-3</v>
      </c>
      <c r="V16">
        <v>2</v>
      </c>
    </row>
    <row r="17" spans="1:22">
      <c r="B17">
        <v>2</v>
      </c>
      <c r="C17" s="4">
        <v>144000000000</v>
      </c>
      <c r="D17" s="4">
        <v>155000000000</v>
      </c>
      <c r="E17" s="4">
        <v>0.36799999999999999</v>
      </c>
      <c r="F17" s="4">
        <v>0.37</v>
      </c>
      <c r="G17" s="4">
        <v>45300000000</v>
      </c>
      <c r="H17" s="4">
        <v>45300000000</v>
      </c>
      <c r="I17" s="4">
        <v>51600000000</v>
      </c>
      <c r="J17" s="3">
        <v>0</v>
      </c>
      <c r="K17" s="3">
        <v>0</v>
      </c>
      <c r="L17" s="3">
        <v>0</v>
      </c>
      <c r="M17" s="3">
        <v>2E-3</v>
      </c>
      <c r="N17" s="3">
        <v>580</v>
      </c>
      <c r="O17" s="3">
        <v>580</v>
      </c>
      <c r="P17" s="3">
        <v>9.3000000000000002E-11</v>
      </c>
      <c r="Q17" s="3">
        <v>0</v>
      </c>
      <c r="R17" s="3">
        <v>1.5699999999999999E-4</v>
      </c>
      <c r="S17" s="3">
        <v>5300</v>
      </c>
      <c r="T17">
        <v>-1E-3</v>
      </c>
      <c r="U17">
        <v>1E-3</v>
      </c>
      <c r="V17">
        <v>2</v>
      </c>
    </row>
    <row r="18" spans="1:22">
      <c r="B18">
        <v>3</v>
      </c>
      <c r="C18" s="4">
        <v>112000000000</v>
      </c>
      <c r="D18" s="4">
        <v>116000000000</v>
      </c>
      <c r="E18" s="4">
        <v>0.307</v>
      </c>
      <c r="F18" s="4">
        <v>0.32100000000000001</v>
      </c>
      <c r="G18" s="4">
        <v>43000000000</v>
      </c>
      <c r="H18" s="4">
        <v>43000000000</v>
      </c>
      <c r="I18" s="4">
        <v>44500000000</v>
      </c>
      <c r="J18" s="3">
        <v>-4.3999999999999997E-9</v>
      </c>
      <c r="K18" s="3">
        <v>-3.08E-11</v>
      </c>
      <c r="L18" s="3">
        <v>0</v>
      </c>
      <c r="M18" s="3">
        <v>2E-3</v>
      </c>
      <c r="N18" s="3">
        <v>0</v>
      </c>
      <c r="O18" s="3">
        <v>0</v>
      </c>
      <c r="P18" s="3">
        <v>3.2100000000000003E-8</v>
      </c>
      <c r="Q18" s="3">
        <v>0</v>
      </c>
      <c r="R18" s="3">
        <v>1.0000000000000001E-5</v>
      </c>
      <c r="S18" s="3">
        <v>5800</v>
      </c>
      <c r="T18">
        <v>1E-3</v>
      </c>
      <c r="U18">
        <v>3.0000000000000001E-3</v>
      </c>
      <c r="V18">
        <v>2</v>
      </c>
    </row>
    <row r="20" spans="1:22">
      <c r="A20" t="s">
        <v>16</v>
      </c>
      <c r="B20" t="s">
        <v>15</v>
      </c>
    </row>
    <row r="21" spans="1:22">
      <c r="B21">
        <v>1</v>
      </c>
      <c r="C21" s="4">
        <v>129300000000</v>
      </c>
      <c r="D21" s="4">
        <v>129300000000</v>
      </c>
      <c r="E21" s="4">
        <v>0.47</v>
      </c>
      <c r="F21" s="4">
        <v>0</v>
      </c>
      <c r="G21" s="4">
        <v>44500000000</v>
      </c>
      <c r="H21" s="4">
        <v>51600000000</v>
      </c>
      <c r="I21" s="4">
        <v>51600000000</v>
      </c>
      <c r="J21" s="3">
        <v>-4.3999999999999997E-9</v>
      </c>
      <c r="K21" s="3">
        <v>-3.08E-11</v>
      </c>
      <c r="L21" s="3">
        <v>0</v>
      </c>
      <c r="M21" s="3">
        <v>2E-3</v>
      </c>
      <c r="N21" s="3">
        <v>0</v>
      </c>
      <c r="O21" s="3">
        <v>0</v>
      </c>
      <c r="P21" s="3">
        <v>3.2100000000000003E-8</v>
      </c>
      <c r="Q21" s="3">
        <v>0</v>
      </c>
      <c r="R21" s="3">
        <v>1.0000000000000001E-5</v>
      </c>
      <c r="S21" s="3">
        <v>5800</v>
      </c>
      <c r="T21">
        <v>-3.0000000000000001E-3</v>
      </c>
      <c r="U21">
        <v>-1E-3</v>
      </c>
      <c r="V21">
        <v>2</v>
      </c>
    </row>
    <row r="22" spans="1:22">
      <c r="B22">
        <v>2</v>
      </c>
      <c r="C22" s="4">
        <v>181000000000</v>
      </c>
      <c r="D22" s="4">
        <v>181000000000</v>
      </c>
      <c r="E22" s="4">
        <v>0.60499999999999998</v>
      </c>
      <c r="F22" s="4">
        <v>0</v>
      </c>
      <c r="G22" s="4">
        <v>56500000000</v>
      </c>
      <c r="H22" s="4">
        <v>54360000000</v>
      </c>
      <c r="I22" s="4">
        <v>54360000000</v>
      </c>
      <c r="J22" s="3">
        <v>0</v>
      </c>
      <c r="K22" s="3">
        <v>0</v>
      </c>
      <c r="L22" s="3">
        <v>0</v>
      </c>
      <c r="M22" s="3">
        <v>2E-3</v>
      </c>
      <c r="N22" s="3">
        <v>580</v>
      </c>
      <c r="O22" s="3">
        <v>580</v>
      </c>
      <c r="P22" s="3">
        <v>9.3000000000000002E-11</v>
      </c>
      <c r="Q22" s="3">
        <v>0</v>
      </c>
      <c r="R22" s="3">
        <v>1.5699999999999999E-4</v>
      </c>
      <c r="S22" s="3">
        <v>5300</v>
      </c>
      <c r="T22">
        <v>-1E-3</v>
      </c>
      <c r="U22">
        <v>1E-3</v>
      </c>
      <c r="V22">
        <v>2</v>
      </c>
    </row>
    <row r="23" spans="1:22">
      <c r="B23">
        <v>3</v>
      </c>
      <c r="C23" s="4">
        <v>129300000000</v>
      </c>
      <c r="D23" s="4">
        <v>129300000000</v>
      </c>
      <c r="E23" s="4">
        <v>0.47</v>
      </c>
      <c r="F23" s="4">
        <v>0</v>
      </c>
      <c r="G23" s="4">
        <v>44500000000</v>
      </c>
      <c r="H23" s="4">
        <v>51600000000</v>
      </c>
      <c r="I23" s="4">
        <v>51600000000</v>
      </c>
      <c r="J23" s="3">
        <v>-4.3999999999999997E-9</v>
      </c>
      <c r="K23" s="3">
        <v>-3.08E-11</v>
      </c>
      <c r="L23" s="3">
        <v>0</v>
      </c>
      <c r="M23" s="3">
        <v>2E-3</v>
      </c>
      <c r="N23" s="3">
        <v>0</v>
      </c>
      <c r="O23" s="3">
        <v>0</v>
      </c>
      <c r="P23" s="3">
        <v>3.2100000000000003E-8</v>
      </c>
      <c r="Q23" s="3">
        <v>0</v>
      </c>
      <c r="R23" s="3">
        <v>1.0000000000000001E-5</v>
      </c>
      <c r="S23" s="3">
        <v>5800</v>
      </c>
      <c r="T23">
        <v>1E-3</v>
      </c>
      <c r="U23">
        <v>3.0000000000000001E-3</v>
      </c>
      <c r="V23">
        <v>2</v>
      </c>
    </row>
    <row r="26" spans="1:2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8" spans="1:2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31" spans="1:22">
      <c r="C31" s="3"/>
      <c r="D31" s="3"/>
      <c r="E31" s="3"/>
      <c r="F31" s="3"/>
      <c r="G31" s="6"/>
      <c r="H31" s="6"/>
      <c r="I31" s="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5"/>
    </row>
    <row r="32" spans="1:22">
      <c r="C32" s="3"/>
      <c r="D32" s="3"/>
      <c r="E32" s="3"/>
      <c r="F32" s="3"/>
      <c r="G32" s="6"/>
      <c r="H32" s="6"/>
      <c r="I32" s="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V32" s="5"/>
    </row>
    <row r="33" spans="3:22">
      <c r="C33" s="3"/>
      <c r="D33" s="3"/>
      <c r="E33" s="3"/>
      <c r="F33" s="3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U33" s="3"/>
      <c r="V33" s="5"/>
    </row>
    <row r="34" spans="3:22">
      <c r="C34" s="3"/>
      <c r="D34" s="3"/>
      <c r="E34" s="3"/>
      <c r="F34" s="3"/>
      <c r="G34" s="6"/>
      <c r="H34" s="6"/>
      <c r="I34" s="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</row>
    <row r="35" spans="3:22">
      <c r="V35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selection activeCell="D26" sqref="D26"/>
    </sheetView>
  </sheetViews>
  <sheetFormatPr defaultRowHeight="14"/>
  <cols>
    <col min="3" max="3" width="8.7265625" customWidth="1"/>
    <col min="4" max="4" width="19" bestFit="1" customWidth="1"/>
    <col min="5" max="5" width="11.7265625" customWidth="1"/>
    <col min="6" max="6" width="11.90625" customWidth="1"/>
    <col min="7" max="7" width="10.26953125" bestFit="1" customWidth="1"/>
    <col min="8" max="8" width="10.08984375" customWidth="1"/>
    <col min="9" max="9" width="12" customWidth="1"/>
    <col min="10" max="10" width="13.1796875" customWidth="1"/>
    <col min="11" max="11" width="11.36328125" customWidth="1"/>
    <col min="12" max="12" width="10.90625" customWidth="1"/>
    <col min="13" max="13" width="11.36328125" customWidth="1"/>
    <col min="14" max="14" width="12.08984375" customWidth="1"/>
    <col min="15" max="15" width="10.08984375" customWidth="1"/>
    <col min="16" max="16" width="10.54296875" customWidth="1"/>
    <col min="17" max="17" width="11.453125" customWidth="1"/>
    <col min="18" max="18" width="9.6328125" customWidth="1"/>
    <col min="19" max="19" width="10.36328125" customWidth="1"/>
    <col min="20" max="20" width="10.26953125" bestFit="1" customWidth="1"/>
    <col min="21" max="21" width="11.08984375" customWidth="1"/>
    <col min="22" max="22" width="11.26953125" customWidth="1"/>
    <col min="23" max="23" width="12.26953125" customWidth="1"/>
  </cols>
  <sheetData>
    <row r="1" spans="1:24"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 spans="1:24">
      <c r="B2" t="s">
        <v>40</v>
      </c>
    </row>
    <row r="3" spans="1:24">
      <c r="A3" s="8" t="s">
        <v>39</v>
      </c>
      <c r="B3">
        <v>0</v>
      </c>
      <c r="C3">
        <v>1</v>
      </c>
      <c r="D3" s="7">
        <v>154570780662.97198</v>
      </c>
      <c r="E3" s="7">
        <v>154570780662.97198</v>
      </c>
      <c r="F3" s="7">
        <v>0.36788301471656604</v>
      </c>
      <c r="G3" s="7">
        <v>0</v>
      </c>
      <c r="H3" s="7">
        <v>56500000000</v>
      </c>
      <c r="I3" s="7">
        <v>54360000000</v>
      </c>
      <c r="J3" s="7">
        <v>54360000000</v>
      </c>
      <c r="K3" s="7">
        <v>0</v>
      </c>
      <c r="L3" s="7">
        <v>0</v>
      </c>
      <c r="M3" s="7">
        <v>0</v>
      </c>
      <c r="N3" s="7"/>
      <c r="O3" s="7">
        <v>138.44155844155841</v>
      </c>
      <c r="P3" s="7">
        <v>138.44155844155841</v>
      </c>
      <c r="Q3" s="7">
        <v>9.3000000000000002E-11</v>
      </c>
      <c r="R3" s="7">
        <v>0</v>
      </c>
      <c r="S3" s="7">
        <v>1.5881818181818182E-4</v>
      </c>
      <c r="T3" s="7">
        <v>5300</v>
      </c>
      <c r="U3" s="7"/>
      <c r="V3" s="7"/>
    </row>
    <row r="4" spans="1:24">
      <c r="B4">
        <v>0.2</v>
      </c>
      <c r="C4">
        <v>2</v>
      </c>
      <c r="D4" s="7">
        <v>141397305965.3624</v>
      </c>
      <c r="E4" s="7">
        <v>141397305965.3624</v>
      </c>
      <c r="F4" s="7">
        <v>0.35958948043617706</v>
      </c>
      <c r="G4" s="7">
        <v>0</v>
      </c>
      <c r="H4" s="7">
        <v>52000000000</v>
      </c>
      <c r="I4" s="7">
        <v>54000000000</v>
      </c>
      <c r="J4" s="7">
        <v>54000000000</v>
      </c>
      <c r="K4" s="7">
        <v>-2.0019022600661199E-11</v>
      </c>
      <c r="L4" s="7">
        <v>-2.0019022600661199E-11</v>
      </c>
      <c r="M4" s="7">
        <v>0</v>
      </c>
      <c r="N4" s="7"/>
      <c r="O4" s="7">
        <v>77.708333333333314</v>
      </c>
      <c r="P4" s="7">
        <v>77.708333333333314</v>
      </c>
      <c r="Q4" s="7">
        <v>2.5666666666666669E-9</v>
      </c>
      <c r="R4" s="7">
        <v>1.1166666666666666E-8</v>
      </c>
      <c r="S4" s="7">
        <v>1.3426041666666667E-4</v>
      </c>
      <c r="T4" s="7">
        <v>5400</v>
      </c>
      <c r="U4" s="7"/>
      <c r="V4" s="7"/>
    </row>
    <row r="5" spans="1:24">
      <c r="B5">
        <f>B4+0.2</f>
        <v>0.4</v>
      </c>
      <c r="C5">
        <v>3</v>
      </c>
      <c r="D5" s="7">
        <v>135055350553.506</v>
      </c>
      <c r="E5" s="7">
        <v>135055350553.506</v>
      </c>
      <c r="F5" s="7">
        <v>0.35055350553505532</v>
      </c>
      <c r="G5" s="7">
        <v>0</v>
      </c>
      <c r="H5" s="7">
        <v>50000000000</v>
      </c>
      <c r="I5" s="7">
        <v>54000000000</v>
      </c>
      <c r="J5" s="7">
        <v>54000000000</v>
      </c>
      <c r="K5" s="7">
        <v>-3.3578678982055999E-11</v>
      </c>
      <c r="L5" s="7">
        <v>-3.3578678982055999E-11</v>
      </c>
      <c r="M5" s="7">
        <v>0</v>
      </c>
      <c r="N5" s="7"/>
      <c r="O5" s="7">
        <v>84.090909090909093</v>
      </c>
      <c r="P5" s="7">
        <v>84.090909090909093</v>
      </c>
      <c r="Q5" s="7">
        <v>5.2227272727272726E-9</v>
      </c>
      <c r="R5" s="7">
        <v>1.4840909090909091E-8</v>
      </c>
      <c r="S5" s="7">
        <v>1.0065636363636364E-4</v>
      </c>
      <c r="T5" s="7">
        <v>5500</v>
      </c>
      <c r="U5" s="7"/>
      <c r="V5" s="7"/>
    </row>
    <row r="6" spans="1:24">
      <c r="B6">
        <f>B5+0.2</f>
        <v>0.60000000000000009</v>
      </c>
      <c r="C6">
        <v>4</v>
      </c>
      <c r="D6" s="7">
        <v>120579150579.15059</v>
      </c>
      <c r="E6" s="7">
        <v>120579150579.15059</v>
      </c>
      <c r="F6" s="7">
        <v>0.33976833976833981</v>
      </c>
      <c r="G6" s="7">
        <v>0</v>
      </c>
      <c r="H6" s="7">
        <v>45000000000</v>
      </c>
      <c r="I6" s="7">
        <v>54000000000</v>
      </c>
      <c r="J6" s="7">
        <v>54000000000</v>
      </c>
      <c r="K6" s="7">
        <v>-5.4052573932092003E-11</v>
      </c>
      <c r="L6" s="7">
        <v>-5.4052573932092003E-11</v>
      </c>
      <c r="M6" s="7">
        <v>0</v>
      </c>
      <c r="N6" s="7"/>
      <c r="O6" s="7">
        <v>49.473684210526329</v>
      </c>
      <c r="P6" s="7">
        <v>49.473684210526329</v>
      </c>
      <c r="Q6" s="7">
        <v>8.136842105263158E-9</v>
      </c>
      <c r="R6" s="7">
        <v>1.7552631578947367E-8</v>
      </c>
      <c r="S6" s="7">
        <v>7.5355789473684207E-5</v>
      </c>
      <c r="T6" s="7">
        <v>5600</v>
      </c>
      <c r="U6" s="7"/>
      <c r="V6" s="7"/>
    </row>
    <row r="7" spans="1:24">
      <c r="B7">
        <f>B6+0.2</f>
        <v>0.8</v>
      </c>
      <c r="C7">
        <v>5</v>
      </c>
      <c r="D7" s="7">
        <v>101582278481.013</v>
      </c>
      <c r="E7" s="7">
        <v>101582278481.013</v>
      </c>
      <c r="F7" s="7">
        <v>0.35443037974683544</v>
      </c>
      <c r="G7" s="7">
        <v>0</v>
      </c>
      <c r="H7" s="7">
        <v>37500000000</v>
      </c>
      <c r="I7" s="7">
        <v>60000000000</v>
      </c>
      <c r="J7" s="7">
        <v>60000000000</v>
      </c>
      <c r="K7" s="7">
        <v>-7.7509529860228706E-11</v>
      </c>
      <c r="L7" s="7">
        <v>-7.7509529860228706E-11</v>
      </c>
      <c r="M7" s="7">
        <v>0</v>
      </c>
      <c r="N7" s="7"/>
      <c r="O7" s="7">
        <v>29.411764705882348</v>
      </c>
      <c r="P7" s="7">
        <v>29.411764705882348</v>
      </c>
      <c r="Q7" s="7">
        <v>1.1152941176470588E-8</v>
      </c>
      <c r="R7" s="7">
        <v>1.1382352941176471E-8</v>
      </c>
      <c r="S7" s="7">
        <v>5.0084705882352946E-5</v>
      </c>
      <c r="T7" s="7">
        <v>5700</v>
      </c>
      <c r="U7" s="7"/>
      <c r="V7" s="7"/>
    </row>
    <row r="8" spans="1:24">
      <c r="A8" s="8" t="s">
        <v>41</v>
      </c>
      <c r="B8">
        <f>B7+0.2</f>
        <v>1</v>
      </c>
      <c r="C8">
        <v>6</v>
      </c>
      <c r="D8" s="7">
        <v>116331314878.89301</v>
      </c>
      <c r="E8" s="7">
        <v>116331314878.89301</v>
      </c>
      <c r="F8" s="7">
        <v>0.30709342560553626</v>
      </c>
      <c r="G8" s="7">
        <v>0</v>
      </c>
      <c r="H8" s="7">
        <v>44500000000</v>
      </c>
      <c r="I8" s="7">
        <v>51600000000</v>
      </c>
      <c r="J8" s="7">
        <v>51600000000</v>
      </c>
      <c r="K8" s="7">
        <v>-7.9837940896091497E-11</v>
      </c>
      <c r="L8" s="7">
        <v>-7.9837940896091497E-11</v>
      </c>
      <c r="M8" s="7">
        <v>0</v>
      </c>
      <c r="N8" s="7"/>
      <c r="O8" s="7">
        <v>0</v>
      </c>
      <c r="P8" s="7">
        <v>0</v>
      </c>
      <c r="Q8" s="7">
        <v>1.4735555555555557E-8</v>
      </c>
      <c r="R8" s="7">
        <v>0</v>
      </c>
      <c r="S8" s="7">
        <v>1.0000000000000001E-5</v>
      </c>
      <c r="T8" s="7">
        <v>5800</v>
      </c>
      <c r="U8" s="7"/>
      <c r="V8" s="7"/>
    </row>
    <row r="10" spans="1:24">
      <c r="C10">
        <v>1</v>
      </c>
      <c r="D10" s="7">
        <v>139500000000</v>
      </c>
      <c r="E10" s="7">
        <v>139500000000</v>
      </c>
      <c r="F10" s="7">
        <v>0.55000000000000004</v>
      </c>
      <c r="G10" s="7">
        <v>0</v>
      </c>
      <c r="H10" s="7">
        <v>45000000000</v>
      </c>
      <c r="I10" s="7">
        <v>54000000000</v>
      </c>
      <c r="J10" s="7">
        <v>54000000000</v>
      </c>
      <c r="K10" s="7">
        <v>-1.1290000000000001E-11</v>
      </c>
      <c r="L10" s="7">
        <v>-1.1290000000000001E-11</v>
      </c>
      <c r="M10" s="7">
        <v>0</v>
      </c>
      <c r="N10" s="7">
        <v>2.0000000000000001E-4</v>
      </c>
      <c r="O10" s="7">
        <v>200</v>
      </c>
      <c r="P10" s="7">
        <v>200</v>
      </c>
      <c r="Q10" s="7">
        <v>7.5770000000000006E-9</v>
      </c>
      <c r="R10" s="7">
        <v>2.5000000000000001E-9</v>
      </c>
      <c r="S10" s="7">
        <v>7.4999999999999993E-5</v>
      </c>
      <c r="T10" s="7">
        <v>0</v>
      </c>
      <c r="U10" s="3">
        <v>-5.9999999999999995E-4</v>
      </c>
      <c r="V10" s="3">
        <v>-4.0000000000000002E-4</v>
      </c>
      <c r="W10">
        <v>2</v>
      </c>
    </row>
    <row r="11" spans="1:24">
      <c r="C11">
        <v>1</v>
      </c>
      <c r="D11" s="7">
        <v>120579150579.15059</v>
      </c>
      <c r="E11" s="7">
        <v>120579150579.15059</v>
      </c>
      <c r="F11" s="7">
        <v>0.33976833976833981</v>
      </c>
      <c r="G11" s="7">
        <v>0</v>
      </c>
      <c r="H11" s="7">
        <v>45000000000</v>
      </c>
      <c r="I11" s="7">
        <v>54000000000</v>
      </c>
      <c r="J11" s="7">
        <v>54000000000</v>
      </c>
      <c r="K11" s="7">
        <v>-5.4052573932092003E-11</v>
      </c>
      <c r="L11" s="7">
        <v>-5.4052573932092003E-11</v>
      </c>
      <c r="M11" s="7">
        <v>0</v>
      </c>
      <c r="N11" s="3">
        <v>2.0000000000000001E-4</v>
      </c>
      <c r="O11" s="7">
        <v>49.473684210526329</v>
      </c>
      <c r="P11" s="7">
        <v>49.473684210526329</v>
      </c>
      <c r="Q11" s="7">
        <v>8.136842105263158E-9</v>
      </c>
      <c r="R11" s="7">
        <v>1.7552631578947367E-8</v>
      </c>
      <c r="S11" s="7">
        <v>7.5355789473684207E-5</v>
      </c>
      <c r="T11" s="7">
        <v>5600</v>
      </c>
      <c r="U11" s="3">
        <v>-5.9999999999999995E-4</v>
      </c>
      <c r="V11" s="3">
        <v>-4.0000000000000002E-4</v>
      </c>
      <c r="W11">
        <v>2</v>
      </c>
    </row>
    <row r="15" spans="1:24">
      <c r="C15" s="9" t="s">
        <v>82</v>
      </c>
      <c r="D15" s="10" t="s">
        <v>57</v>
      </c>
      <c r="E15" s="11" t="s">
        <v>58</v>
      </c>
      <c r="F15" s="11" t="s">
        <v>59</v>
      </c>
      <c r="G15" s="11" t="s">
        <v>60</v>
      </c>
      <c r="H15" s="11" t="s">
        <v>61</v>
      </c>
      <c r="I15" s="11" t="s">
        <v>62</v>
      </c>
      <c r="J15" s="11" t="s">
        <v>63</v>
      </c>
      <c r="K15" s="11" t="s">
        <v>64</v>
      </c>
      <c r="L15" s="11" t="s">
        <v>65</v>
      </c>
      <c r="M15" s="11" t="s">
        <v>66</v>
      </c>
      <c r="N15" s="11" t="s">
        <v>67</v>
      </c>
      <c r="O15" s="11" t="s">
        <v>68</v>
      </c>
      <c r="P15" s="11" t="s">
        <v>69</v>
      </c>
      <c r="Q15" s="11" t="s">
        <v>70</v>
      </c>
      <c r="R15" s="11" t="s">
        <v>71</v>
      </c>
      <c r="S15" s="11" t="s">
        <v>72</v>
      </c>
      <c r="T15" s="11" t="s">
        <v>73</v>
      </c>
      <c r="U15" s="11" t="s">
        <v>74</v>
      </c>
      <c r="V15" s="11" t="s">
        <v>75</v>
      </c>
      <c r="W15" s="11" t="s">
        <v>76</v>
      </c>
      <c r="X15" s="11" t="s">
        <v>77</v>
      </c>
    </row>
    <row r="16" spans="1:24">
      <c r="C16" t="s">
        <v>79</v>
      </c>
      <c r="D16">
        <v>1</v>
      </c>
      <c r="E16" s="7">
        <v>116331314878.89301</v>
      </c>
      <c r="F16" s="7">
        <v>116331314878.89301</v>
      </c>
      <c r="G16" s="7">
        <v>0.30709342560553626</v>
      </c>
      <c r="H16" s="7">
        <v>0</v>
      </c>
      <c r="I16" s="7">
        <v>44500000000</v>
      </c>
      <c r="J16" s="7">
        <v>51600000000</v>
      </c>
      <c r="K16" s="7">
        <v>51600000000</v>
      </c>
      <c r="L16" s="7">
        <v>-7.9837940896091497E-11</v>
      </c>
      <c r="M16" s="7">
        <v>-7.9837940896091497E-11</v>
      </c>
      <c r="N16" s="7">
        <v>0</v>
      </c>
      <c r="O16" s="12">
        <v>5.0000000000000001E-4</v>
      </c>
      <c r="P16" s="7">
        <v>0</v>
      </c>
      <c r="Q16" s="7">
        <v>0</v>
      </c>
      <c r="R16" s="7">
        <v>1.4735555555555557E-8</v>
      </c>
      <c r="S16" s="7">
        <v>0</v>
      </c>
      <c r="T16" s="13">
        <v>1.0000000000000001E-5</v>
      </c>
      <c r="U16" s="7">
        <v>5800</v>
      </c>
      <c r="V16" s="7">
        <v>-2.7499999999999998E-3</v>
      </c>
      <c r="W16" s="7">
        <v>-2.2499999999999998E-3</v>
      </c>
      <c r="X16" s="5">
        <v>2</v>
      </c>
    </row>
    <row r="17" spans="3:24">
      <c r="C17">
        <v>0.8</v>
      </c>
      <c r="D17">
        <v>2</v>
      </c>
      <c r="E17" s="7">
        <v>101582278481.013</v>
      </c>
      <c r="F17" s="7">
        <v>101582278481.013</v>
      </c>
      <c r="G17" s="7">
        <v>0.35443037974683544</v>
      </c>
      <c r="H17" s="7">
        <v>0</v>
      </c>
      <c r="I17" s="7">
        <v>37500000000</v>
      </c>
      <c r="J17" s="7">
        <v>60000000000</v>
      </c>
      <c r="K17" s="7">
        <v>60000000000</v>
      </c>
      <c r="L17" s="7">
        <v>-7.7509529860228706E-11</v>
      </c>
      <c r="M17" s="7">
        <v>-7.7509529860228706E-11</v>
      </c>
      <c r="N17" s="7">
        <v>0</v>
      </c>
      <c r="O17" s="12">
        <v>5.0000000000000001E-4</v>
      </c>
      <c r="P17" s="7">
        <v>29.411764705882348</v>
      </c>
      <c r="Q17" s="7">
        <v>29.411764705882348</v>
      </c>
      <c r="R17" s="7">
        <v>1.1152941176470588E-8</v>
      </c>
      <c r="S17" s="7">
        <v>1.1382352941176471E-8</v>
      </c>
      <c r="T17" s="13">
        <v>5.0084705882352946E-5</v>
      </c>
      <c r="U17" s="7">
        <v>5700</v>
      </c>
      <c r="V17" s="7">
        <v>-2.2499999999999998E-3</v>
      </c>
      <c r="W17" s="7">
        <v>-1.75E-3</v>
      </c>
      <c r="X17" s="5">
        <v>2</v>
      </c>
    </row>
    <row r="18" spans="3:24">
      <c r="C18">
        <v>0.60000000000000009</v>
      </c>
      <c r="D18">
        <v>3</v>
      </c>
      <c r="E18" s="7">
        <v>120579150579.15059</v>
      </c>
      <c r="F18" s="7">
        <v>120579150579.15059</v>
      </c>
      <c r="G18" s="7">
        <v>0.33976833976833981</v>
      </c>
      <c r="H18" s="7">
        <v>0</v>
      </c>
      <c r="I18" s="7">
        <v>45000000000</v>
      </c>
      <c r="J18" s="7">
        <v>54000000000</v>
      </c>
      <c r="K18" s="7">
        <v>54000000000</v>
      </c>
      <c r="L18" s="7">
        <v>-5.4052573932092003E-11</v>
      </c>
      <c r="M18" s="7">
        <v>-5.4052573932092003E-11</v>
      </c>
      <c r="N18" s="7">
        <v>0</v>
      </c>
      <c r="O18" s="12">
        <v>5.0000000000000001E-4</v>
      </c>
      <c r="P18" s="7">
        <v>49.473684210526329</v>
      </c>
      <c r="Q18" s="7">
        <v>49.473684210526329</v>
      </c>
      <c r="R18" s="7">
        <v>8.136842105263158E-9</v>
      </c>
      <c r="S18" s="7">
        <v>1.7552631578947367E-8</v>
      </c>
      <c r="T18" s="13">
        <v>7.5355789473684207E-5</v>
      </c>
      <c r="U18" s="7">
        <v>5600</v>
      </c>
      <c r="V18" s="7">
        <v>-1.75E-3</v>
      </c>
      <c r="W18" s="7">
        <v>-1.25E-3</v>
      </c>
      <c r="X18" s="5">
        <v>2</v>
      </c>
    </row>
    <row r="19" spans="3:24">
      <c r="C19">
        <v>0.40000000000000008</v>
      </c>
      <c r="D19">
        <v>4</v>
      </c>
      <c r="E19" s="7">
        <v>135055350553.506</v>
      </c>
      <c r="F19" s="7">
        <v>135055350553.506</v>
      </c>
      <c r="G19" s="7">
        <v>0.35055350553505532</v>
      </c>
      <c r="H19" s="7">
        <v>0</v>
      </c>
      <c r="I19" s="7">
        <v>50000000000</v>
      </c>
      <c r="J19" s="7">
        <v>54000000000</v>
      </c>
      <c r="K19" s="7">
        <v>54000000000</v>
      </c>
      <c r="L19" s="7">
        <v>-3.3578678982055999E-11</v>
      </c>
      <c r="M19" s="7">
        <v>-3.3578678982055999E-11</v>
      </c>
      <c r="N19" s="7">
        <v>0</v>
      </c>
      <c r="O19" s="12">
        <v>5.0000000000000001E-4</v>
      </c>
      <c r="P19" s="7">
        <v>84.090909090909093</v>
      </c>
      <c r="Q19" s="7">
        <v>84.090909090909093</v>
      </c>
      <c r="R19" s="7">
        <v>5.2227272727272726E-9</v>
      </c>
      <c r="S19" s="7">
        <v>1.4840909090909091E-8</v>
      </c>
      <c r="T19" s="13">
        <v>1.0065636363636364E-4</v>
      </c>
      <c r="U19" s="7">
        <v>5500</v>
      </c>
      <c r="V19" s="7">
        <v>-1.25E-3</v>
      </c>
      <c r="W19" s="7">
        <v>-7.5000000000000002E-4</v>
      </c>
      <c r="X19" s="5">
        <v>2</v>
      </c>
    </row>
    <row r="20" spans="3:24">
      <c r="C20">
        <v>0.20000000000000007</v>
      </c>
      <c r="D20">
        <v>5</v>
      </c>
      <c r="E20" s="7">
        <v>141397305965.3624</v>
      </c>
      <c r="F20" s="7">
        <v>141397305965.3624</v>
      </c>
      <c r="G20" s="7">
        <v>0.35958948043617706</v>
      </c>
      <c r="H20" s="7">
        <v>0</v>
      </c>
      <c r="I20" s="7">
        <v>52000000000</v>
      </c>
      <c r="J20" s="7">
        <v>54000000000</v>
      </c>
      <c r="K20" s="7">
        <v>54000000000</v>
      </c>
      <c r="L20" s="7">
        <v>-2.0019022600661199E-11</v>
      </c>
      <c r="M20" s="7">
        <v>-2.0019022600661199E-11</v>
      </c>
      <c r="N20" s="7">
        <v>0</v>
      </c>
      <c r="O20" s="12">
        <v>5.0000000000000001E-4</v>
      </c>
      <c r="P20" s="7">
        <v>77.708333333333314</v>
      </c>
      <c r="Q20" s="7">
        <v>77.708333333333314</v>
      </c>
      <c r="R20" s="7">
        <v>2.5666666666666669E-9</v>
      </c>
      <c r="S20" s="7">
        <v>1.1166666666666666E-8</v>
      </c>
      <c r="T20" s="13">
        <v>1.3426041666666667E-4</v>
      </c>
      <c r="U20" s="7">
        <v>5400</v>
      </c>
      <c r="V20" s="7">
        <v>-7.5000000000000002E-4</v>
      </c>
      <c r="W20" s="7">
        <v>-2.5000000000000001E-4</v>
      </c>
      <c r="X20" s="5">
        <v>2</v>
      </c>
    </row>
    <row r="21" spans="3:24">
      <c r="C21" t="s">
        <v>78</v>
      </c>
      <c r="D21">
        <v>6</v>
      </c>
      <c r="E21" s="7">
        <v>154570780662.97198</v>
      </c>
      <c r="F21" s="7">
        <v>154570780662.97198</v>
      </c>
      <c r="G21" s="7">
        <v>0.36788301471656604</v>
      </c>
      <c r="H21" s="7">
        <v>0</v>
      </c>
      <c r="I21" s="7">
        <v>56500000000</v>
      </c>
      <c r="J21" s="7">
        <v>54360000000</v>
      </c>
      <c r="K21" s="7">
        <v>54360000000</v>
      </c>
      <c r="L21" s="7">
        <v>0</v>
      </c>
      <c r="M21" s="7">
        <v>0</v>
      </c>
      <c r="N21" s="7">
        <v>0</v>
      </c>
      <c r="O21" s="12">
        <v>5.0000000000000001E-4</v>
      </c>
      <c r="P21" s="7">
        <v>138.44155844155841</v>
      </c>
      <c r="Q21" s="7">
        <v>138.44155844155841</v>
      </c>
      <c r="R21" s="7">
        <v>9.3000000000000002E-11</v>
      </c>
      <c r="S21" s="7">
        <v>0</v>
      </c>
      <c r="T21" s="13">
        <v>1.5881818181818182E-4</v>
      </c>
      <c r="U21" s="7">
        <v>5300</v>
      </c>
      <c r="V21" s="7">
        <v>-2.5000000000000001E-4</v>
      </c>
      <c r="W21" s="7">
        <v>2.5000000000000001E-4</v>
      </c>
      <c r="X21" s="5">
        <v>2</v>
      </c>
    </row>
    <row r="22" spans="3:24">
      <c r="C22">
        <v>0.2</v>
      </c>
      <c r="D22">
        <v>7</v>
      </c>
      <c r="E22" s="7">
        <v>141397305965.3624</v>
      </c>
      <c r="F22" s="7">
        <v>141397305965.3624</v>
      </c>
      <c r="G22" s="7">
        <v>0.35958948043617706</v>
      </c>
      <c r="H22" s="7">
        <v>0</v>
      </c>
      <c r="I22" s="7">
        <v>52000000000</v>
      </c>
      <c r="J22" s="7">
        <v>54000000000</v>
      </c>
      <c r="K22" s="7">
        <v>54000000000</v>
      </c>
      <c r="L22" s="7">
        <v>-2.0019022600661199E-11</v>
      </c>
      <c r="M22" s="7">
        <v>-2.0019022600661199E-11</v>
      </c>
      <c r="N22" s="7">
        <v>0</v>
      </c>
      <c r="O22" s="12">
        <v>5.0000000000000001E-4</v>
      </c>
      <c r="P22" s="7">
        <v>77.708333333333314</v>
      </c>
      <c r="Q22" s="7">
        <v>77.708333333333314</v>
      </c>
      <c r="R22" s="7">
        <v>2.5666666666666669E-9</v>
      </c>
      <c r="S22" s="7">
        <v>1.1166666666666666E-8</v>
      </c>
      <c r="T22" s="13">
        <v>1.3426041666666667E-4</v>
      </c>
      <c r="U22" s="7">
        <v>5400</v>
      </c>
      <c r="V22" s="7">
        <v>2.5000000000000001E-4</v>
      </c>
      <c r="W22" s="7">
        <v>7.5000000000000002E-4</v>
      </c>
      <c r="X22" s="5">
        <v>2</v>
      </c>
    </row>
    <row r="23" spans="3:24">
      <c r="C23">
        <v>0.4</v>
      </c>
      <c r="D23">
        <v>8</v>
      </c>
      <c r="E23" s="7">
        <v>135055350553.506</v>
      </c>
      <c r="F23" s="7">
        <v>135055350553.506</v>
      </c>
      <c r="G23" s="7">
        <v>0.35055350553505532</v>
      </c>
      <c r="H23" s="7">
        <v>0</v>
      </c>
      <c r="I23" s="7">
        <v>50000000000</v>
      </c>
      <c r="J23" s="7">
        <v>54000000000</v>
      </c>
      <c r="K23" s="7">
        <v>54000000000</v>
      </c>
      <c r="L23" s="7">
        <v>-3.3578678982055999E-11</v>
      </c>
      <c r="M23" s="7">
        <v>-3.3578678982055999E-11</v>
      </c>
      <c r="N23" s="7">
        <v>0</v>
      </c>
      <c r="O23" s="12">
        <v>5.0000000000000001E-4</v>
      </c>
      <c r="P23" s="7">
        <v>84.090909090909093</v>
      </c>
      <c r="Q23" s="7">
        <v>84.090909090909093</v>
      </c>
      <c r="R23" s="7">
        <v>5.2227272727272726E-9</v>
      </c>
      <c r="S23" s="7">
        <v>1.4840909090909091E-8</v>
      </c>
      <c r="T23" s="13">
        <v>1.0065636363636364E-4</v>
      </c>
      <c r="U23" s="7">
        <v>5500</v>
      </c>
      <c r="V23" s="7">
        <v>7.5000000000000002E-4</v>
      </c>
      <c r="W23" s="7">
        <v>1.25E-3</v>
      </c>
      <c r="X23" s="5">
        <v>2</v>
      </c>
    </row>
    <row r="24" spans="3:24">
      <c r="C24">
        <v>0.60000000000000009</v>
      </c>
      <c r="D24">
        <v>9</v>
      </c>
      <c r="E24" s="7">
        <v>120579150579.15059</v>
      </c>
      <c r="F24" s="7">
        <v>120579150579.15059</v>
      </c>
      <c r="G24" s="7">
        <v>0.33976833976833981</v>
      </c>
      <c r="H24" s="7">
        <v>0</v>
      </c>
      <c r="I24" s="7">
        <v>45000000000</v>
      </c>
      <c r="J24" s="7">
        <v>54000000000</v>
      </c>
      <c r="K24" s="7">
        <v>54000000000</v>
      </c>
      <c r="L24" s="7">
        <v>-5.4052573932092003E-11</v>
      </c>
      <c r="M24" s="7">
        <v>-5.4052573932092003E-11</v>
      </c>
      <c r="N24" s="7">
        <v>0</v>
      </c>
      <c r="O24" s="12">
        <v>5.0000000000000001E-4</v>
      </c>
      <c r="P24" s="7">
        <v>49.473684210526329</v>
      </c>
      <c r="Q24" s="7">
        <v>49.473684210526329</v>
      </c>
      <c r="R24" s="7">
        <v>8.136842105263158E-9</v>
      </c>
      <c r="S24" s="7">
        <v>1.7552631578947367E-8</v>
      </c>
      <c r="T24" s="13">
        <v>7.5355789473684207E-5</v>
      </c>
      <c r="U24" s="7">
        <v>5600</v>
      </c>
      <c r="V24" s="7">
        <v>1.25E-3</v>
      </c>
      <c r="W24" s="7">
        <v>1.75E-3</v>
      </c>
      <c r="X24" s="5">
        <v>2</v>
      </c>
    </row>
    <row r="25" spans="3:24">
      <c r="C25">
        <v>0.8</v>
      </c>
      <c r="D25">
        <v>10</v>
      </c>
      <c r="E25" s="7">
        <v>101582278481.013</v>
      </c>
      <c r="F25" s="7">
        <v>101582278481.013</v>
      </c>
      <c r="G25" s="7">
        <v>0.35443037974683544</v>
      </c>
      <c r="H25" s="7">
        <v>0</v>
      </c>
      <c r="I25" s="7">
        <v>37500000000</v>
      </c>
      <c r="J25" s="7">
        <v>60000000000</v>
      </c>
      <c r="K25" s="7">
        <v>60000000000</v>
      </c>
      <c r="L25" s="7">
        <v>-7.7509529860228706E-11</v>
      </c>
      <c r="M25" s="7">
        <v>-7.7509529860228706E-11</v>
      </c>
      <c r="N25" s="7">
        <v>0</v>
      </c>
      <c r="O25" s="12">
        <v>5.0000000000000001E-4</v>
      </c>
      <c r="P25" s="7">
        <v>29.411764705882348</v>
      </c>
      <c r="Q25" s="7">
        <v>29.411764705882348</v>
      </c>
      <c r="R25" s="7">
        <v>1.1152941176470588E-8</v>
      </c>
      <c r="S25" s="7">
        <v>1.1382352941176471E-8</v>
      </c>
      <c r="T25" s="13">
        <v>5.0084705882352946E-5</v>
      </c>
      <c r="U25" s="7">
        <v>5700</v>
      </c>
      <c r="V25" s="7">
        <v>1.75E-3</v>
      </c>
      <c r="W25" s="7">
        <v>2.2499999999999998E-3</v>
      </c>
      <c r="X25" s="5">
        <v>2</v>
      </c>
    </row>
    <row r="26" spans="3:24">
      <c r="C26" t="s">
        <v>79</v>
      </c>
      <c r="D26">
        <v>11</v>
      </c>
      <c r="E26" s="7">
        <v>116331314878.89301</v>
      </c>
      <c r="F26" s="7">
        <v>116331314878.89301</v>
      </c>
      <c r="G26" s="7">
        <v>0.30709342560553626</v>
      </c>
      <c r="H26" s="7">
        <v>0</v>
      </c>
      <c r="I26" s="7">
        <v>44500000000</v>
      </c>
      <c r="J26" s="7">
        <v>51600000000</v>
      </c>
      <c r="K26" s="7">
        <v>51600000000</v>
      </c>
      <c r="L26" s="7">
        <v>-7.9837940896091497E-11</v>
      </c>
      <c r="M26" s="7">
        <v>-7.9837940896091497E-11</v>
      </c>
      <c r="N26" s="7">
        <v>0</v>
      </c>
      <c r="O26" s="12">
        <v>5.0000000000000001E-4</v>
      </c>
      <c r="P26" s="7">
        <v>0</v>
      </c>
      <c r="Q26" s="7">
        <v>0</v>
      </c>
      <c r="R26" s="7">
        <v>1.4735555555555557E-8</v>
      </c>
      <c r="S26" s="7">
        <v>0</v>
      </c>
      <c r="T26" s="13">
        <v>1.0000000000000001E-5</v>
      </c>
      <c r="U26" s="7">
        <v>5800</v>
      </c>
      <c r="V26" s="7">
        <v>2.2499999999999998E-3</v>
      </c>
      <c r="W26" s="7">
        <v>2.7499999999999998E-3</v>
      </c>
      <c r="X26" s="5">
        <v>2</v>
      </c>
    </row>
    <row r="32" spans="3:24">
      <c r="C32" s="9" t="s">
        <v>83</v>
      </c>
      <c r="D32" s="10" t="s">
        <v>57</v>
      </c>
      <c r="E32" s="11" t="s">
        <v>58</v>
      </c>
      <c r="F32" s="11" t="s">
        <v>59</v>
      </c>
      <c r="G32" s="11" t="s">
        <v>60</v>
      </c>
      <c r="H32" s="11" t="s">
        <v>61</v>
      </c>
      <c r="I32" s="11" t="s">
        <v>62</v>
      </c>
      <c r="J32" s="11" t="s">
        <v>63</v>
      </c>
      <c r="K32" s="11" t="s">
        <v>64</v>
      </c>
      <c r="L32" s="11" t="s">
        <v>65</v>
      </c>
      <c r="M32" s="11" t="s">
        <v>66</v>
      </c>
      <c r="N32" s="11" t="s">
        <v>67</v>
      </c>
      <c r="O32" s="11" t="s">
        <v>68</v>
      </c>
      <c r="P32" s="11" t="s">
        <v>69</v>
      </c>
      <c r="Q32" s="11" t="s">
        <v>70</v>
      </c>
      <c r="R32" s="11" t="s">
        <v>71</v>
      </c>
      <c r="S32" s="11" t="s">
        <v>72</v>
      </c>
      <c r="T32" s="11" t="s">
        <v>73</v>
      </c>
      <c r="U32" s="11" t="s">
        <v>74</v>
      </c>
      <c r="V32" s="11" t="s">
        <v>75</v>
      </c>
      <c r="W32" s="11" t="s">
        <v>76</v>
      </c>
      <c r="X32" s="11" t="s">
        <v>77</v>
      </c>
    </row>
    <row r="33" spans="3:24">
      <c r="C33" t="s">
        <v>80</v>
      </c>
      <c r="D33">
        <v>1</v>
      </c>
      <c r="E33" s="7">
        <v>154570780662.97198</v>
      </c>
      <c r="F33" s="7">
        <v>154570780662.97198</v>
      </c>
      <c r="G33" s="7">
        <v>0.36788301471656604</v>
      </c>
      <c r="H33" s="7">
        <v>0</v>
      </c>
      <c r="I33" s="7">
        <v>56500000000</v>
      </c>
      <c r="J33" s="7">
        <v>54360000000</v>
      </c>
      <c r="K33" s="7">
        <v>54360000000</v>
      </c>
      <c r="L33" s="7">
        <v>0</v>
      </c>
      <c r="M33" s="7">
        <v>0</v>
      </c>
      <c r="N33" s="7">
        <v>0</v>
      </c>
      <c r="O33" s="12">
        <v>5.0000000000000001E-4</v>
      </c>
      <c r="P33" s="7">
        <v>138.44155844155841</v>
      </c>
      <c r="Q33" s="7">
        <v>138.44155844155841</v>
      </c>
      <c r="R33" s="7">
        <v>9.3000000000000002E-11</v>
      </c>
      <c r="S33" s="7">
        <v>0</v>
      </c>
      <c r="T33" s="13">
        <v>1.5881818181818182E-4</v>
      </c>
      <c r="U33" s="7">
        <v>5300</v>
      </c>
      <c r="V33" s="7">
        <v>-2.7499999999999998E-3</v>
      </c>
      <c r="W33" s="7">
        <v>-2.2499999999999998E-3</v>
      </c>
      <c r="X33" s="5">
        <v>2</v>
      </c>
    </row>
    <row r="34" spans="3:24">
      <c r="C34">
        <v>0.2</v>
      </c>
      <c r="D34">
        <v>2</v>
      </c>
      <c r="E34" s="7">
        <v>141397305965.3624</v>
      </c>
      <c r="F34" s="7">
        <v>141397305965.3624</v>
      </c>
      <c r="G34" s="7">
        <v>0.35958948043617706</v>
      </c>
      <c r="H34" s="7">
        <v>0</v>
      </c>
      <c r="I34" s="7">
        <v>52000000000</v>
      </c>
      <c r="J34" s="7">
        <v>54000000000</v>
      </c>
      <c r="K34" s="7">
        <v>54000000000</v>
      </c>
      <c r="L34" s="7">
        <v>-2.0019022600661199E-11</v>
      </c>
      <c r="M34" s="7">
        <v>-2.0019022600661199E-11</v>
      </c>
      <c r="N34" s="7">
        <v>0</v>
      </c>
      <c r="O34" s="12">
        <v>5.0000000000000001E-4</v>
      </c>
      <c r="P34" s="7">
        <v>77.708333333333314</v>
      </c>
      <c r="Q34" s="7">
        <v>77.708333333333314</v>
      </c>
      <c r="R34" s="7">
        <v>2.5666666666666669E-9</v>
      </c>
      <c r="S34" s="7">
        <v>1.1166666666666666E-8</v>
      </c>
      <c r="T34" s="13">
        <v>1.3426041666666667E-4</v>
      </c>
      <c r="U34" s="7">
        <v>5400</v>
      </c>
      <c r="V34" s="7">
        <v>-2.2499999999999998E-3</v>
      </c>
      <c r="W34" s="7">
        <v>-1.75E-3</v>
      </c>
      <c r="X34" s="5">
        <v>2</v>
      </c>
    </row>
    <row r="35" spans="3:24">
      <c r="C35">
        <v>0.4</v>
      </c>
      <c r="D35">
        <v>3</v>
      </c>
      <c r="E35" s="7">
        <v>135055350553.506</v>
      </c>
      <c r="F35" s="7">
        <v>135055350553.506</v>
      </c>
      <c r="G35" s="7">
        <v>0.35055350553505532</v>
      </c>
      <c r="H35" s="7">
        <v>0</v>
      </c>
      <c r="I35" s="7">
        <v>50000000000</v>
      </c>
      <c r="J35" s="7">
        <v>54000000000</v>
      </c>
      <c r="K35" s="7">
        <v>54000000000</v>
      </c>
      <c r="L35" s="7">
        <v>-3.3578678982055999E-11</v>
      </c>
      <c r="M35" s="7">
        <v>-3.3578678982055999E-11</v>
      </c>
      <c r="N35" s="7">
        <v>0</v>
      </c>
      <c r="O35" s="12">
        <v>5.0000000000000001E-4</v>
      </c>
      <c r="P35" s="7">
        <v>84.090909090909093</v>
      </c>
      <c r="Q35" s="7">
        <v>84.090909090909093</v>
      </c>
      <c r="R35" s="7">
        <v>5.2227272727272726E-9</v>
      </c>
      <c r="S35" s="7">
        <v>1.4840909090909091E-8</v>
      </c>
      <c r="T35" s="13">
        <v>1.0065636363636364E-4</v>
      </c>
      <c r="U35" s="7">
        <v>5500</v>
      </c>
      <c r="V35" s="7">
        <v>-1.75E-3</v>
      </c>
      <c r="W35" s="7">
        <v>-1.25E-3</v>
      </c>
      <c r="X35" s="5">
        <v>2</v>
      </c>
    </row>
    <row r="36" spans="3:24">
      <c r="C36">
        <v>0.6</v>
      </c>
      <c r="D36">
        <v>4</v>
      </c>
      <c r="E36" s="7">
        <v>120579150579.15059</v>
      </c>
      <c r="F36" s="7">
        <v>120579150579.15059</v>
      </c>
      <c r="G36" s="7">
        <v>0.33976833976833981</v>
      </c>
      <c r="H36" s="7">
        <v>0</v>
      </c>
      <c r="I36" s="7">
        <v>45000000000</v>
      </c>
      <c r="J36" s="7">
        <v>54000000000</v>
      </c>
      <c r="K36" s="7">
        <v>54000000000</v>
      </c>
      <c r="L36" s="7">
        <v>-5.4052573932092003E-11</v>
      </c>
      <c r="M36" s="7">
        <v>-5.4052573932092003E-11</v>
      </c>
      <c r="N36" s="7">
        <v>0</v>
      </c>
      <c r="O36" s="12">
        <v>5.0000000000000001E-4</v>
      </c>
      <c r="P36" s="7">
        <v>49.473684210526329</v>
      </c>
      <c r="Q36" s="7">
        <v>49.473684210526329</v>
      </c>
      <c r="R36" s="7">
        <v>8.136842105263158E-9</v>
      </c>
      <c r="S36" s="7">
        <v>1.7552631578947367E-8</v>
      </c>
      <c r="T36" s="13">
        <v>7.5355789473684207E-5</v>
      </c>
      <c r="U36" s="7">
        <v>5600</v>
      </c>
      <c r="V36" s="7">
        <v>-1.25E-3</v>
      </c>
      <c r="W36" s="7">
        <v>-7.5000000000000002E-4</v>
      </c>
      <c r="X36" s="5">
        <v>2</v>
      </c>
    </row>
    <row r="37" spans="3:24">
      <c r="C37">
        <v>0.8</v>
      </c>
      <c r="D37">
        <v>5</v>
      </c>
      <c r="E37" s="7">
        <v>101582278481.013</v>
      </c>
      <c r="F37" s="7">
        <v>101582278481.013</v>
      </c>
      <c r="G37" s="7">
        <v>0.35443037974683544</v>
      </c>
      <c r="H37" s="7">
        <v>0</v>
      </c>
      <c r="I37" s="7">
        <v>37500000000</v>
      </c>
      <c r="J37" s="7">
        <v>60000000000</v>
      </c>
      <c r="K37" s="7">
        <v>60000000000</v>
      </c>
      <c r="L37" s="7">
        <v>-7.7509529860228706E-11</v>
      </c>
      <c r="M37" s="7">
        <v>-7.7509529860228706E-11</v>
      </c>
      <c r="N37" s="7">
        <v>0</v>
      </c>
      <c r="O37" s="12">
        <v>5.0000000000000001E-4</v>
      </c>
      <c r="P37" s="7">
        <v>29.411764705882348</v>
      </c>
      <c r="Q37" s="7">
        <v>29.411764705882348</v>
      </c>
      <c r="R37" s="7">
        <v>1.1152941176470588E-8</v>
      </c>
      <c r="S37" s="7">
        <v>1.1382352941176471E-8</v>
      </c>
      <c r="T37" s="13">
        <v>5.0084705882352946E-5</v>
      </c>
      <c r="U37" s="7">
        <v>5700</v>
      </c>
      <c r="V37" s="7">
        <v>-7.5000000000000002E-4</v>
      </c>
      <c r="W37" s="7">
        <v>-2.5000000000000001E-4</v>
      </c>
      <c r="X37" s="5">
        <v>2</v>
      </c>
    </row>
    <row r="38" spans="3:24">
      <c r="C38" t="s">
        <v>79</v>
      </c>
      <c r="D38">
        <v>6</v>
      </c>
      <c r="E38" s="7">
        <v>116331314878.89301</v>
      </c>
      <c r="F38" s="7">
        <v>116331314878.89301</v>
      </c>
      <c r="G38" s="7">
        <v>0.30709342560553626</v>
      </c>
      <c r="H38" s="7">
        <v>0</v>
      </c>
      <c r="I38" s="7">
        <v>44500000000</v>
      </c>
      <c r="J38" s="7">
        <v>51600000000</v>
      </c>
      <c r="K38" s="7">
        <v>51600000000</v>
      </c>
      <c r="L38" s="7">
        <v>-7.9837940896091497E-11</v>
      </c>
      <c r="M38" s="7">
        <v>-7.9837940896091497E-11</v>
      </c>
      <c r="N38" s="7">
        <v>0</v>
      </c>
      <c r="O38" s="12">
        <v>5.0000000000000001E-4</v>
      </c>
      <c r="P38" s="7">
        <v>0</v>
      </c>
      <c r="Q38" s="7">
        <v>0</v>
      </c>
      <c r="R38" s="7">
        <v>1.4735555555555557E-8</v>
      </c>
      <c r="S38" s="7">
        <v>0</v>
      </c>
      <c r="T38" s="13">
        <v>1.0000000000000001E-5</v>
      </c>
      <c r="U38" s="7">
        <v>5800</v>
      </c>
      <c r="V38" s="7">
        <v>-2.5000000000000001E-4</v>
      </c>
      <c r="W38" s="7">
        <v>2.5000000000000001E-4</v>
      </c>
      <c r="X38" s="5">
        <v>2</v>
      </c>
    </row>
    <row r="39" spans="3:24">
      <c r="C39">
        <v>0.8</v>
      </c>
      <c r="D39">
        <v>7</v>
      </c>
      <c r="E39" s="7">
        <v>101582278481.013</v>
      </c>
      <c r="F39" s="7">
        <v>101582278481.013</v>
      </c>
      <c r="G39" s="7">
        <v>0.35443037974683544</v>
      </c>
      <c r="H39" s="7">
        <v>0</v>
      </c>
      <c r="I39" s="7">
        <v>37500000000</v>
      </c>
      <c r="J39" s="7">
        <v>60000000000</v>
      </c>
      <c r="K39" s="7">
        <v>60000000000</v>
      </c>
      <c r="L39" s="7">
        <v>-7.7509529860228706E-11</v>
      </c>
      <c r="M39" s="7">
        <v>-7.7509529860228706E-11</v>
      </c>
      <c r="N39" s="7">
        <v>0</v>
      </c>
      <c r="O39" s="12">
        <v>5.0000000000000001E-4</v>
      </c>
      <c r="P39" s="7">
        <v>29.411764705882348</v>
      </c>
      <c r="Q39" s="7">
        <v>29.411764705882348</v>
      </c>
      <c r="R39" s="7">
        <v>1.1152941176470588E-8</v>
      </c>
      <c r="S39" s="7">
        <v>1.1382352941176471E-8</v>
      </c>
      <c r="T39" s="13">
        <v>5.0084705882352946E-5</v>
      </c>
      <c r="U39" s="7">
        <v>5700</v>
      </c>
      <c r="V39" s="7">
        <v>2.5000000000000001E-4</v>
      </c>
      <c r="W39" s="7">
        <v>7.5000000000000002E-4</v>
      </c>
      <c r="X39" s="5">
        <v>2</v>
      </c>
    </row>
    <row r="40" spans="3:24">
      <c r="C40">
        <v>0.6</v>
      </c>
      <c r="D40">
        <v>8</v>
      </c>
      <c r="E40" s="7">
        <v>120579150579.15059</v>
      </c>
      <c r="F40" s="7">
        <v>120579150579.15059</v>
      </c>
      <c r="G40" s="7">
        <v>0.33976833976833981</v>
      </c>
      <c r="H40" s="7">
        <v>0</v>
      </c>
      <c r="I40" s="7">
        <v>45000000000</v>
      </c>
      <c r="J40" s="7">
        <v>54000000000</v>
      </c>
      <c r="K40" s="7">
        <v>54000000000</v>
      </c>
      <c r="L40" s="7">
        <v>-5.4052573932092003E-11</v>
      </c>
      <c r="M40" s="7">
        <v>-5.4052573932092003E-11</v>
      </c>
      <c r="N40" s="7">
        <v>0</v>
      </c>
      <c r="O40" s="12">
        <v>5.0000000000000001E-4</v>
      </c>
      <c r="P40" s="7">
        <v>49.473684210526329</v>
      </c>
      <c r="Q40" s="7">
        <v>49.473684210526329</v>
      </c>
      <c r="R40" s="7">
        <v>8.136842105263158E-9</v>
      </c>
      <c r="S40" s="7">
        <v>1.7552631578947367E-8</v>
      </c>
      <c r="T40" s="13">
        <v>7.5355789473684207E-5</v>
      </c>
      <c r="U40" s="7">
        <v>5600</v>
      </c>
      <c r="V40" s="7">
        <v>7.5000000000000002E-4</v>
      </c>
      <c r="W40" s="7">
        <v>1.25E-3</v>
      </c>
      <c r="X40" s="5">
        <v>2</v>
      </c>
    </row>
    <row r="41" spans="3:24">
      <c r="C41">
        <v>0.4</v>
      </c>
      <c r="D41">
        <v>9</v>
      </c>
      <c r="E41" s="7">
        <v>135055350553.506</v>
      </c>
      <c r="F41" s="7">
        <v>135055350553.506</v>
      </c>
      <c r="G41" s="7">
        <v>0.35055350553505532</v>
      </c>
      <c r="H41" s="7">
        <v>0</v>
      </c>
      <c r="I41" s="7">
        <v>50000000000</v>
      </c>
      <c r="J41" s="7">
        <v>54000000000</v>
      </c>
      <c r="K41" s="7">
        <v>54000000000</v>
      </c>
      <c r="L41" s="7">
        <v>-3.3578678982055999E-11</v>
      </c>
      <c r="M41" s="7">
        <v>-3.3578678982055999E-11</v>
      </c>
      <c r="N41" s="7">
        <v>0</v>
      </c>
      <c r="O41" s="12">
        <v>5.0000000000000001E-4</v>
      </c>
      <c r="P41" s="7">
        <v>84.090909090909093</v>
      </c>
      <c r="Q41" s="7">
        <v>84.090909090909093</v>
      </c>
      <c r="R41" s="7">
        <v>5.2227272727272726E-9</v>
      </c>
      <c r="S41" s="7">
        <v>1.4840909090909091E-8</v>
      </c>
      <c r="T41" s="13">
        <v>1.0065636363636364E-4</v>
      </c>
      <c r="U41" s="7">
        <v>5500</v>
      </c>
      <c r="V41" s="7">
        <v>1.25E-3</v>
      </c>
      <c r="W41" s="7">
        <v>1.75E-3</v>
      </c>
      <c r="X41" s="5">
        <v>2</v>
      </c>
    </row>
    <row r="42" spans="3:24">
      <c r="C42">
        <v>0.2</v>
      </c>
      <c r="D42">
        <v>10</v>
      </c>
      <c r="E42" s="7">
        <v>141397305965.3624</v>
      </c>
      <c r="F42" s="7">
        <v>141397305965.3624</v>
      </c>
      <c r="G42" s="7">
        <v>0.35958948043617706</v>
      </c>
      <c r="H42" s="7">
        <v>0</v>
      </c>
      <c r="I42" s="7">
        <v>52000000000</v>
      </c>
      <c r="J42" s="7">
        <v>54000000000</v>
      </c>
      <c r="K42" s="7">
        <v>54000000000</v>
      </c>
      <c r="L42" s="7">
        <v>-2.0019022600661199E-11</v>
      </c>
      <c r="M42" s="7">
        <v>-2.0019022600661199E-11</v>
      </c>
      <c r="N42" s="7">
        <v>0</v>
      </c>
      <c r="O42" s="12">
        <v>5.0000000000000001E-4</v>
      </c>
      <c r="P42" s="7">
        <v>77.708333333333314</v>
      </c>
      <c r="Q42" s="7">
        <v>77.708333333333314</v>
      </c>
      <c r="R42" s="7">
        <v>2.5666666666666669E-9</v>
      </c>
      <c r="S42" s="7">
        <v>1.1166666666666666E-8</v>
      </c>
      <c r="T42" s="13">
        <v>1.3426041666666667E-4</v>
      </c>
      <c r="U42" s="7">
        <v>5400</v>
      </c>
      <c r="V42" s="7">
        <v>1.75E-3</v>
      </c>
      <c r="W42" s="7">
        <v>2.2499999999999998E-3</v>
      </c>
      <c r="X42" s="5">
        <v>2</v>
      </c>
    </row>
    <row r="43" spans="3:24">
      <c r="C43" t="s">
        <v>80</v>
      </c>
      <c r="D43">
        <v>11</v>
      </c>
      <c r="E43" s="7">
        <v>154570780662.97198</v>
      </c>
      <c r="F43" s="7">
        <v>154570780662.97198</v>
      </c>
      <c r="G43" s="7">
        <v>0.36788301471656604</v>
      </c>
      <c r="H43" s="7">
        <v>0</v>
      </c>
      <c r="I43" s="7">
        <v>56500000000</v>
      </c>
      <c r="J43" s="7">
        <v>54360000000</v>
      </c>
      <c r="K43" s="7">
        <v>54360000000</v>
      </c>
      <c r="L43" s="7">
        <v>0</v>
      </c>
      <c r="M43" s="7">
        <v>0</v>
      </c>
      <c r="N43" s="7">
        <v>0</v>
      </c>
      <c r="O43" s="12">
        <v>5.0000000000000001E-4</v>
      </c>
      <c r="P43" s="7">
        <v>138.44155844155841</v>
      </c>
      <c r="Q43" s="7">
        <v>138.44155844155841</v>
      </c>
      <c r="R43" s="7">
        <v>9.3000000000000002E-11</v>
      </c>
      <c r="S43" s="7">
        <v>0</v>
      </c>
      <c r="T43" s="13">
        <v>1.5881818181818182E-4</v>
      </c>
      <c r="U43" s="7">
        <v>5300</v>
      </c>
      <c r="V43" s="7">
        <v>2.2499999999999998E-3</v>
      </c>
      <c r="W43" s="7">
        <v>2.7499999999999998E-3</v>
      </c>
      <c r="X43" s="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Views>
    <sheetView tabSelected="1" workbookViewId="0">
      <selection activeCell="J16" sqref="J16"/>
    </sheetView>
  </sheetViews>
  <sheetFormatPr defaultRowHeight="14"/>
  <cols>
    <col min="1" max="1" width="14.54296875" customWidth="1"/>
    <col min="2" max="2" width="12.6328125" customWidth="1"/>
    <col min="3" max="3" width="11.36328125" customWidth="1"/>
    <col min="4" max="4" width="11" customWidth="1"/>
    <col min="5" max="5" width="11.08984375" customWidth="1"/>
    <col min="6" max="6" width="11.26953125" customWidth="1"/>
    <col min="7" max="7" width="10.90625" customWidth="1"/>
    <col min="8" max="8" width="12.36328125" customWidth="1"/>
    <col min="9" max="9" width="10.81640625" customWidth="1"/>
    <col min="10" max="11" width="10.26953125" customWidth="1"/>
    <col min="12" max="20" width="9.26953125" bestFit="1" customWidth="1"/>
    <col min="21" max="21" width="10.6328125" customWidth="1"/>
    <col min="22" max="22" width="11.36328125" customWidth="1"/>
    <col min="23" max="23" width="9.26953125" bestFit="1" customWidth="1"/>
    <col min="24" max="24" width="10.08984375" customWidth="1"/>
    <col min="25" max="25" width="11.453125" customWidth="1"/>
    <col min="26" max="26" width="9.26953125" bestFit="1" customWidth="1"/>
  </cols>
  <sheetData>
    <row r="1" spans="1:27">
      <c r="A1" t="s">
        <v>103</v>
      </c>
    </row>
    <row r="2" spans="1:27">
      <c r="A2" s="2" t="s">
        <v>108</v>
      </c>
      <c r="B2" s="21" t="s">
        <v>18</v>
      </c>
      <c r="C2" s="21" t="s">
        <v>19</v>
      </c>
      <c r="D2" s="21" t="s">
        <v>20</v>
      </c>
      <c r="E2" s="21" t="s">
        <v>21</v>
      </c>
      <c r="F2" s="21" t="s">
        <v>22</v>
      </c>
      <c r="G2" s="21" t="s">
        <v>23</v>
      </c>
      <c r="H2" s="21" t="s">
        <v>24</v>
      </c>
      <c r="I2" s="21" t="s">
        <v>25</v>
      </c>
      <c r="J2" s="21" t="s">
        <v>26</v>
      </c>
      <c r="K2" s="21" t="s">
        <v>27</v>
      </c>
      <c r="L2" s="21" t="s">
        <v>28</v>
      </c>
      <c r="M2" s="21" t="s">
        <v>29</v>
      </c>
      <c r="N2" s="21" t="s">
        <v>30</v>
      </c>
      <c r="O2" s="21" t="s">
        <v>31</v>
      </c>
      <c r="P2" s="21" t="s">
        <v>32</v>
      </c>
      <c r="Q2" s="21" t="s">
        <v>33</v>
      </c>
      <c r="R2" s="21" t="s">
        <v>34</v>
      </c>
      <c r="S2" s="22" t="s">
        <v>104</v>
      </c>
      <c r="T2" s="23" t="s">
        <v>105</v>
      </c>
      <c r="U2" s="23" t="s">
        <v>106</v>
      </c>
      <c r="V2" s="23" t="s">
        <v>107</v>
      </c>
      <c r="W2" s="24" t="s">
        <v>110</v>
      </c>
      <c r="X2" s="21" t="s">
        <v>35</v>
      </c>
      <c r="Y2" s="21" t="s">
        <v>36</v>
      </c>
      <c r="Z2" s="21" t="s">
        <v>37</v>
      </c>
      <c r="AA2" s="21" t="s">
        <v>38</v>
      </c>
    </row>
    <row r="3" spans="1:27">
      <c r="A3" s="20" t="s">
        <v>111</v>
      </c>
      <c r="B3">
        <v>1</v>
      </c>
      <c r="C3" s="3">
        <v>155000000000</v>
      </c>
      <c r="D3" s="3">
        <v>155000000000</v>
      </c>
      <c r="E3" s="3">
        <v>0.54500000000000004</v>
      </c>
      <c r="F3" s="3">
        <v>0</v>
      </c>
      <c r="G3" s="3">
        <v>50000000000</v>
      </c>
      <c r="H3" s="3">
        <v>54000000000</v>
      </c>
      <c r="I3" s="3">
        <v>54000000000</v>
      </c>
      <c r="J3" s="3">
        <v>-1.0899999999999999E-11</v>
      </c>
      <c r="K3" s="3">
        <v>-1.0899999999999999E-11</v>
      </c>
      <c r="L3" s="3">
        <v>0</v>
      </c>
      <c r="M3" s="3">
        <v>0.05</v>
      </c>
      <c r="N3" s="3">
        <v>350</v>
      </c>
      <c r="O3" s="3">
        <v>350</v>
      </c>
      <c r="P3" s="3">
        <v>6.3000000000000002E-9</v>
      </c>
      <c r="Q3" s="3">
        <v>2.6000000000000001E-9</v>
      </c>
      <c r="R3" s="3">
        <v>9.0000000000000006E-5</v>
      </c>
      <c r="S3" s="3">
        <v>1.2300000000000001E-5</v>
      </c>
      <c r="T3" s="3">
        <v>1.2300000000000001E-5</v>
      </c>
      <c r="U3" s="3">
        <v>-7.8000000000000005E-7</v>
      </c>
      <c r="V3" s="3">
        <v>-2.3000000000000001E-4</v>
      </c>
      <c r="W3" s="3">
        <v>1</v>
      </c>
      <c r="X3" s="3">
        <v>5550</v>
      </c>
      <c r="Y3" s="3">
        <v>-0.05</v>
      </c>
      <c r="Z3" s="3">
        <v>0</v>
      </c>
      <c r="AA3">
        <v>2</v>
      </c>
    </row>
    <row r="4" spans="1:27">
      <c r="B4">
        <v>2</v>
      </c>
      <c r="C4" s="3">
        <v>155000000000</v>
      </c>
      <c r="D4" s="3">
        <v>155000000000</v>
      </c>
      <c r="E4" s="3">
        <v>0.54500000000000004</v>
      </c>
      <c r="F4" s="3">
        <v>0</v>
      </c>
      <c r="G4" s="3">
        <v>50000000000</v>
      </c>
      <c r="H4" s="3">
        <v>54000000000</v>
      </c>
      <c r="I4" s="3">
        <v>54000000000</v>
      </c>
      <c r="J4" s="3">
        <v>-1.0899999999999999E-11</v>
      </c>
      <c r="K4" s="3">
        <v>-1.0899999999999999E-11</v>
      </c>
      <c r="L4" s="3">
        <v>0</v>
      </c>
      <c r="M4" s="3">
        <v>0.05</v>
      </c>
      <c r="N4" s="3">
        <v>350</v>
      </c>
      <c r="O4" s="3">
        <v>350</v>
      </c>
      <c r="P4" s="3">
        <v>6.3000000000000002E-9</v>
      </c>
      <c r="Q4" s="3">
        <v>2.6000000000000001E-9</v>
      </c>
      <c r="R4" s="3">
        <v>9.0000000000000006E-5</v>
      </c>
      <c r="S4" s="3">
        <v>1.2300000000000001E-5</v>
      </c>
      <c r="T4" s="3">
        <v>1.2300000000000001E-5</v>
      </c>
      <c r="U4" s="3">
        <v>-7.8000000000000005E-7</v>
      </c>
      <c r="V4" s="3">
        <v>-2.3000000000000001E-4</v>
      </c>
      <c r="W4" s="3">
        <v>1</v>
      </c>
      <c r="X4" s="3">
        <v>5550</v>
      </c>
      <c r="Y4" s="3">
        <v>0</v>
      </c>
      <c r="Z4" s="3">
        <v>0.05</v>
      </c>
      <c r="AA4">
        <v>2</v>
      </c>
    </row>
    <row r="7" spans="1:27">
      <c r="A7" s="2" t="s">
        <v>109</v>
      </c>
      <c r="B7" s="21" t="s">
        <v>18</v>
      </c>
      <c r="C7" s="21" t="s">
        <v>19</v>
      </c>
      <c r="D7" s="21" t="s">
        <v>20</v>
      </c>
      <c r="E7" s="21" t="s">
        <v>21</v>
      </c>
      <c r="F7" s="21" t="s">
        <v>22</v>
      </c>
      <c r="G7" s="21" t="s">
        <v>23</v>
      </c>
      <c r="H7" s="21" t="s">
        <v>24</v>
      </c>
      <c r="I7" s="21" t="s">
        <v>25</v>
      </c>
      <c r="J7" s="21" t="s">
        <v>26</v>
      </c>
      <c r="K7" s="21" t="s">
        <v>27</v>
      </c>
      <c r="L7" s="21" t="s">
        <v>28</v>
      </c>
      <c r="M7" s="21" t="s">
        <v>29</v>
      </c>
      <c r="N7" s="21" t="s">
        <v>30</v>
      </c>
      <c r="O7" s="21" t="s">
        <v>31</v>
      </c>
      <c r="P7" s="21" t="s">
        <v>32</v>
      </c>
      <c r="Q7" s="21" t="s">
        <v>33</v>
      </c>
      <c r="R7" s="21" t="s">
        <v>34</v>
      </c>
      <c r="S7" s="22" t="s">
        <v>104</v>
      </c>
      <c r="T7" s="23" t="s">
        <v>105</v>
      </c>
      <c r="U7" s="23" t="s">
        <v>106</v>
      </c>
      <c r="V7" s="23" t="s">
        <v>107</v>
      </c>
      <c r="W7" s="24" t="s">
        <v>110</v>
      </c>
      <c r="X7" s="21" t="s">
        <v>35</v>
      </c>
      <c r="Y7" s="21" t="s">
        <v>36</v>
      </c>
      <c r="Z7" s="21" t="s">
        <v>37</v>
      </c>
      <c r="AA7" s="21" t="s">
        <v>38</v>
      </c>
    </row>
    <row r="8" spans="1:27">
      <c r="A8" s="20"/>
      <c r="B8">
        <v>1</v>
      </c>
      <c r="C8" s="3">
        <v>134650455927.05168</v>
      </c>
      <c r="D8" s="3">
        <v>134650455927.05168</v>
      </c>
      <c r="E8" s="3">
        <v>0.34650455927051671</v>
      </c>
      <c r="F8" s="3">
        <v>0</v>
      </c>
      <c r="G8" s="3">
        <v>50000000000</v>
      </c>
      <c r="H8" s="3">
        <v>54000000000</v>
      </c>
      <c r="I8" s="3">
        <v>54000000000</v>
      </c>
      <c r="J8" s="3">
        <v>-1.0899999999999999E-11</v>
      </c>
      <c r="K8" s="3">
        <v>-1.0899999999999999E-11</v>
      </c>
      <c r="L8" s="3">
        <v>0</v>
      </c>
      <c r="M8" s="3">
        <v>0.05</v>
      </c>
      <c r="N8" s="3">
        <v>350</v>
      </c>
      <c r="O8" s="3">
        <v>350</v>
      </c>
      <c r="P8" s="3">
        <v>6.3000000000000002E-9</v>
      </c>
      <c r="Q8" s="3">
        <v>2.6000000000000001E-9</v>
      </c>
      <c r="R8" s="3">
        <v>9.0000000000000006E-5</v>
      </c>
      <c r="S8" s="3">
        <v>1.2300000000000001E-5</v>
      </c>
      <c r="T8" s="3">
        <v>1.2300000000000001E-5</v>
      </c>
      <c r="U8" s="3">
        <v>1.9659209302325581E-4</v>
      </c>
      <c r="V8" s="3">
        <v>-3.2627906976744194E-5</v>
      </c>
      <c r="W8" s="3">
        <v>1</v>
      </c>
      <c r="X8" s="3">
        <v>5550</v>
      </c>
      <c r="Y8" s="3">
        <v>-0.05</v>
      </c>
      <c r="Z8" s="3">
        <v>0</v>
      </c>
      <c r="AA8">
        <v>2</v>
      </c>
    </row>
    <row r="9" spans="1:27">
      <c r="B9">
        <v>2</v>
      </c>
      <c r="C9" s="3">
        <v>134650455927.05168</v>
      </c>
      <c r="D9" s="3">
        <v>134650455927.05168</v>
      </c>
      <c r="E9" s="3">
        <v>0.34650455927051671</v>
      </c>
      <c r="F9" s="3">
        <v>0</v>
      </c>
      <c r="G9" s="3">
        <v>50000000000</v>
      </c>
      <c r="H9" s="3">
        <v>54000000000</v>
      </c>
      <c r="I9" s="3">
        <v>54000000000</v>
      </c>
      <c r="J9" s="3">
        <v>-1.0899999999999999E-11</v>
      </c>
      <c r="K9" s="3">
        <v>-1.0899999999999999E-11</v>
      </c>
      <c r="L9" s="3">
        <v>0</v>
      </c>
      <c r="M9" s="3">
        <v>0.05</v>
      </c>
      <c r="N9" s="3">
        <v>350</v>
      </c>
      <c r="O9" s="3">
        <v>350</v>
      </c>
      <c r="P9" s="3">
        <v>6.3000000000000002E-9</v>
      </c>
      <c r="Q9" s="3">
        <v>2.6000000000000001E-9</v>
      </c>
      <c r="R9" s="3">
        <v>9.0000000000000006E-5</v>
      </c>
      <c r="S9" s="3">
        <v>1.2300000000000001E-5</v>
      </c>
      <c r="T9" s="3">
        <v>1.2300000000000001E-5</v>
      </c>
      <c r="U9" s="3">
        <v>1.9659209302325581E-4</v>
      </c>
      <c r="V9" s="3">
        <v>-3.2627906976744194E-5</v>
      </c>
      <c r="W9" s="3">
        <v>1</v>
      </c>
      <c r="X9" s="3">
        <v>5550</v>
      </c>
      <c r="Y9" s="3">
        <v>0</v>
      </c>
      <c r="Z9" s="3">
        <v>0.05</v>
      </c>
      <c r="AA9">
        <v>2</v>
      </c>
    </row>
    <row r="11" spans="1:27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7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7">
      <c r="A13" s="2" t="s">
        <v>108</v>
      </c>
      <c r="B13" s="21" t="s">
        <v>18</v>
      </c>
      <c r="C13" s="21" t="s">
        <v>19</v>
      </c>
      <c r="D13" s="21" t="s">
        <v>20</v>
      </c>
      <c r="E13" s="21" t="s">
        <v>21</v>
      </c>
      <c r="F13" s="21" t="s">
        <v>22</v>
      </c>
      <c r="G13" s="21" t="s">
        <v>23</v>
      </c>
      <c r="H13" s="21" t="s">
        <v>24</v>
      </c>
      <c r="I13" s="21" t="s">
        <v>25</v>
      </c>
      <c r="J13" s="21" t="s">
        <v>26</v>
      </c>
      <c r="K13" s="21" t="s">
        <v>27</v>
      </c>
      <c r="L13" s="21" t="s">
        <v>28</v>
      </c>
      <c r="M13" s="21" t="s">
        <v>29</v>
      </c>
      <c r="N13" s="21" t="s">
        <v>30</v>
      </c>
      <c r="O13" s="21" t="s">
        <v>31</v>
      </c>
      <c r="P13" s="21" t="s">
        <v>32</v>
      </c>
      <c r="Q13" s="21" t="s">
        <v>33</v>
      </c>
      <c r="R13" s="21" t="s">
        <v>34</v>
      </c>
      <c r="S13" s="22" t="s">
        <v>104</v>
      </c>
      <c r="T13" s="23" t="s">
        <v>105</v>
      </c>
      <c r="U13" s="23" t="s">
        <v>106</v>
      </c>
      <c r="V13" s="23" t="s">
        <v>107</v>
      </c>
      <c r="W13" s="24" t="s">
        <v>110</v>
      </c>
      <c r="X13" s="21" t="s">
        <v>35</v>
      </c>
      <c r="Y13" s="21" t="s">
        <v>36</v>
      </c>
      <c r="Z13" s="21" t="s">
        <v>37</v>
      </c>
      <c r="AA13" s="21" t="s">
        <v>38</v>
      </c>
    </row>
    <row r="14" spans="1:27">
      <c r="A14" s="20" t="s">
        <v>112</v>
      </c>
      <c r="B14">
        <v>1</v>
      </c>
      <c r="C14" s="3">
        <v>139500000000</v>
      </c>
      <c r="D14" s="3">
        <v>139500000000</v>
      </c>
      <c r="E14" s="3">
        <v>0.55000000000000004</v>
      </c>
      <c r="F14" s="3">
        <v>0</v>
      </c>
      <c r="G14" s="3">
        <v>45000000000</v>
      </c>
      <c r="H14" s="3">
        <v>54000000000</v>
      </c>
      <c r="I14" s="3">
        <v>54000000000</v>
      </c>
      <c r="J14" s="3">
        <v>-1.1290000000000001E-11</v>
      </c>
      <c r="K14" s="3">
        <v>-1.1290000000000001E-11</v>
      </c>
      <c r="L14" s="3">
        <v>0</v>
      </c>
      <c r="M14" s="3">
        <v>3.0000000000000001E-3</v>
      </c>
      <c r="N14" s="3">
        <v>200</v>
      </c>
      <c r="O14" s="3">
        <v>200</v>
      </c>
      <c r="P14" s="3">
        <v>7.4999999999999993E-9</v>
      </c>
      <c r="Q14" s="3">
        <v>2.5000000000000001E-9</v>
      </c>
      <c r="R14" s="3">
        <v>7.4999999999999993E-5</v>
      </c>
      <c r="S14" s="3">
        <v>1.29E-5</v>
      </c>
      <c r="T14" s="3">
        <v>1.29E-5</v>
      </c>
      <c r="U14" s="3">
        <v>-1.2400000000000001E-4</v>
      </c>
      <c r="V14" s="3">
        <v>5.9199999999999999E-3</v>
      </c>
      <c r="W14" s="3">
        <v>1</v>
      </c>
      <c r="X14" s="3">
        <v>5500</v>
      </c>
      <c r="Y14" s="3">
        <v>-3.0000000000000001E-3</v>
      </c>
      <c r="Z14" s="3">
        <v>0</v>
      </c>
      <c r="AA14">
        <v>2</v>
      </c>
    </row>
    <row r="15" spans="1:27">
      <c r="B15">
        <v>2</v>
      </c>
      <c r="C15" s="3">
        <v>139500000000</v>
      </c>
      <c r="D15" s="3">
        <v>139500000000</v>
      </c>
      <c r="E15" s="3">
        <v>0.55000000000000004</v>
      </c>
      <c r="F15" s="3">
        <v>0</v>
      </c>
      <c r="G15" s="3">
        <v>45000000000</v>
      </c>
      <c r="H15" s="3">
        <v>54000000000</v>
      </c>
      <c r="I15" s="3">
        <v>54000000000</v>
      </c>
      <c r="J15" s="3">
        <v>-1.1290000000000001E-11</v>
      </c>
      <c r="K15" s="3">
        <v>-1.1290000000000001E-11</v>
      </c>
      <c r="L15" s="3">
        <v>0</v>
      </c>
      <c r="M15" s="3">
        <v>3.0000000000000001E-3</v>
      </c>
      <c r="N15" s="3">
        <v>200</v>
      </c>
      <c r="O15" s="3">
        <v>200</v>
      </c>
      <c r="P15" s="3">
        <v>7.4999999999999993E-9</v>
      </c>
      <c r="Q15" s="3">
        <v>2.5000000000000001E-9</v>
      </c>
      <c r="R15" s="3">
        <v>7.4999999999999993E-5</v>
      </c>
      <c r="S15" s="3">
        <v>1.29E-5</v>
      </c>
      <c r="T15" s="3">
        <v>1.29E-5</v>
      </c>
      <c r="U15" s="3">
        <v>-1.2400000000000001E-4</v>
      </c>
      <c r="V15" s="3">
        <v>5.9199999999999999E-3</v>
      </c>
      <c r="W15" s="3">
        <v>1</v>
      </c>
      <c r="X15" s="3">
        <v>5500</v>
      </c>
      <c r="Y15" s="3">
        <v>0</v>
      </c>
      <c r="Z15" s="3">
        <v>3.0000000000000001E-3</v>
      </c>
      <c r="AA15">
        <v>2</v>
      </c>
    </row>
    <row r="18" spans="1:27">
      <c r="A18" s="2" t="s">
        <v>109</v>
      </c>
      <c r="B18">
        <v>1</v>
      </c>
      <c r="C18">
        <v>120579150579.15059</v>
      </c>
      <c r="D18">
        <v>120579150579.15059</v>
      </c>
      <c r="E18">
        <v>0.33976833976833981</v>
      </c>
      <c r="F18" s="3">
        <v>0</v>
      </c>
      <c r="G18" s="3">
        <v>45000000000</v>
      </c>
      <c r="H18" s="3">
        <v>54000000000</v>
      </c>
      <c r="I18" s="3">
        <v>54000000000</v>
      </c>
      <c r="J18" s="3">
        <v>-1.1290000000000001E-11</v>
      </c>
      <c r="K18" s="3">
        <v>-1.1290000000000001E-11</v>
      </c>
      <c r="L18" s="3">
        <v>0</v>
      </c>
      <c r="M18" s="3">
        <v>3.0000000000000001E-3</v>
      </c>
      <c r="N18" s="3">
        <v>200</v>
      </c>
      <c r="O18" s="3">
        <v>200</v>
      </c>
      <c r="P18" s="3">
        <v>7.4999999999999993E-9</v>
      </c>
      <c r="Q18" s="3">
        <v>2.5000000000000001E-9</v>
      </c>
      <c r="R18" s="3">
        <v>7.4999999999999993E-5</v>
      </c>
      <c r="S18" s="3">
        <v>1.29E-5</v>
      </c>
      <c r="T18" s="3">
        <v>1.29E-5</v>
      </c>
      <c r="U18" s="3">
        <v>-1.2400000000000001E-4</v>
      </c>
      <c r="V18" s="3">
        <v>5.9199999999999999E-3</v>
      </c>
      <c r="W18" s="3">
        <v>1</v>
      </c>
      <c r="X18" s="3">
        <v>5500</v>
      </c>
      <c r="Y18" s="3">
        <v>-3.0000000000000001E-3</v>
      </c>
      <c r="Z18" s="3">
        <v>0</v>
      </c>
      <c r="AA18">
        <v>2</v>
      </c>
    </row>
    <row r="19" spans="1:27">
      <c r="B19">
        <v>2</v>
      </c>
      <c r="C19">
        <v>120579150579.15059</v>
      </c>
      <c r="D19">
        <v>120579150579.15059</v>
      </c>
      <c r="E19">
        <v>0.33976833976833981</v>
      </c>
      <c r="F19" s="3">
        <v>0</v>
      </c>
      <c r="G19" s="3">
        <v>45000000000</v>
      </c>
      <c r="H19" s="3">
        <v>54000000000</v>
      </c>
      <c r="I19" s="3">
        <v>54000000000</v>
      </c>
      <c r="J19" s="3">
        <v>-1.1290000000000001E-11</v>
      </c>
      <c r="K19" s="3">
        <v>-1.1290000000000001E-11</v>
      </c>
      <c r="L19" s="3">
        <v>0</v>
      </c>
      <c r="M19" s="3">
        <v>3.0000000000000001E-3</v>
      </c>
      <c r="N19" s="3">
        <v>200</v>
      </c>
      <c r="O19" s="3">
        <v>200</v>
      </c>
      <c r="P19" s="3">
        <v>7.4999999999999993E-9</v>
      </c>
      <c r="Q19" s="3">
        <v>2.5000000000000001E-9</v>
      </c>
      <c r="R19" s="3">
        <v>7.4999999999999993E-5</v>
      </c>
      <c r="S19" s="3">
        <v>1.29E-5</v>
      </c>
      <c r="T19" s="3">
        <v>1.29E-5</v>
      </c>
      <c r="U19" s="3">
        <v>-1.2400000000000001E-4</v>
      </c>
      <c r="V19" s="3">
        <v>5.9199999999999999E-3</v>
      </c>
      <c r="W19" s="3">
        <v>1</v>
      </c>
      <c r="X19" s="3">
        <v>5500</v>
      </c>
      <c r="Y19" s="3">
        <v>0</v>
      </c>
      <c r="Z19" s="3">
        <v>3.0000000000000001E-3</v>
      </c>
      <c r="AA19">
        <v>2</v>
      </c>
    </row>
    <row r="21" spans="1:27">
      <c r="A21" s="8" t="s">
        <v>121</v>
      </c>
    </row>
    <row r="22" spans="1:27">
      <c r="A22" s="2" t="s">
        <v>86</v>
      </c>
    </row>
    <row r="23" spans="1:27">
      <c r="A23">
        <v>1</v>
      </c>
      <c r="B23" s="3">
        <v>153000000000</v>
      </c>
      <c r="C23" s="3">
        <v>153000000000</v>
      </c>
      <c r="D23">
        <v>0.53100000000000003</v>
      </c>
      <c r="E23">
        <v>0</v>
      </c>
      <c r="F23" s="3">
        <v>50000000000</v>
      </c>
      <c r="G23" s="3">
        <v>59900000000</v>
      </c>
      <c r="H23" s="3">
        <v>59900000000</v>
      </c>
      <c r="I23" s="3">
        <v>-8.31288E-12</v>
      </c>
      <c r="J23" s="3">
        <v>-8.31288E-12</v>
      </c>
      <c r="K23">
        <v>0</v>
      </c>
      <c r="L23">
        <v>1.2E-2</v>
      </c>
      <c r="M23">
        <v>222</v>
      </c>
      <c r="N23">
        <v>222</v>
      </c>
      <c r="O23" s="3">
        <v>6.4000000000000002E-9</v>
      </c>
      <c r="P23" s="3">
        <v>2.7499999999999998E-9</v>
      </c>
      <c r="Q23" s="5">
        <v>8390</v>
      </c>
      <c r="R23">
        <v>5550</v>
      </c>
      <c r="S23">
        <v>-1.2E-2</v>
      </c>
      <c r="T23">
        <v>0</v>
      </c>
      <c r="U23">
        <v>2</v>
      </c>
    </row>
    <row r="25" spans="1:27">
      <c r="A25" s="2" t="s">
        <v>87</v>
      </c>
    </row>
    <row r="26" spans="1:27">
      <c r="A26" s="5">
        <v>1</v>
      </c>
      <c r="B26" s="3">
        <v>133912266138.81618</v>
      </c>
      <c r="C26" s="3">
        <v>133912266138.81618</v>
      </c>
      <c r="D26" s="16">
        <v>0.33912266138816166</v>
      </c>
      <c r="E26" s="5">
        <v>0</v>
      </c>
      <c r="F26" s="3">
        <v>50000000000</v>
      </c>
      <c r="G26" s="3">
        <v>59900000000</v>
      </c>
      <c r="H26" s="3">
        <v>59900000000</v>
      </c>
      <c r="I26" s="3">
        <v>-8.31288E-12</v>
      </c>
      <c r="J26" s="3">
        <v>-8.31288E-12</v>
      </c>
      <c r="K26" s="5">
        <v>0</v>
      </c>
      <c r="L26" s="5">
        <v>1.2E-2</v>
      </c>
      <c r="M26" s="5">
        <v>222</v>
      </c>
      <c r="N26" s="5">
        <v>222</v>
      </c>
      <c r="O26" s="5">
        <v>6.4000000000000002E-9</v>
      </c>
      <c r="P26" s="5">
        <v>2.7499999999999998E-9</v>
      </c>
      <c r="Q26" s="5">
        <v>8390</v>
      </c>
      <c r="R26" s="5">
        <v>5550</v>
      </c>
      <c r="S26" s="5">
        <v>-1.2E-2</v>
      </c>
      <c r="T26" s="5">
        <v>0</v>
      </c>
      <c r="U26" s="5">
        <v>2</v>
      </c>
    </row>
    <row r="29" spans="1:27">
      <c r="I29" s="25"/>
    </row>
    <row r="30" spans="1:27">
      <c r="I30" s="25"/>
    </row>
    <row r="31" spans="1:27">
      <c r="A31" s="5" t="s">
        <v>120</v>
      </c>
      <c r="B31" t="s">
        <v>118</v>
      </c>
      <c r="C31" t="s">
        <v>126</v>
      </c>
      <c r="D31" t="s">
        <v>117</v>
      </c>
      <c r="E31" t="s">
        <v>116</v>
      </c>
      <c r="F31" t="s">
        <v>115</v>
      </c>
      <c r="G31" t="s">
        <v>114</v>
      </c>
      <c r="H31" t="s">
        <v>113</v>
      </c>
      <c r="I31" s="5"/>
    </row>
    <row r="32" spans="1:27">
      <c r="A32" s="5"/>
      <c r="B32" s="3">
        <v>100</v>
      </c>
      <c r="C32" s="3">
        <v>8.1999999999999994E-6</v>
      </c>
      <c r="D32" s="25">
        <f>B32*C32</f>
        <v>8.1999999999999998E-4</v>
      </c>
      <c r="E32" s="25">
        <v>153480000000</v>
      </c>
      <c r="F32" s="25">
        <v>153480000000</v>
      </c>
      <c r="G32" s="25">
        <v>53258000000</v>
      </c>
      <c r="H32" s="25">
        <f>D32*E32+G32*D32</f>
        <v>169525160</v>
      </c>
      <c r="I32" s="5"/>
    </row>
    <row r="33" spans="1:9">
      <c r="A33" s="5"/>
      <c r="B33" s="3">
        <v>100</v>
      </c>
      <c r="C33" s="3">
        <v>8.1999999999999994E-6</v>
      </c>
      <c r="D33" s="25">
        <f>B33*C33</f>
        <v>8.1999999999999998E-4</v>
      </c>
      <c r="E33" s="25">
        <v>153480000000</v>
      </c>
      <c r="F33" s="25">
        <v>153480000000</v>
      </c>
      <c r="G33" s="25">
        <v>53258000000</v>
      </c>
      <c r="H33" s="25">
        <f>D33*E33+G33*D33</f>
        <v>169525160</v>
      </c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D35" s="5"/>
      <c r="E35" s="5"/>
      <c r="F35" s="5"/>
      <c r="G35" s="5"/>
      <c r="H35" s="5"/>
      <c r="I35" s="5"/>
    </row>
    <row r="36" spans="1:9">
      <c r="A36" s="5"/>
      <c r="B36" s="1"/>
      <c r="C36" t="s">
        <v>123</v>
      </c>
      <c r="D36" t="s">
        <v>126</v>
      </c>
      <c r="E36" s="5" t="s">
        <v>124</v>
      </c>
      <c r="F36" s="5" t="s">
        <v>125</v>
      </c>
      <c r="G36" s="1" t="s">
        <v>122</v>
      </c>
      <c r="H36" s="5"/>
      <c r="I36" s="5"/>
    </row>
    <row r="37" spans="1:9">
      <c r="A37" s="5"/>
      <c r="C37" s="25">
        <v>1.2300000000000001E-5</v>
      </c>
      <c r="D37" s="3">
        <v>8.1999999999999994E-6</v>
      </c>
      <c r="E37" s="5">
        <v>120000000000</v>
      </c>
      <c r="F37" s="3">
        <v>215000000000</v>
      </c>
      <c r="G37" s="25">
        <f>C37-E37*D37/F37</f>
        <v>7.7232558139534897E-6</v>
      </c>
      <c r="H37" s="5"/>
      <c r="I37" s="5"/>
    </row>
    <row r="38" spans="1:9">
      <c r="A38" s="5"/>
      <c r="C38" s="25">
        <v>1.2300000000000001E-5</v>
      </c>
      <c r="D38" s="3">
        <v>8.1999999999999994E-6</v>
      </c>
      <c r="E38" s="5">
        <v>120000000000</v>
      </c>
      <c r="F38" s="3">
        <v>215000000000</v>
      </c>
      <c r="G38" s="25">
        <f>C38-E38*D38/F38</f>
        <v>7.7232558139534897E-6</v>
      </c>
      <c r="H38" s="5"/>
      <c r="I38" s="5"/>
    </row>
    <row r="39" spans="1:9">
      <c r="A39" s="5"/>
      <c r="B39" s="3"/>
      <c r="C39" s="3"/>
      <c r="D39" s="5"/>
      <c r="E39" s="5"/>
      <c r="F39" s="3"/>
      <c r="G39" s="3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 t="s">
        <v>119</v>
      </c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t="s">
        <v>118</v>
      </c>
      <c r="C42" s="1" t="s">
        <v>127</v>
      </c>
      <c r="D42" t="s">
        <v>117</v>
      </c>
      <c r="E42" t="s">
        <v>116</v>
      </c>
      <c r="F42" t="s">
        <v>115</v>
      </c>
      <c r="G42" t="s">
        <v>114</v>
      </c>
      <c r="H42" t="s">
        <v>113</v>
      </c>
      <c r="I42" s="5"/>
    </row>
    <row r="43" spans="1:9">
      <c r="A43" s="5"/>
      <c r="B43" s="3">
        <v>100</v>
      </c>
      <c r="C43" s="3">
        <v>8.3842105263157895E-6</v>
      </c>
      <c r="D43" s="25">
        <f>B43*C43</f>
        <v>8.38421052631579E-4</v>
      </c>
      <c r="E43" s="3">
        <v>136820000000</v>
      </c>
      <c r="F43" s="3">
        <v>136820000000</v>
      </c>
      <c r="G43" s="3">
        <v>46517000000</v>
      </c>
      <c r="H43" s="25">
        <f>D43*E43+G43*D43</f>
        <v>153713600.52631581</v>
      </c>
      <c r="I43" s="5"/>
    </row>
    <row r="44" spans="1:9">
      <c r="A44" s="5"/>
      <c r="B44" s="3">
        <v>100</v>
      </c>
      <c r="C44" s="3">
        <v>8.3842105263157895E-6</v>
      </c>
      <c r="D44" s="25">
        <f>B44*C44</f>
        <v>8.38421052631579E-4</v>
      </c>
      <c r="E44" s="3">
        <v>136820000000</v>
      </c>
      <c r="F44" s="3">
        <v>136820000000</v>
      </c>
      <c r="G44" s="3">
        <v>46517000000</v>
      </c>
      <c r="H44" s="25">
        <f>D44*E44+G44*D44</f>
        <v>153713600.52631581</v>
      </c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D46" s="5"/>
      <c r="E46" s="5"/>
      <c r="F46" s="5"/>
      <c r="G46" s="5"/>
      <c r="H46" s="5"/>
      <c r="I46" s="5"/>
    </row>
    <row r="47" spans="1:9">
      <c r="A47" s="5"/>
      <c r="B47" s="1"/>
      <c r="C47" t="s">
        <v>123</v>
      </c>
      <c r="D47" t="s">
        <v>126</v>
      </c>
      <c r="E47" s="5" t="s">
        <v>124</v>
      </c>
      <c r="F47" s="5" t="s">
        <v>125</v>
      </c>
      <c r="G47" s="1" t="s">
        <v>122</v>
      </c>
      <c r="H47" s="5"/>
      <c r="I47" s="5"/>
    </row>
    <row r="48" spans="1:9">
      <c r="A48" s="5"/>
      <c r="C48" s="25">
        <v>1.29E-5</v>
      </c>
      <c r="D48" s="3">
        <v>7.7999999999999999E-6</v>
      </c>
      <c r="E48" s="3">
        <v>110000000000</v>
      </c>
      <c r="F48" s="3">
        <v>190000000000</v>
      </c>
      <c r="G48" s="25">
        <f>C48-E48*D48/F48</f>
        <v>8.3842105263157895E-6</v>
      </c>
      <c r="H48" s="5"/>
      <c r="I48" s="5"/>
    </row>
    <row r="49" spans="1:25">
      <c r="A49" s="5"/>
      <c r="C49" s="25">
        <v>1.29E-5</v>
      </c>
      <c r="D49" s="3">
        <v>7.7999999999999999E-6</v>
      </c>
      <c r="E49" s="3">
        <v>110000000000</v>
      </c>
      <c r="F49" s="3">
        <v>190000000000</v>
      </c>
      <c r="G49" s="25">
        <f>C49-E49*D49/F49</f>
        <v>8.3842105263157895E-6</v>
      </c>
      <c r="H49" s="5"/>
      <c r="I49" s="5"/>
    </row>
    <row r="50" spans="1:25">
      <c r="B50" s="3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6" spans="1: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98" spans="2: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3"/>
  <sheetViews>
    <sheetView workbookViewId="0">
      <selection activeCell="E18" sqref="E18"/>
    </sheetView>
  </sheetViews>
  <sheetFormatPr defaultRowHeight="14"/>
  <cols>
    <col min="1" max="1" width="10.08984375" customWidth="1"/>
    <col min="2" max="2" width="9.6328125" customWidth="1"/>
  </cols>
  <sheetData>
    <row r="4" spans="1:2">
      <c r="A4" s="3"/>
      <c r="B4" s="3"/>
    </row>
    <row r="5" spans="1:2">
      <c r="A5" s="3"/>
      <c r="B5" s="3"/>
    </row>
    <row r="6" spans="1:2">
      <c r="A6" s="3"/>
      <c r="B6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2023-04-06T04:12:48Z</dcterms:modified>
</cp:coreProperties>
</file>