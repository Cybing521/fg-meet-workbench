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10" windowWidth="2910" windowHeight="8010" activeTab="2"/>
  </bookViews>
  <sheets>
    <sheet name="FG-MEEP-B-U分布" sheetId="1" r:id="rId1"/>
    <sheet name="FG-MEEP-B-V分布" sheetId="2" r:id="rId2"/>
    <sheet name="FG-MEEP-B-O分布" sheetId="3" r:id="rId3"/>
    <sheet name="FG-MEEP-B-X分布" sheetId="4" r:id="rId4"/>
    <sheet name="沿弧度方向正应力分布-UTR" sheetId="5" r:id="rId5"/>
    <sheet name="沿弧度方向正应力分布-LTR" sheetId="6" r:id="rId6"/>
    <sheet name="沿弧度方向正应力分布-STR" sheetId="7" r:id="rId7"/>
    <sheet name="沿弧度方向正应力分布-HC" sheetId="8" r:id="rId8"/>
    <sheet name="每层输出电势与磁势" sheetId="9" r:id="rId9"/>
    <sheet name="Sheet1" sheetId="10" r:id="rId10"/>
    <sheet name="沿厚度温度分布-U-B_rich" sheetId="11" r:id="rId11"/>
    <sheet name="沿厚度温度分布-V-B_rich" sheetId="12" r:id="rId12"/>
    <sheet name="沿厚度温度分布-O-B_rich" sheetId="13" r:id="rId13"/>
    <sheet name="沿厚度温度分布-X-B_rich" sheetId="14" r:id="rId14"/>
    <sheet name="Sheet4" sheetId="17" r:id="rId15"/>
    <sheet name="Sheet2" sheetId="18" r:id="rId16"/>
  </sheets>
  <calcPr calcId="144525"/>
</workbook>
</file>

<file path=xl/calcChain.xml><?xml version="1.0" encoding="utf-8"?>
<calcChain xmlns="http://schemas.openxmlformats.org/spreadsheetml/2006/main">
  <c r="J29" i="4" l="1"/>
  <c r="J30" i="4"/>
  <c r="J31" i="4"/>
  <c r="J32" i="4"/>
  <c r="J33" i="4"/>
  <c r="J34" i="4"/>
  <c r="J35" i="4"/>
  <c r="J36" i="4"/>
  <c r="J37" i="4"/>
  <c r="J38" i="4"/>
  <c r="J39" i="4"/>
  <c r="G177" i="4"/>
  <c r="G176" i="4"/>
  <c r="G175" i="4"/>
  <c r="G174" i="4"/>
  <c r="G173" i="4"/>
  <c r="G172" i="4"/>
  <c r="G171" i="4"/>
  <c r="G170" i="4"/>
  <c r="G169" i="4"/>
  <c r="G168" i="4"/>
  <c r="G167" i="4"/>
  <c r="G166" i="4"/>
  <c r="G163" i="4"/>
  <c r="G162" i="4"/>
  <c r="G161" i="4"/>
  <c r="G160" i="4"/>
  <c r="G159" i="4"/>
  <c r="G158" i="4"/>
  <c r="G157" i="4"/>
  <c r="G156" i="4"/>
  <c r="G155" i="4"/>
  <c r="G154" i="4"/>
  <c r="G153" i="4"/>
  <c r="G152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3" i="4"/>
  <c r="G122" i="4"/>
  <c r="G121" i="4"/>
  <c r="G120" i="4"/>
  <c r="G119" i="4"/>
  <c r="G118" i="4"/>
  <c r="G117" i="4"/>
  <c r="G116" i="4"/>
  <c r="G115" i="4"/>
  <c r="G114" i="4"/>
  <c r="G113" i="4"/>
  <c r="G112" i="4"/>
  <c r="G109" i="4"/>
  <c r="G108" i="4"/>
  <c r="G107" i="4"/>
  <c r="G106" i="4"/>
  <c r="G105" i="4"/>
  <c r="G104" i="4"/>
  <c r="G103" i="4"/>
  <c r="G102" i="4"/>
  <c r="G101" i="4"/>
  <c r="G100" i="4"/>
  <c r="G99" i="4"/>
  <c r="G98" i="4"/>
  <c r="G95" i="4"/>
  <c r="G94" i="4"/>
  <c r="G93" i="4"/>
  <c r="G92" i="4"/>
  <c r="G91" i="4"/>
  <c r="G90" i="4"/>
  <c r="G89" i="4"/>
  <c r="G88" i="4"/>
  <c r="G87" i="4"/>
  <c r="G86" i="4"/>
  <c r="G85" i="4"/>
  <c r="G84" i="4"/>
  <c r="G81" i="4"/>
  <c r="G80" i="4"/>
  <c r="G79" i="4"/>
  <c r="G78" i="4"/>
  <c r="G77" i="4"/>
  <c r="G76" i="4"/>
  <c r="G75" i="4"/>
  <c r="G74" i="4"/>
  <c r="G73" i="4"/>
  <c r="G72" i="4"/>
  <c r="G71" i="4"/>
  <c r="G70" i="4"/>
  <c r="G67" i="4"/>
  <c r="G66" i="4"/>
  <c r="G65" i="4"/>
  <c r="G64" i="4"/>
  <c r="G63" i="4"/>
  <c r="G62" i="4"/>
  <c r="G61" i="4"/>
  <c r="G60" i="4"/>
  <c r="G59" i="4"/>
  <c r="G58" i="4"/>
  <c r="G57" i="4"/>
  <c r="G56" i="4"/>
  <c r="G53" i="4"/>
  <c r="G52" i="4"/>
  <c r="G51" i="4"/>
  <c r="G50" i="4"/>
  <c r="G49" i="4"/>
  <c r="G48" i="4"/>
  <c r="G47" i="4"/>
  <c r="G46" i="4"/>
  <c r="G45" i="4"/>
  <c r="G44" i="4"/>
  <c r="G43" i="4"/>
  <c r="G42" i="4"/>
  <c r="G185" i="3"/>
  <c r="G184" i="3"/>
  <c r="G183" i="3"/>
  <c r="G182" i="3"/>
  <c r="G181" i="3"/>
  <c r="G180" i="3"/>
  <c r="G179" i="3"/>
  <c r="G178" i="3"/>
  <c r="G177" i="3"/>
  <c r="G176" i="3"/>
  <c r="G175" i="3"/>
  <c r="G174" i="3"/>
  <c r="G171" i="3"/>
  <c r="G170" i="3"/>
  <c r="G169" i="3"/>
  <c r="G168" i="3"/>
  <c r="G167" i="3"/>
  <c r="G166" i="3"/>
  <c r="G165" i="3"/>
  <c r="G164" i="3"/>
  <c r="G163" i="3"/>
  <c r="G162" i="3"/>
  <c r="G161" i="3"/>
  <c r="G160" i="3"/>
  <c r="G158" i="3"/>
  <c r="G157" i="3"/>
  <c r="G156" i="3"/>
  <c r="G155" i="3"/>
  <c r="G154" i="3"/>
  <c r="G153" i="3"/>
  <c r="G152" i="3"/>
  <c r="G151" i="3"/>
  <c r="G150" i="3"/>
  <c r="G149" i="3"/>
  <c r="G148" i="3"/>
  <c r="G147" i="3"/>
  <c r="G145" i="3"/>
  <c r="G144" i="3"/>
  <c r="G143" i="3"/>
  <c r="G142" i="3"/>
  <c r="G141" i="3"/>
  <c r="G140" i="3"/>
  <c r="G139" i="3"/>
  <c r="G138" i="3"/>
  <c r="G137" i="3"/>
  <c r="G136" i="3"/>
  <c r="G135" i="3"/>
  <c r="G134" i="3"/>
  <c r="G132" i="3"/>
  <c r="G131" i="3"/>
  <c r="G130" i="3"/>
  <c r="G129" i="3"/>
  <c r="G128" i="3"/>
  <c r="G127" i="3"/>
  <c r="G126" i="3"/>
  <c r="G125" i="3"/>
  <c r="G124" i="3"/>
  <c r="G123" i="3"/>
  <c r="G122" i="3"/>
  <c r="G121" i="3"/>
  <c r="G118" i="3"/>
  <c r="G117" i="3"/>
  <c r="G116" i="3"/>
  <c r="G115" i="3"/>
  <c r="G114" i="3"/>
  <c r="G113" i="3"/>
  <c r="G112" i="3"/>
  <c r="G111" i="3"/>
  <c r="G110" i="3"/>
  <c r="G109" i="3"/>
  <c r="G108" i="3"/>
  <c r="G107" i="3"/>
  <c r="G104" i="3"/>
  <c r="G103" i="3"/>
  <c r="G102" i="3"/>
  <c r="G101" i="3"/>
  <c r="G100" i="3"/>
  <c r="G99" i="3"/>
  <c r="G98" i="3"/>
  <c r="G97" i="3"/>
  <c r="G96" i="3"/>
  <c r="G95" i="3"/>
  <c r="G94" i="3"/>
  <c r="G93" i="3"/>
  <c r="G90" i="3"/>
  <c r="G89" i="3"/>
  <c r="G88" i="3"/>
  <c r="G87" i="3"/>
  <c r="G86" i="3"/>
  <c r="G85" i="3"/>
  <c r="G84" i="3"/>
  <c r="G83" i="3"/>
  <c r="G82" i="3"/>
  <c r="G81" i="3"/>
  <c r="G80" i="3"/>
  <c r="G79" i="3"/>
  <c r="G74" i="3"/>
  <c r="G73" i="3"/>
  <c r="G72" i="3"/>
  <c r="G71" i="3"/>
  <c r="G70" i="3"/>
  <c r="G69" i="3"/>
  <c r="G68" i="3"/>
  <c r="G67" i="3"/>
  <c r="G66" i="3"/>
  <c r="G65" i="3"/>
  <c r="G64" i="3"/>
  <c r="G63" i="3"/>
  <c r="G59" i="3"/>
  <c r="G58" i="3"/>
  <c r="G57" i="3"/>
  <c r="G56" i="3"/>
  <c r="G55" i="3"/>
  <c r="G54" i="3"/>
  <c r="G53" i="3"/>
  <c r="G52" i="3"/>
  <c r="G51" i="3"/>
  <c r="G50" i="3"/>
  <c r="G49" i="3"/>
  <c r="G48" i="3"/>
  <c r="G177" i="2"/>
  <c r="G176" i="2"/>
  <c r="G175" i="2"/>
  <c r="G174" i="2"/>
  <c r="G173" i="2"/>
  <c r="G172" i="2"/>
  <c r="G171" i="2"/>
  <c r="G170" i="2"/>
  <c r="G169" i="2"/>
  <c r="G168" i="2"/>
  <c r="G167" i="2"/>
  <c r="G166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7" i="2"/>
  <c r="G136" i="2"/>
  <c r="G135" i="2"/>
  <c r="G134" i="2"/>
  <c r="G133" i="2"/>
  <c r="G132" i="2"/>
  <c r="G131" i="2"/>
  <c r="G130" i="2"/>
  <c r="G129" i="2"/>
  <c r="G128" i="2"/>
  <c r="G127" i="2"/>
  <c r="G126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6" i="2"/>
  <c r="G95" i="2"/>
  <c r="G94" i="2"/>
  <c r="G93" i="2"/>
  <c r="G92" i="2"/>
  <c r="G91" i="2"/>
  <c r="G90" i="2"/>
  <c r="G89" i="2"/>
  <c r="G88" i="2"/>
  <c r="G87" i="2"/>
  <c r="G86" i="2"/>
  <c r="G85" i="2"/>
  <c r="G82" i="2"/>
  <c r="G81" i="2"/>
  <c r="G80" i="2"/>
  <c r="G79" i="2"/>
  <c r="G78" i="2"/>
  <c r="G77" i="2"/>
  <c r="G76" i="2"/>
  <c r="G75" i="2"/>
  <c r="G74" i="2"/>
  <c r="G73" i="2"/>
  <c r="G72" i="2"/>
  <c r="G71" i="2"/>
  <c r="G68" i="2"/>
  <c r="G67" i="2"/>
  <c r="G66" i="2"/>
  <c r="G65" i="2"/>
  <c r="G64" i="2"/>
  <c r="G63" i="2"/>
  <c r="G62" i="2"/>
  <c r="G61" i="2"/>
  <c r="G60" i="2"/>
  <c r="G59" i="2"/>
  <c r="G58" i="2"/>
  <c r="G57" i="2"/>
  <c r="G54" i="2"/>
  <c r="G53" i="2"/>
  <c r="G52" i="2"/>
  <c r="G51" i="2"/>
  <c r="G50" i="2"/>
  <c r="G49" i="2"/>
  <c r="G48" i="2"/>
  <c r="G47" i="2"/>
  <c r="G46" i="2"/>
  <c r="G45" i="2"/>
  <c r="G44" i="2"/>
  <c r="G43" i="2"/>
  <c r="G175" i="1" l="1"/>
  <c r="G174" i="1"/>
  <c r="G173" i="1"/>
  <c r="G172" i="1"/>
  <c r="G171" i="1"/>
  <c r="G170" i="1"/>
  <c r="G169" i="1"/>
  <c r="G168" i="1"/>
  <c r="G167" i="1"/>
  <c r="G166" i="1"/>
  <c r="G165" i="1"/>
  <c r="G164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4" i="1"/>
  <c r="G93" i="1"/>
  <c r="G92" i="1"/>
  <c r="G91" i="1"/>
  <c r="G90" i="1"/>
  <c r="G89" i="1"/>
  <c r="G88" i="1"/>
  <c r="G87" i="1"/>
  <c r="G86" i="1"/>
  <c r="G85" i="1"/>
  <c r="G84" i="1"/>
  <c r="G83" i="1"/>
  <c r="G80" i="1"/>
  <c r="G79" i="1"/>
  <c r="G78" i="1"/>
  <c r="G77" i="1"/>
  <c r="G76" i="1"/>
  <c r="G75" i="1"/>
  <c r="G74" i="1"/>
  <c r="G73" i="1"/>
  <c r="G72" i="1"/>
  <c r="G71" i="1"/>
  <c r="G70" i="1"/>
  <c r="G69" i="1"/>
  <c r="G66" i="1"/>
  <c r="G65" i="1"/>
  <c r="G64" i="1"/>
  <c r="G63" i="1"/>
  <c r="G62" i="1"/>
  <c r="G61" i="1"/>
  <c r="G60" i="1"/>
  <c r="G59" i="1"/>
  <c r="G58" i="1"/>
  <c r="G57" i="1"/>
  <c r="G56" i="1"/>
  <c r="G55" i="1"/>
  <c r="G52" i="1"/>
  <c r="G51" i="1"/>
  <c r="G50" i="1"/>
  <c r="G49" i="1"/>
  <c r="G48" i="1"/>
  <c r="G47" i="1"/>
  <c r="G46" i="1"/>
  <c r="G45" i="1"/>
  <c r="G44" i="1"/>
  <c r="G43" i="1"/>
  <c r="G42" i="1"/>
  <c r="G41" i="1"/>
  <c r="L5" i="12"/>
  <c r="L6" i="12"/>
  <c r="L7" i="12"/>
  <c r="L8" i="12"/>
  <c r="L9" i="12"/>
  <c r="L10" i="12"/>
  <c r="L11" i="12"/>
  <c r="L12" i="12"/>
  <c r="L13" i="12"/>
  <c r="L14" i="12"/>
  <c r="L15" i="12"/>
  <c r="L16" i="12"/>
  <c r="L17" i="12"/>
  <c r="L18" i="12"/>
  <c r="L19" i="12"/>
  <c r="L20" i="12"/>
  <c r="L21" i="12"/>
  <c r="L22" i="12"/>
  <c r="L23" i="12"/>
  <c r="L2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H22" i="12" s="1"/>
  <c r="I23" i="12"/>
  <c r="I2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3" i="12"/>
  <c r="H24" i="12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F4" i="12"/>
  <c r="E5" i="12"/>
  <c r="E6" i="12"/>
  <c r="E7" i="12"/>
  <c r="E8" i="12"/>
  <c r="E9" i="12"/>
  <c r="E10" i="12"/>
  <c r="E11" i="12"/>
  <c r="E12" i="12"/>
  <c r="E13" i="12"/>
  <c r="E14" i="12"/>
  <c r="E15" i="12"/>
  <c r="E16" i="12"/>
  <c r="E17" i="12"/>
  <c r="E18" i="12"/>
  <c r="E19" i="12"/>
  <c r="E20" i="12"/>
  <c r="E21" i="12"/>
  <c r="E22" i="12"/>
  <c r="E23" i="12"/>
  <c r="E24" i="12"/>
  <c r="D6" i="12"/>
  <c r="D7" i="12"/>
  <c r="D8" i="12" s="1"/>
  <c r="D9" i="12" s="1"/>
  <c r="D10" i="12" s="1"/>
  <c r="D11" i="12" s="1"/>
  <c r="D12" i="12" s="1"/>
  <c r="D13" i="12" s="1"/>
  <c r="D14" i="12" s="1"/>
  <c r="D15" i="12" s="1"/>
  <c r="D16" i="12" s="1"/>
  <c r="D17" i="12" s="1"/>
  <c r="D18" i="12" s="1"/>
  <c r="D19" i="12" s="1"/>
  <c r="D20" i="12" s="1"/>
  <c r="D21" i="12" s="1"/>
  <c r="D22" i="12" s="1"/>
  <c r="D23" i="12" s="1"/>
  <c r="D24" i="12" s="1"/>
  <c r="BE3" i="2"/>
  <c r="BE4" i="2"/>
  <c r="BE5" i="2"/>
  <c r="BE6" i="2"/>
  <c r="BE7" i="2"/>
  <c r="BE8" i="2"/>
  <c r="BE9" i="2"/>
  <c r="BE10" i="2"/>
  <c r="BE11" i="2"/>
  <c r="BE12" i="2"/>
  <c r="BE13" i="2"/>
  <c r="BE14" i="2"/>
  <c r="BE15" i="2"/>
  <c r="BE16" i="2"/>
  <c r="BE17" i="2"/>
  <c r="BE18" i="2"/>
  <c r="BE19" i="2"/>
  <c r="BE20" i="2"/>
  <c r="BE21" i="2"/>
  <c r="BE22" i="2"/>
  <c r="BD3" i="2"/>
  <c r="BD4" i="2"/>
  <c r="BD5" i="2"/>
  <c r="BD6" i="2"/>
  <c r="BD7" i="2"/>
  <c r="BD8" i="2"/>
  <c r="BD9" i="2"/>
  <c r="BD10" i="2"/>
  <c r="BD11" i="2"/>
  <c r="BD12" i="2"/>
  <c r="BD13" i="2"/>
  <c r="BD14" i="2"/>
  <c r="BD15" i="2"/>
  <c r="BD16" i="2"/>
  <c r="BD17" i="2"/>
  <c r="BD18" i="2"/>
  <c r="BD19" i="2"/>
  <c r="BD20" i="2"/>
  <c r="BD21" i="2"/>
  <c r="BD22" i="2"/>
  <c r="BC3" i="2"/>
  <c r="BC4" i="2"/>
  <c r="BC5" i="2"/>
  <c r="BC6" i="2"/>
  <c r="BC7" i="2"/>
  <c r="BC8" i="2"/>
  <c r="BC9" i="2"/>
  <c r="BC10" i="2"/>
  <c r="BC11" i="2"/>
  <c r="BC12" i="2"/>
  <c r="BC13" i="2"/>
  <c r="BC14" i="2"/>
  <c r="BC15" i="2"/>
  <c r="BC16" i="2"/>
  <c r="BC17" i="2"/>
  <c r="BC18" i="2"/>
  <c r="BC19" i="2"/>
  <c r="BC20" i="2"/>
  <c r="BC21" i="2"/>
  <c r="BC22" i="2"/>
  <c r="BA3" i="2"/>
  <c r="BA4" i="2"/>
  <c r="BA5" i="2"/>
  <c r="BA6" i="2"/>
  <c r="BA7" i="2"/>
  <c r="BA8" i="2"/>
  <c r="BA9" i="2"/>
  <c r="BA10" i="2"/>
  <c r="BA11" i="2"/>
  <c r="BA12" i="2"/>
  <c r="BA13" i="2"/>
  <c r="BA14" i="2"/>
  <c r="BA15" i="2"/>
  <c r="BA16" i="2"/>
  <c r="BA17" i="2"/>
  <c r="BA18" i="2"/>
  <c r="BA19" i="2"/>
  <c r="BA20" i="2"/>
  <c r="BA21" i="2"/>
  <c r="BA22" i="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32" i="12"/>
  <c r="AI5" i="2"/>
  <c r="AI6" i="2"/>
  <c r="AI7" i="2"/>
  <c r="AI8" i="2"/>
  <c r="AI9" i="2"/>
  <c r="AI10" i="2"/>
  <c r="AI11" i="2"/>
  <c r="AI12" i="2"/>
  <c r="AI13" i="2"/>
  <c r="AI14" i="2"/>
  <c r="AI15" i="2"/>
  <c r="AH6" i="2"/>
  <c r="AH7" i="2"/>
  <c r="AH8" i="2"/>
  <c r="AH9" i="2" s="1"/>
  <c r="AH10" i="2" s="1"/>
  <c r="AH11" i="2" s="1"/>
  <c r="AH12" i="2" s="1"/>
  <c r="AH13" i="2" s="1"/>
  <c r="AH14" i="2" s="1"/>
  <c r="AH15" i="2" s="1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E5" i="13"/>
  <c r="E6" i="13"/>
  <c r="E7" i="13"/>
  <c r="E8" i="13"/>
  <c r="E9" i="13"/>
  <c r="E10" i="13"/>
  <c r="E11" i="13"/>
  <c r="E12" i="13"/>
  <c r="E13" i="13"/>
  <c r="E14" i="13"/>
  <c r="E15" i="13"/>
  <c r="E16" i="13"/>
  <c r="E17" i="13"/>
  <c r="E18" i="13"/>
  <c r="E19" i="13"/>
  <c r="E20" i="13"/>
  <c r="E21" i="13"/>
  <c r="E22" i="13"/>
  <c r="E23" i="13"/>
  <c r="D6" i="13"/>
  <c r="D7" i="13" s="1"/>
  <c r="D8" i="13" s="1"/>
  <c r="D9" i="13" s="1"/>
  <c r="D10" i="13" s="1"/>
  <c r="D11" i="13" s="1"/>
  <c r="D12" i="13" s="1"/>
  <c r="D13" i="13" s="1"/>
  <c r="D14" i="13" s="1"/>
  <c r="D15" i="13" s="1"/>
  <c r="D16" i="13" s="1"/>
  <c r="D17" i="13" s="1"/>
  <c r="D18" i="13" s="1"/>
  <c r="D19" i="13" s="1"/>
  <c r="D20" i="13" s="1"/>
  <c r="D21" i="13" s="1"/>
  <c r="D22" i="13" s="1"/>
  <c r="D23" i="13" s="1"/>
  <c r="D5" i="13"/>
  <c r="BH3" i="3"/>
  <c r="BH4" i="3"/>
  <c r="BH5" i="3"/>
  <c r="BH6" i="3"/>
  <c r="BH7" i="3"/>
  <c r="BH8" i="3"/>
  <c r="BH9" i="3"/>
  <c r="BH10" i="3"/>
  <c r="BH11" i="3"/>
  <c r="BH12" i="3"/>
  <c r="BH13" i="3"/>
  <c r="BH14" i="3"/>
  <c r="BH15" i="3"/>
  <c r="BH16" i="3"/>
  <c r="BH17" i="3"/>
  <c r="BH18" i="3"/>
  <c r="BH19" i="3"/>
  <c r="BH20" i="3"/>
  <c r="BH21" i="3"/>
  <c r="AA257" i="4" l="1"/>
  <c r="AA258" i="4" s="1"/>
  <c r="AA259" i="4" s="1"/>
  <c r="AA260" i="4" s="1"/>
  <c r="AA261" i="4" s="1"/>
  <c r="AA262" i="4" s="1"/>
  <c r="AA263" i="4" s="1"/>
  <c r="AA264" i="4" s="1"/>
  <c r="AA265" i="4" s="1"/>
  <c r="AA266" i="4" s="1"/>
  <c r="AA256" i="4"/>
  <c r="Z256" i="4"/>
  <c r="Z257" i="4" s="1"/>
  <c r="Z258" i="4" s="1"/>
  <c r="Z259" i="4" s="1"/>
  <c r="Z260" i="4" s="1"/>
  <c r="Z261" i="4" s="1"/>
  <c r="Z262" i="4" s="1"/>
  <c r="Z263" i="4" s="1"/>
  <c r="Z264" i="4" s="1"/>
  <c r="Z265" i="4" s="1"/>
  <c r="Z266" i="4" s="1"/>
  <c r="AA241" i="4"/>
  <c r="AA242" i="4" s="1"/>
  <c r="AA243" i="4" s="1"/>
  <c r="AA244" i="4" s="1"/>
  <c r="AA245" i="4" s="1"/>
  <c r="AA246" i="4" s="1"/>
  <c r="AA247" i="4" s="1"/>
  <c r="AA248" i="4" s="1"/>
  <c r="AA249" i="4" s="1"/>
  <c r="AA250" i="4" s="1"/>
  <c r="AA251" i="4" s="1"/>
  <c r="Z241" i="4"/>
  <c r="Z242" i="4" s="1"/>
  <c r="Z243" i="4" s="1"/>
  <c r="Z244" i="4" s="1"/>
  <c r="Z245" i="4" s="1"/>
  <c r="Z246" i="4" s="1"/>
  <c r="Z247" i="4" s="1"/>
  <c r="Z248" i="4" s="1"/>
  <c r="Z249" i="4" s="1"/>
  <c r="Z250" i="4" s="1"/>
  <c r="Z251" i="4" s="1"/>
  <c r="AA225" i="4"/>
  <c r="AA226" i="4" s="1"/>
  <c r="AA227" i="4" s="1"/>
  <c r="AA228" i="4" s="1"/>
  <c r="AA229" i="4" s="1"/>
  <c r="AA230" i="4" s="1"/>
  <c r="AA231" i="4" s="1"/>
  <c r="AA232" i="4" s="1"/>
  <c r="AA233" i="4" s="1"/>
  <c r="AA234" i="4" s="1"/>
  <c r="AA235" i="4" s="1"/>
  <c r="Z225" i="4"/>
  <c r="Z226" i="4" s="1"/>
  <c r="Z227" i="4" s="1"/>
  <c r="Z228" i="4" s="1"/>
  <c r="Z229" i="4" s="1"/>
  <c r="Z230" i="4" s="1"/>
  <c r="Z231" i="4" s="1"/>
  <c r="Z232" i="4" s="1"/>
  <c r="Z233" i="4" s="1"/>
  <c r="Z234" i="4" s="1"/>
  <c r="Z235" i="4" s="1"/>
  <c r="I177" i="4"/>
  <c r="J177" i="4"/>
  <c r="I176" i="4"/>
  <c r="J176" i="4"/>
  <c r="I175" i="4"/>
  <c r="J175" i="4"/>
  <c r="I174" i="4"/>
  <c r="J174" i="4" s="1"/>
  <c r="I173" i="4"/>
  <c r="J173" i="4"/>
  <c r="I172" i="4"/>
  <c r="J172" i="4"/>
  <c r="I171" i="4"/>
  <c r="J171" i="4"/>
  <c r="I170" i="4"/>
  <c r="I169" i="4"/>
  <c r="J169" i="4"/>
  <c r="I168" i="4"/>
  <c r="J168" i="4"/>
  <c r="J167" i="4"/>
  <c r="I167" i="4"/>
  <c r="I166" i="4"/>
  <c r="I163" i="4"/>
  <c r="J163" i="4"/>
  <c r="I162" i="4"/>
  <c r="J162" i="4"/>
  <c r="I161" i="4"/>
  <c r="J161" i="4" s="1"/>
  <c r="I160" i="4"/>
  <c r="I159" i="4"/>
  <c r="J159" i="4"/>
  <c r="I158" i="4"/>
  <c r="J158" i="4"/>
  <c r="I157" i="4"/>
  <c r="J157" i="4"/>
  <c r="I156" i="4"/>
  <c r="J156" i="4"/>
  <c r="I155" i="4"/>
  <c r="J155" i="4"/>
  <c r="I154" i="4"/>
  <c r="J154" i="4"/>
  <c r="I153" i="4"/>
  <c r="I152" i="4"/>
  <c r="J152" i="4" s="1"/>
  <c r="I150" i="4"/>
  <c r="J150" i="4"/>
  <c r="I149" i="4"/>
  <c r="J149" i="4"/>
  <c r="I148" i="4"/>
  <c r="J148" i="4"/>
  <c r="I147" i="4"/>
  <c r="I146" i="4"/>
  <c r="J146" i="4"/>
  <c r="I145" i="4"/>
  <c r="J145" i="4"/>
  <c r="J144" i="4"/>
  <c r="I144" i="4"/>
  <c r="I143" i="4"/>
  <c r="I142" i="4"/>
  <c r="J142" i="4"/>
  <c r="I141" i="4"/>
  <c r="J141" i="4"/>
  <c r="J140" i="4"/>
  <c r="I140" i="4"/>
  <c r="I139" i="4"/>
  <c r="J139" i="4" s="1"/>
  <c r="I137" i="4"/>
  <c r="I136" i="4"/>
  <c r="J136" i="4"/>
  <c r="I135" i="4"/>
  <c r="J135" i="4"/>
  <c r="J134" i="4"/>
  <c r="I134" i="4"/>
  <c r="I133" i="4"/>
  <c r="J133" i="4"/>
  <c r="I132" i="4"/>
  <c r="J132" i="4"/>
  <c r="I131" i="4"/>
  <c r="J131" i="4"/>
  <c r="I130" i="4"/>
  <c r="J130" i="4"/>
  <c r="I129" i="4"/>
  <c r="J129" i="4" s="1"/>
  <c r="I128" i="4"/>
  <c r="J128" i="4"/>
  <c r="J127" i="4"/>
  <c r="I127" i="4"/>
  <c r="J126" i="4"/>
  <c r="I126" i="4"/>
  <c r="I123" i="4"/>
  <c r="J123" i="4"/>
  <c r="I122" i="4"/>
  <c r="J122" i="4"/>
  <c r="I121" i="4"/>
  <c r="J121" i="4"/>
  <c r="I120" i="4"/>
  <c r="J120" i="4"/>
  <c r="I119" i="4"/>
  <c r="J119" i="4"/>
  <c r="I118" i="4"/>
  <c r="J118" i="4"/>
  <c r="J117" i="4"/>
  <c r="I117" i="4"/>
  <c r="J116" i="4"/>
  <c r="I116" i="4"/>
  <c r="I115" i="4"/>
  <c r="J115" i="4"/>
  <c r="I114" i="4"/>
  <c r="J114" i="4"/>
  <c r="I113" i="4"/>
  <c r="J113" i="4"/>
  <c r="I112" i="4"/>
  <c r="J112" i="4"/>
  <c r="I109" i="4"/>
  <c r="J109" i="4"/>
  <c r="I108" i="4"/>
  <c r="J108" i="4"/>
  <c r="I107" i="4"/>
  <c r="J107" i="4"/>
  <c r="J106" i="4"/>
  <c r="I106" i="4"/>
  <c r="I105" i="4"/>
  <c r="J105" i="4"/>
  <c r="I104" i="4"/>
  <c r="J104" i="4"/>
  <c r="J103" i="4"/>
  <c r="I103" i="4"/>
  <c r="I102" i="4"/>
  <c r="J102" i="4"/>
  <c r="I101" i="4"/>
  <c r="J101" i="4"/>
  <c r="I100" i="4"/>
  <c r="J100" i="4"/>
  <c r="I99" i="4"/>
  <c r="J99" i="4"/>
  <c r="J98" i="4"/>
  <c r="I98" i="4"/>
  <c r="I95" i="4"/>
  <c r="J95" i="4"/>
  <c r="I94" i="4"/>
  <c r="J94" i="4"/>
  <c r="J93" i="4"/>
  <c r="I93" i="4"/>
  <c r="I92" i="4"/>
  <c r="I91" i="4"/>
  <c r="J91" i="4"/>
  <c r="I90" i="4"/>
  <c r="J90" i="4"/>
  <c r="J89" i="4"/>
  <c r="I89" i="4"/>
  <c r="I88" i="4"/>
  <c r="I87" i="4"/>
  <c r="J87" i="4"/>
  <c r="I86" i="4"/>
  <c r="J86" i="4"/>
  <c r="I85" i="4"/>
  <c r="J85" i="4"/>
  <c r="I84" i="4"/>
  <c r="J84" i="4" s="1"/>
  <c r="I81" i="4"/>
  <c r="J81" i="4"/>
  <c r="I80" i="4"/>
  <c r="J80" i="4"/>
  <c r="I79" i="4"/>
  <c r="J79" i="4"/>
  <c r="I78" i="4"/>
  <c r="I77" i="4"/>
  <c r="J77" i="4"/>
  <c r="I76" i="4"/>
  <c r="J76" i="4"/>
  <c r="J75" i="4"/>
  <c r="I75" i="4"/>
  <c r="I74" i="4"/>
  <c r="J74" i="4"/>
  <c r="I73" i="4"/>
  <c r="J73" i="4"/>
  <c r="I72" i="4"/>
  <c r="J72" i="4"/>
  <c r="I71" i="4"/>
  <c r="J71" i="4"/>
  <c r="I70" i="4"/>
  <c r="J70" i="4" s="1"/>
  <c r="I67" i="4"/>
  <c r="J67" i="4"/>
  <c r="I66" i="4"/>
  <c r="J66" i="4"/>
  <c r="I65" i="4"/>
  <c r="J65" i="4"/>
  <c r="I64" i="4"/>
  <c r="J64" i="4" s="1"/>
  <c r="I63" i="4"/>
  <c r="J63" i="4"/>
  <c r="I62" i="4"/>
  <c r="J62" i="4"/>
  <c r="I61" i="4"/>
  <c r="J61" i="4"/>
  <c r="I60" i="4"/>
  <c r="I59" i="4"/>
  <c r="J59" i="4"/>
  <c r="I58" i="4"/>
  <c r="J58" i="4"/>
  <c r="J57" i="4"/>
  <c r="I57" i="4"/>
  <c r="I56" i="4"/>
  <c r="I53" i="4"/>
  <c r="J53" i="4"/>
  <c r="I52" i="4"/>
  <c r="J52" i="4"/>
  <c r="I51" i="4"/>
  <c r="J51" i="4"/>
  <c r="I50" i="4"/>
  <c r="J50" i="4"/>
  <c r="I49" i="4"/>
  <c r="J49" i="4"/>
  <c r="I48" i="4"/>
  <c r="J48" i="4"/>
  <c r="J47" i="4"/>
  <c r="I47" i="4"/>
  <c r="J46" i="4"/>
  <c r="I46" i="4"/>
  <c r="I45" i="4"/>
  <c r="J45" i="4"/>
  <c r="I44" i="4"/>
  <c r="J44" i="4"/>
  <c r="I43" i="4"/>
  <c r="J43" i="4"/>
  <c r="I42" i="4"/>
  <c r="J42" i="4"/>
  <c r="I29" i="4"/>
  <c r="I30" i="4"/>
  <c r="I31" i="4"/>
  <c r="I32" i="4"/>
  <c r="I33" i="4"/>
  <c r="I34" i="4"/>
  <c r="I35" i="4"/>
  <c r="I36" i="4"/>
  <c r="I37" i="4"/>
  <c r="I38" i="4"/>
  <c r="I39" i="4"/>
  <c r="I28" i="4"/>
  <c r="BE3" i="4"/>
  <c r="BE4" i="4"/>
  <c r="BE5" i="4"/>
  <c r="BE6" i="4"/>
  <c r="BE7" i="4"/>
  <c r="BE8" i="4"/>
  <c r="BE9" i="4"/>
  <c r="BE10" i="4"/>
  <c r="BE11" i="4"/>
  <c r="BE12" i="4"/>
  <c r="BE13" i="4"/>
  <c r="BE14" i="4"/>
  <c r="BE15" i="4"/>
  <c r="BE16" i="4"/>
  <c r="BE17" i="4"/>
  <c r="BE18" i="4"/>
  <c r="BE19" i="4"/>
  <c r="BE20" i="4"/>
  <c r="BE21" i="4"/>
  <c r="BE2" i="4"/>
  <c r="AA265" i="3"/>
  <c r="AA266" i="3" s="1"/>
  <c r="AA267" i="3" s="1"/>
  <c r="AA268" i="3" s="1"/>
  <c r="AA269" i="3" s="1"/>
  <c r="AA270" i="3" s="1"/>
  <c r="AA271" i="3" s="1"/>
  <c r="AA272" i="3" s="1"/>
  <c r="AA273" i="3" s="1"/>
  <c r="AA274" i="3" s="1"/>
  <c r="AA264" i="3"/>
  <c r="Z264" i="3"/>
  <c r="Z265" i="3" s="1"/>
  <c r="Z266" i="3" s="1"/>
  <c r="Z267" i="3" s="1"/>
  <c r="Z268" i="3" s="1"/>
  <c r="Z269" i="3" s="1"/>
  <c r="Z270" i="3" s="1"/>
  <c r="Z271" i="3" s="1"/>
  <c r="Z272" i="3" s="1"/>
  <c r="Z273" i="3" s="1"/>
  <c r="Z274" i="3" s="1"/>
  <c r="Z250" i="3"/>
  <c r="Z251" i="3" s="1"/>
  <c r="Z252" i="3" s="1"/>
  <c r="Z253" i="3" s="1"/>
  <c r="Z254" i="3" s="1"/>
  <c r="Z255" i="3" s="1"/>
  <c r="Z256" i="3" s="1"/>
  <c r="Z257" i="3" s="1"/>
  <c r="Z258" i="3" s="1"/>
  <c r="Z259" i="3" s="1"/>
  <c r="AA249" i="3"/>
  <c r="AA250" i="3" s="1"/>
  <c r="AA251" i="3" s="1"/>
  <c r="AA252" i="3" s="1"/>
  <c r="AA253" i="3" s="1"/>
  <c r="AA254" i="3" s="1"/>
  <c r="AA255" i="3" s="1"/>
  <c r="AA256" i="3" s="1"/>
  <c r="AA257" i="3" s="1"/>
  <c r="AA258" i="3" s="1"/>
  <c r="AA259" i="3" s="1"/>
  <c r="Z249" i="3"/>
  <c r="AA234" i="3"/>
  <c r="AA235" i="3" s="1"/>
  <c r="AA236" i="3" s="1"/>
  <c r="AA237" i="3" s="1"/>
  <c r="AA238" i="3" s="1"/>
  <c r="AA239" i="3" s="1"/>
  <c r="AA240" i="3" s="1"/>
  <c r="AA241" i="3" s="1"/>
  <c r="AA242" i="3" s="1"/>
  <c r="AA243" i="3" s="1"/>
  <c r="AA233" i="3"/>
  <c r="Z233" i="3"/>
  <c r="Z234" i="3" s="1"/>
  <c r="Z235" i="3" s="1"/>
  <c r="Z236" i="3" s="1"/>
  <c r="Z237" i="3" s="1"/>
  <c r="Z238" i="3" s="1"/>
  <c r="Z239" i="3" s="1"/>
  <c r="Z240" i="3" s="1"/>
  <c r="Z241" i="3" s="1"/>
  <c r="Z242" i="3" s="1"/>
  <c r="Z243" i="3" s="1"/>
  <c r="I185" i="3"/>
  <c r="J185" i="3"/>
  <c r="I184" i="3"/>
  <c r="J184" i="3"/>
  <c r="J183" i="3"/>
  <c r="I183" i="3"/>
  <c r="I182" i="3"/>
  <c r="I181" i="3"/>
  <c r="J181" i="3"/>
  <c r="I180" i="3"/>
  <c r="J180" i="3"/>
  <c r="J179" i="3"/>
  <c r="I179" i="3"/>
  <c r="I178" i="3"/>
  <c r="J178" i="3" s="1"/>
  <c r="I177" i="3"/>
  <c r="J177" i="3"/>
  <c r="I176" i="3"/>
  <c r="J176" i="3"/>
  <c r="I175" i="3"/>
  <c r="J175" i="3"/>
  <c r="I174" i="3"/>
  <c r="J174" i="3" s="1"/>
  <c r="I171" i="3"/>
  <c r="J171" i="3"/>
  <c r="I170" i="3"/>
  <c r="J170" i="3"/>
  <c r="I169" i="3"/>
  <c r="J169" i="3"/>
  <c r="I168" i="3"/>
  <c r="I167" i="3"/>
  <c r="J167" i="3"/>
  <c r="I166" i="3"/>
  <c r="J166" i="3"/>
  <c r="J165" i="3"/>
  <c r="I165" i="3"/>
  <c r="I164" i="3"/>
  <c r="I163" i="3"/>
  <c r="J163" i="3"/>
  <c r="I162" i="3"/>
  <c r="J162" i="3"/>
  <c r="J161" i="3"/>
  <c r="I161" i="3"/>
  <c r="I160" i="3"/>
  <c r="I158" i="3"/>
  <c r="J158" i="3"/>
  <c r="I157" i="3"/>
  <c r="J157" i="3"/>
  <c r="J156" i="3"/>
  <c r="I156" i="3"/>
  <c r="I155" i="3"/>
  <c r="I154" i="3"/>
  <c r="J154" i="3"/>
  <c r="I153" i="3"/>
  <c r="J153" i="3"/>
  <c r="I152" i="3"/>
  <c r="J152" i="3"/>
  <c r="I151" i="3"/>
  <c r="I150" i="3"/>
  <c r="J150" i="3"/>
  <c r="I149" i="3"/>
  <c r="J149" i="3"/>
  <c r="J148" i="3"/>
  <c r="I148" i="3"/>
  <c r="I147" i="3"/>
  <c r="I145" i="3"/>
  <c r="J145" i="3"/>
  <c r="I144" i="3"/>
  <c r="J144" i="3"/>
  <c r="I143" i="3"/>
  <c r="J143" i="3"/>
  <c r="I142" i="3"/>
  <c r="J142" i="3"/>
  <c r="I141" i="3"/>
  <c r="J141" i="3"/>
  <c r="I140" i="3"/>
  <c r="J140" i="3"/>
  <c r="J139" i="3"/>
  <c r="I139" i="3"/>
  <c r="I138" i="3"/>
  <c r="J138" i="3" s="1"/>
  <c r="I137" i="3"/>
  <c r="J137" i="3"/>
  <c r="I136" i="3"/>
  <c r="J136" i="3"/>
  <c r="I135" i="3"/>
  <c r="J135" i="3"/>
  <c r="I134" i="3"/>
  <c r="I132" i="3"/>
  <c r="J132" i="3"/>
  <c r="I131" i="3"/>
  <c r="J131" i="3"/>
  <c r="J130" i="3"/>
  <c r="I130" i="3"/>
  <c r="I129" i="3"/>
  <c r="I128" i="3"/>
  <c r="J128" i="3"/>
  <c r="I127" i="3"/>
  <c r="J127" i="3"/>
  <c r="I126" i="3"/>
  <c r="J126" i="3"/>
  <c r="I125" i="3"/>
  <c r="J125" i="3" s="1"/>
  <c r="I124" i="3"/>
  <c r="J124" i="3"/>
  <c r="I123" i="3"/>
  <c r="J123" i="3"/>
  <c r="I122" i="3"/>
  <c r="J122" i="3"/>
  <c r="I121" i="3"/>
  <c r="J121" i="3" s="1"/>
  <c r="I118" i="3"/>
  <c r="I117" i="3"/>
  <c r="J117" i="3"/>
  <c r="I116" i="3"/>
  <c r="J116" i="3"/>
  <c r="I115" i="3"/>
  <c r="J115" i="3"/>
  <c r="I114" i="3"/>
  <c r="J114" i="3" s="1"/>
  <c r="I113" i="3"/>
  <c r="J113" i="3"/>
  <c r="I112" i="3"/>
  <c r="J112" i="3"/>
  <c r="I111" i="3"/>
  <c r="J111" i="3"/>
  <c r="I110" i="3"/>
  <c r="I109" i="3"/>
  <c r="J109" i="3"/>
  <c r="I108" i="3"/>
  <c r="J108" i="3"/>
  <c r="J107" i="3"/>
  <c r="I107" i="3"/>
  <c r="I104" i="3"/>
  <c r="I103" i="3"/>
  <c r="J103" i="3"/>
  <c r="I102" i="3"/>
  <c r="J102" i="3"/>
  <c r="I101" i="3"/>
  <c r="J101" i="3"/>
  <c r="I100" i="3"/>
  <c r="J100" i="3"/>
  <c r="I99" i="3"/>
  <c r="J99" i="3"/>
  <c r="I98" i="3"/>
  <c r="J98" i="3"/>
  <c r="I97" i="3"/>
  <c r="I96" i="3"/>
  <c r="I95" i="3"/>
  <c r="J95" i="3"/>
  <c r="J94" i="3"/>
  <c r="I94" i="3"/>
  <c r="I93" i="3"/>
  <c r="J93" i="3"/>
  <c r="I90" i="3"/>
  <c r="J90" i="3"/>
  <c r="I89" i="3"/>
  <c r="J89" i="3"/>
  <c r="I88" i="3"/>
  <c r="J88" i="3"/>
  <c r="I87" i="3"/>
  <c r="I86" i="3"/>
  <c r="J86" i="3"/>
  <c r="I85" i="3"/>
  <c r="J85" i="3"/>
  <c r="J84" i="3"/>
  <c r="I84" i="3"/>
  <c r="I83" i="3"/>
  <c r="I82" i="3"/>
  <c r="J82" i="3"/>
  <c r="I81" i="3"/>
  <c r="J81" i="3"/>
  <c r="J80" i="3"/>
  <c r="I80" i="3"/>
  <c r="I79" i="3"/>
  <c r="I74" i="3"/>
  <c r="J74" i="3"/>
  <c r="I73" i="3"/>
  <c r="J73" i="3"/>
  <c r="I72" i="3"/>
  <c r="I71" i="3"/>
  <c r="I70" i="3"/>
  <c r="J70" i="3"/>
  <c r="I69" i="3"/>
  <c r="J69" i="3"/>
  <c r="I68" i="3"/>
  <c r="J68" i="3"/>
  <c r="I67" i="3"/>
  <c r="J67" i="3"/>
  <c r="I66" i="3"/>
  <c r="J66" i="3"/>
  <c r="I65" i="3"/>
  <c r="J65" i="3"/>
  <c r="I64" i="3"/>
  <c r="J64" i="3" s="1"/>
  <c r="I63" i="3"/>
  <c r="I59" i="3"/>
  <c r="J59" i="3"/>
  <c r="I58" i="3"/>
  <c r="J58" i="3"/>
  <c r="I57" i="3"/>
  <c r="J57" i="3"/>
  <c r="I56" i="3"/>
  <c r="I55" i="3"/>
  <c r="J55" i="3"/>
  <c r="I54" i="3"/>
  <c r="J54" i="3"/>
  <c r="I53" i="3"/>
  <c r="J53" i="3"/>
  <c r="I52" i="3"/>
  <c r="I51" i="3"/>
  <c r="J51" i="3"/>
  <c r="I50" i="3"/>
  <c r="J50" i="3"/>
  <c r="I49" i="3"/>
  <c r="J49" i="3"/>
  <c r="I48" i="3"/>
  <c r="J48" i="3" s="1"/>
  <c r="BF3" i="3"/>
  <c r="BF4" i="3"/>
  <c r="BF5" i="3"/>
  <c r="BF6" i="3"/>
  <c r="BF7" i="3"/>
  <c r="BF8" i="3"/>
  <c r="BF9" i="3"/>
  <c r="BF10" i="3"/>
  <c r="BF11" i="3"/>
  <c r="BF12" i="3"/>
  <c r="BF13" i="3"/>
  <c r="BF14" i="3"/>
  <c r="BF15" i="3"/>
  <c r="BF16" i="3"/>
  <c r="BF17" i="3"/>
  <c r="BF18" i="3"/>
  <c r="BF19" i="3"/>
  <c r="BF20" i="3"/>
  <c r="BF21" i="3"/>
  <c r="BF2" i="3"/>
  <c r="I35" i="3"/>
  <c r="I36" i="3"/>
  <c r="I37" i="3"/>
  <c r="I38" i="3"/>
  <c r="I39" i="3"/>
  <c r="I40" i="3"/>
  <c r="I41" i="3"/>
  <c r="I42" i="3"/>
  <c r="I43" i="3"/>
  <c r="I44" i="3"/>
  <c r="I45" i="3"/>
  <c r="I34" i="3"/>
  <c r="J166" i="4" l="1"/>
  <c r="J170" i="4"/>
  <c r="J153" i="4"/>
  <c r="J160" i="4"/>
  <c r="J147" i="4"/>
  <c r="J143" i="4"/>
  <c r="J137" i="4"/>
  <c r="J88" i="4"/>
  <c r="J92" i="4"/>
  <c r="J78" i="4"/>
  <c r="J56" i="4"/>
  <c r="J60" i="4"/>
  <c r="J182" i="3"/>
  <c r="J168" i="3"/>
  <c r="J160" i="3"/>
  <c r="J164" i="3"/>
  <c r="J147" i="3"/>
  <c r="J151" i="3"/>
  <c r="J155" i="3"/>
  <c r="J134" i="3"/>
  <c r="J129" i="3"/>
  <c r="J110" i="3"/>
  <c r="J118" i="3"/>
  <c r="J96" i="3"/>
  <c r="J97" i="3"/>
  <c r="J104" i="3"/>
  <c r="J83" i="3"/>
  <c r="J79" i="3"/>
  <c r="J87" i="3"/>
  <c r="J63" i="3"/>
  <c r="J71" i="3"/>
  <c r="J72" i="3"/>
  <c r="J52" i="3"/>
  <c r="J56" i="3"/>
  <c r="G30" i="2"/>
  <c r="G31" i="2"/>
  <c r="G32" i="2"/>
  <c r="G33" i="2"/>
  <c r="G34" i="2"/>
  <c r="G35" i="2"/>
  <c r="G36" i="2"/>
  <c r="G37" i="2"/>
  <c r="G38" i="2"/>
  <c r="G39" i="2"/>
  <c r="G40" i="2"/>
  <c r="E23" i="14" l="1"/>
  <c r="E22" i="14"/>
  <c r="E21" i="14"/>
  <c r="E20" i="14"/>
  <c r="E19" i="14"/>
  <c r="E18" i="14"/>
  <c r="E17" i="14"/>
  <c r="E16" i="14"/>
  <c r="E15" i="14"/>
  <c r="E14" i="14"/>
  <c r="E13" i="14"/>
  <c r="E12" i="14"/>
  <c r="E11" i="14"/>
  <c r="E10" i="14"/>
  <c r="E9" i="14"/>
  <c r="E8" i="14"/>
  <c r="E7" i="14"/>
  <c r="E6" i="14"/>
  <c r="E5" i="14"/>
  <c r="E4" i="14"/>
  <c r="D4" i="14"/>
  <c r="BF2" i="4"/>
  <c r="BG2" i="4" s="1"/>
  <c r="BC2" i="4"/>
  <c r="BA3" i="4"/>
  <c r="BA4" i="4" s="1"/>
  <c r="BC2" i="2"/>
  <c r="D4" i="13"/>
  <c r="E4" i="13"/>
  <c r="BB4" i="3"/>
  <c r="BD4" i="3" s="1"/>
  <c r="BD3" i="3"/>
  <c r="BB3" i="3"/>
  <c r="BD2" i="3"/>
  <c r="Q50" i="12"/>
  <c r="Q49" i="12"/>
  <c r="Q48" i="12"/>
  <c r="Q47" i="12"/>
  <c r="Q46" i="12"/>
  <c r="Q45" i="12"/>
  <c r="Q44" i="12"/>
  <c r="Q43" i="12"/>
  <c r="Q42" i="12"/>
  <c r="Q41" i="12"/>
  <c r="Q40" i="12"/>
  <c r="Q39" i="12"/>
  <c r="Q38" i="12"/>
  <c r="Q37" i="12"/>
  <c r="Q36" i="12"/>
  <c r="Q35" i="12"/>
  <c r="Q34" i="12"/>
  <c r="Q33" i="12"/>
  <c r="Q32" i="12"/>
  <c r="Q31" i="12"/>
  <c r="H31" i="12"/>
  <c r="E4" i="12"/>
  <c r="D4" i="12"/>
  <c r="D5" i="12" s="1"/>
  <c r="BD2" i="2"/>
  <c r="BE2" i="2" s="1"/>
  <c r="BA2" i="2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D4" i="11"/>
  <c r="E4" i="11"/>
  <c r="F4" i="11" s="1"/>
  <c r="E23" i="11"/>
  <c r="AZ3" i="1"/>
  <c r="AZ4" i="1" s="1"/>
  <c r="BB2" i="1"/>
  <c r="BE2" i="1" s="1"/>
  <c r="BF2" i="1" s="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31" i="11"/>
  <c r="H31" i="11"/>
  <c r="AL3" i="1"/>
  <c r="AN3" i="1" s="1"/>
  <c r="AQ3" i="1" s="1"/>
  <c r="AR3" i="1" s="1"/>
  <c r="AN2" i="1"/>
  <c r="AQ2" i="1" s="1"/>
  <c r="AR2" i="1" s="1"/>
  <c r="F4" i="14" l="1"/>
  <c r="G4" i="14" s="1"/>
  <c r="D5" i="14"/>
  <c r="D6" i="14" s="1"/>
  <c r="G6" i="14" s="1"/>
  <c r="BC4" i="4"/>
  <c r="BA5" i="4"/>
  <c r="BC3" i="4"/>
  <c r="BF3" i="4" s="1"/>
  <c r="BG3" i="4" s="1"/>
  <c r="F4" i="13"/>
  <c r="I4" i="13" s="1"/>
  <c r="H4" i="13" s="1"/>
  <c r="L4" i="13" s="1"/>
  <c r="I5" i="13"/>
  <c r="H5" i="13" s="1"/>
  <c r="L5" i="13" s="1"/>
  <c r="BG2" i="3"/>
  <c r="BH2" i="3" s="1"/>
  <c r="BG3" i="3"/>
  <c r="BG4" i="3"/>
  <c r="BB5" i="3"/>
  <c r="G4" i="12"/>
  <c r="AL4" i="1"/>
  <c r="I4" i="11"/>
  <c r="H4" i="11" s="1"/>
  <c r="L4" i="11" s="1"/>
  <c r="G4" i="11"/>
  <c r="D5" i="11"/>
  <c r="AZ5" i="1"/>
  <c r="BB5" i="1" s="1"/>
  <c r="BE5" i="1" s="1"/>
  <c r="BF5" i="1" s="1"/>
  <c r="BB4" i="1"/>
  <c r="BE4" i="1" s="1"/>
  <c r="BF4" i="1" s="1"/>
  <c r="BB3" i="1"/>
  <c r="BE3" i="1" s="1"/>
  <c r="BF3" i="1" s="1"/>
  <c r="AZ6" i="1"/>
  <c r="I4" i="12" l="1"/>
  <c r="H4" i="12" s="1"/>
  <c r="L4" i="12" s="1"/>
  <c r="I5" i="14"/>
  <c r="H5" i="14" s="1"/>
  <c r="L5" i="14" s="1"/>
  <c r="I4" i="14"/>
  <c r="H4" i="14" s="1"/>
  <c r="L4" i="14" s="1"/>
  <c r="G5" i="14"/>
  <c r="I6" i="14"/>
  <c r="H6" i="14" s="1"/>
  <c r="L6" i="14" s="1"/>
  <c r="D7" i="14"/>
  <c r="D8" i="14" s="1"/>
  <c r="I7" i="14"/>
  <c r="H7" i="14" s="1"/>
  <c r="L7" i="14" s="1"/>
  <c r="G7" i="14"/>
  <c r="BA6" i="4"/>
  <c r="BC5" i="4"/>
  <c r="BF5" i="4" s="1"/>
  <c r="BG5" i="4" s="1"/>
  <c r="BF4" i="4"/>
  <c r="BG4" i="4" s="1"/>
  <c r="G4" i="13"/>
  <c r="I6" i="13"/>
  <c r="H6" i="13" s="1"/>
  <c r="L6" i="13" s="1"/>
  <c r="BD5" i="3"/>
  <c r="BB6" i="3"/>
  <c r="AL5" i="1"/>
  <c r="AN4" i="1"/>
  <c r="AQ4" i="1" s="1"/>
  <c r="AR4" i="1" s="1"/>
  <c r="D6" i="11"/>
  <c r="G5" i="11"/>
  <c r="I5" i="11"/>
  <c r="H5" i="11" s="1"/>
  <c r="AZ7" i="1"/>
  <c r="BB6" i="1"/>
  <c r="BE6" i="1" s="1"/>
  <c r="BF6" i="1" s="1"/>
  <c r="D9" i="14" l="1"/>
  <c r="I8" i="14"/>
  <c r="H8" i="14" s="1"/>
  <c r="L8" i="14" s="1"/>
  <c r="G8" i="14"/>
  <c r="BA7" i="4"/>
  <c r="BC6" i="4"/>
  <c r="BF6" i="4" s="1"/>
  <c r="BG6" i="4" s="1"/>
  <c r="I7" i="13"/>
  <c r="H7" i="13" s="1"/>
  <c r="L7" i="13" s="1"/>
  <c r="BB7" i="3"/>
  <c r="BD6" i="3"/>
  <c r="BG6" i="3" s="1"/>
  <c r="BG5" i="3"/>
  <c r="AL6" i="1"/>
  <c r="AN5" i="1"/>
  <c r="AQ5" i="1" s="1"/>
  <c r="AR5" i="1" s="1"/>
  <c r="D7" i="11"/>
  <c r="G6" i="11"/>
  <c r="I6" i="11"/>
  <c r="H6" i="11" s="1"/>
  <c r="AZ8" i="1"/>
  <c r="BB7" i="1"/>
  <c r="BE7" i="1" s="1"/>
  <c r="BF7" i="1" s="1"/>
  <c r="D10" i="14" l="1"/>
  <c r="I9" i="14"/>
  <c r="H9" i="14" s="1"/>
  <c r="L9" i="14" s="1"/>
  <c r="G9" i="14"/>
  <c r="BC7" i="4"/>
  <c r="BA8" i="4"/>
  <c r="I8" i="13"/>
  <c r="H8" i="13" s="1"/>
  <c r="L8" i="13" s="1"/>
  <c r="BD7" i="3"/>
  <c r="BG7" i="3" s="1"/>
  <c r="BB8" i="3"/>
  <c r="AL7" i="1"/>
  <c r="AN6" i="1"/>
  <c r="AQ6" i="1" s="1"/>
  <c r="AR6" i="1" s="1"/>
  <c r="D8" i="11"/>
  <c r="G7" i="11"/>
  <c r="I7" i="11"/>
  <c r="H7" i="11" s="1"/>
  <c r="AZ9" i="1"/>
  <c r="BB8" i="1"/>
  <c r="BE8" i="1" s="1"/>
  <c r="BF8" i="1" s="1"/>
  <c r="G10" i="14" l="1"/>
  <c r="D11" i="14"/>
  <c r="I10" i="14"/>
  <c r="H10" i="14" s="1"/>
  <c r="L10" i="14" s="1"/>
  <c r="BA9" i="4"/>
  <c r="BC8" i="4"/>
  <c r="BF8" i="4" s="1"/>
  <c r="BG8" i="4" s="1"/>
  <c r="BF7" i="4"/>
  <c r="BG7" i="4" s="1"/>
  <c r="I9" i="13"/>
  <c r="H9" i="13" s="1"/>
  <c r="L9" i="13" s="1"/>
  <c r="BB9" i="3"/>
  <c r="BD8" i="3"/>
  <c r="AL8" i="1"/>
  <c r="AN7" i="1"/>
  <c r="AQ7" i="1" s="1"/>
  <c r="AR7" i="1" s="1"/>
  <c r="D9" i="11"/>
  <c r="I8" i="11"/>
  <c r="H8" i="11" s="1"/>
  <c r="G8" i="11"/>
  <c r="BB9" i="1"/>
  <c r="BE9" i="1" s="1"/>
  <c r="BF9" i="1" s="1"/>
  <c r="AZ10" i="1"/>
  <c r="I11" i="14" l="1"/>
  <c r="H11" i="14" s="1"/>
  <c r="L11" i="14" s="1"/>
  <c r="G11" i="14"/>
  <c r="D12" i="14"/>
  <c r="BA10" i="4"/>
  <c r="BC9" i="4"/>
  <c r="I10" i="13"/>
  <c r="H10" i="13" s="1"/>
  <c r="L10" i="13" s="1"/>
  <c r="BG8" i="3"/>
  <c r="BB10" i="3"/>
  <c r="BD9" i="3"/>
  <c r="BG9" i="3" s="1"/>
  <c r="AL9" i="1"/>
  <c r="AN8" i="1"/>
  <c r="AQ8" i="1" s="1"/>
  <c r="AR8" i="1" s="1"/>
  <c r="D10" i="11"/>
  <c r="I9" i="11"/>
  <c r="H9" i="11" s="1"/>
  <c r="G9" i="11"/>
  <c r="AZ11" i="1"/>
  <c r="BB10" i="1"/>
  <c r="BE10" i="1" s="1"/>
  <c r="BF10" i="1" s="1"/>
  <c r="D13" i="14" l="1"/>
  <c r="I12" i="14"/>
  <c r="H12" i="14" s="1"/>
  <c r="L12" i="14" s="1"/>
  <c r="G12" i="14"/>
  <c r="BF9" i="4"/>
  <c r="BG9" i="4" s="1"/>
  <c r="BC10" i="4"/>
  <c r="BF10" i="4" s="1"/>
  <c r="BG10" i="4" s="1"/>
  <c r="BA11" i="4"/>
  <c r="I11" i="13"/>
  <c r="H11" i="13" s="1"/>
  <c r="L11" i="13" s="1"/>
  <c r="BD10" i="3"/>
  <c r="BG10" i="3" s="1"/>
  <c r="BB11" i="3"/>
  <c r="AL10" i="1"/>
  <c r="AN9" i="1"/>
  <c r="AQ9" i="1" s="1"/>
  <c r="AR9" i="1" s="1"/>
  <c r="D11" i="11"/>
  <c r="G10" i="11"/>
  <c r="I10" i="11"/>
  <c r="H10" i="11" s="1"/>
  <c r="AZ12" i="1"/>
  <c r="BB11" i="1"/>
  <c r="BE11" i="1" s="1"/>
  <c r="BF11" i="1" s="1"/>
  <c r="D14" i="14" l="1"/>
  <c r="I13" i="14"/>
  <c r="H13" i="14" s="1"/>
  <c r="L13" i="14" s="1"/>
  <c r="G13" i="14"/>
  <c r="BA12" i="4"/>
  <c r="BC11" i="4"/>
  <c r="BF11" i="4" s="1"/>
  <c r="BG11" i="4" s="1"/>
  <c r="I12" i="13"/>
  <c r="H12" i="13" s="1"/>
  <c r="L12" i="13" s="1"/>
  <c r="BB12" i="3"/>
  <c r="BD11" i="3"/>
  <c r="BG11" i="3" s="1"/>
  <c r="AL11" i="1"/>
  <c r="AN10" i="1"/>
  <c r="AQ10" i="1" s="1"/>
  <c r="AR10" i="1" s="1"/>
  <c r="D12" i="11"/>
  <c r="G11" i="11"/>
  <c r="I11" i="11"/>
  <c r="H11" i="11" s="1"/>
  <c r="AZ13" i="1"/>
  <c r="BB12" i="1"/>
  <c r="BE12" i="1" s="1"/>
  <c r="BF12" i="1" s="1"/>
  <c r="G14" i="14" l="1"/>
  <c r="D15" i="14"/>
  <c r="I14" i="14"/>
  <c r="H14" i="14" s="1"/>
  <c r="L14" i="14" s="1"/>
  <c r="BC12" i="4"/>
  <c r="BF12" i="4" s="1"/>
  <c r="BG12" i="4" s="1"/>
  <c r="BA13" i="4"/>
  <c r="I13" i="13"/>
  <c r="H13" i="13" s="1"/>
  <c r="L13" i="13" s="1"/>
  <c r="BD12" i="3"/>
  <c r="BG12" i="3" s="1"/>
  <c r="BB13" i="3"/>
  <c r="AL12" i="1"/>
  <c r="AN11" i="1"/>
  <c r="AQ11" i="1" s="1"/>
  <c r="AR11" i="1" s="1"/>
  <c r="D13" i="11"/>
  <c r="G12" i="11"/>
  <c r="I12" i="11"/>
  <c r="H12" i="11" s="1"/>
  <c r="BB13" i="1"/>
  <c r="BE13" i="1" s="1"/>
  <c r="BF13" i="1" s="1"/>
  <c r="AZ14" i="1"/>
  <c r="I15" i="14" l="1"/>
  <c r="H15" i="14" s="1"/>
  <c r="L15" i="14" s="1"/>
  <c r="G15" i="14"/>
  <c r="D16" i="14"/>
  <c r="BA14" i="4"/>
  <c r="BC13" i="4"/>
  <c r="BF13" i="4" s="1"/>
  <c r="BG13" i="4" s="1"/>
  <c r="I14" i="13"/>
  <c r="H14" i="13" s="1"/>
  <c r="L14" i="13" s="1"/>
  <c r="BD13" i="3"/>
  <c r="BG13" i="3" s="1"/>
  <c r="BB14" i="3"/>
  <c r="AL13" i="1"/>
  <c r="AN12" i="1"/>
  <c r="AQ12" i="1" s="1"/>
  <c r="AR12" i="1" s="1"/>
  <c r="D14" i="11"/>
  <c r="I13" i="11"/>
  <c r="H13" i="11" s="1"/>
  <c r="G13" i="11"/>
  <c r="AZ15" i="1"/>
  <c r="BB14" i="1"/>
  <c r="BE14" i="1" s="1"/>
  <c r="BF14" i="1" s="1"/>
  <c r="D17" i="14" l="1"/>
  <c r="I16" i="14"/>
  <c r="H16" i="14" s="1"/>
  <c r="L16" i="14" s="1"/>
  <c r="G16" i="14"/>
  <c r="BA15" i="4"/>
  <c r="BC14" i="4"/>
  <c r="BF14" i="4" s="1"/>
  <c r="BG14" i="4" s="1"/>
  <c r="I15" i="13"/>
  <c r="H15" i="13" s="1"/>
  <c r="L15" i="13" s="1"/>
  <c r="BB15" i="3"/>
  <c r="BD14" i="3"/>
  <c r="AL14" i="1"/>
  <c r="AN13" i="1"/>
  <c r="AQ13" i="1" s="1"/>
  <c r="AR13" i="1" s="1"/>
  <c r="D15" i="11"/>
  <c r="G14" i="11"/>
  <c r="I14" i="11"/>
  <c r="H14" i="11" s="1"/>
  <c r="AZ16" i="1"/>
  <c r="BB15" i="1"/>
  <c r="BE15" i="1" s="1"/>
  <c r="BF15" i="1" s="1"/>
  <c r="D18" i="14" l="1"/>
  <c r="I17" i="14"/>
  <c r="H17" i="14" s="1"/>
  <c r="L17" i="14" s="1"/>
  <c r="G17" i="14"/>
  <c r="BC15" i="4"/>
  <c r="BA16" i="4"/>
  <c r="I16" i="13"/>
  <c r="H16" i="13" s="1"/>
  <c r="L16" i="13" s="1"/>
  <c r="BB16" i="3"/>
  <c r="BD15" i="3"/>
  <c r="BG14" i="3"/>
  <c r="AL15" i="1"/>
  <c r="AN14" i="1"/>
  <c r="AQ14" i="1" s="1"/>
  <c r="AR14" i="1" s="1"/>
  <c r="D16" i="11"/>
  <c r="G15" i="11"/>
  <c r="I15" i="11"/>
  <c r="H15" i="11" s="1"/>
  <c r="AZ17" i="1"/>
  <c r="BB16" i="1"/>
  <c r="BE16" i="1" s="1"/>
  <c r="BF16" i="1" s="1"/>
  <c r="G18" i="14" l="1"/>
  <c r="D19" i="14"/>
  <c r="I18" i="14"/>
  <c r="H18" i="14" s="1"/>
  <c r="L18" i="14" s="1"/>
  <c r="BC16" i="4"/>
  <c r="BA17" i="4"/>
  <c r="BF15" i="4"/>
  <c r="BG15" i="4" s="1"/>
  <c r="I17" i="13"/>
  <c r="H17" i="13" s="1"/>
  <c r="L17" i="13" s="1"/>
  <c r="BB17" i="3"/>
  <c r="BD16" i="3"/>
  <c r="BG15" i="3"/>
  <c r="AL16" i="1"/>
  <c r="AN15" i="1"/>
  <c r="AQ15" i="1" s="1"/>
  <c r="AR15" i="1" s="1"/>
  <c r="D17" i="11"/>
  <c r="I16" i="11"/>
  <c r="H16" i="11" s="1"/>
  <c r="G16" i="11"/>
  <c r="BB17" i="1"/>
  <c r="BE17" i="1" s="1"/>
  <c r="BF17" i="1" s="1"/>
  <c r="AZ18" i="1"/>
  <c r="I19" i="14" l="1"/>
  <c r="H19" i="14" s="1"/>
  <c r="L19" i="14" s="1"/>
  <c r="G19" i="14"/>
  <c r="D20" i="14"/>
  <c r="BA18" i="4"/>
  <c r="BC17" i="4"/>
  <c r="BF17" i="4" s="1"/>
  <c r="BG17" i="4" s="1"/>
  <c r="BF16" i="4"/>
  <c r="BG16" i="4" s="1"/>
  <c r="I18" i="13"/>
  <c r="H18" i="13" s="1"/>
  <c r="L18" i="13" s="1"/>
  <c r="BB18" i="3"/>
  <c r="BD17" i="3"/>
  <c r="BG16" i="3"/>
  <c r="AL17" i="1"/>
  <c r="AN16" i="1"/>
  <c r="AQ16" i="1" s="1"/>
  <c r="AR16" i="1" s="1"/>
  <c r="D18" i="11"/>
  <c r="I17" i="11"/>
  <c r="H17" i="11" s="1"/>
  <c r="G17" i="11"/>
  <c r="AZ19" i="1"/>
  <c r="BB18" i="1"/>
  <c r="BE18" i="1" s="1"/>
  <c r="BF18" i="1" s="1"/>
  <c r="D21" i="14" l="1"/>
  <c r="I20" i="14"/>
  <c r="H20" i="14" s="1"/>
  <c r="L20" i="14" s="1"/>
  <c r="G20" i="14"/>
  <c r="BC18" i="4"/>
  <c r="BA19" i="4"/>
  <c r="I19" i="13"/>
  <c r="H19" i="13" s="1"/>
  <c r="L19" i="13" s="1"/>
  <c r="BG17" i="3"/>
  <c r="BD18" i="3"/>
  <c r="BG18" i="3" s="1"/>
  <c r="BB19" i="3"/>
  <c r="AL18" i="1"/>
  <c r="AN17" i="1"/>
  <c r="AQ17" i="1" s="1"/>
  <c r="AR17" i="1" s="1"/>
  <c r="D19" i="11"/>
  <c r="G18" i="11"/>
  <c r="I18" i="11"/>
  <c r="H18" i="11" s="1"/>
  <c r="AZ20" i="1"/>
  <c r="BB19" i="1"/>
  <c r="BE19" i="1" s="1"/>
  <c r="BF19" i="1" s="1"/>
  <c r="D22" i="14" l="1"/>
  <c r="I21" i="14"/>
  <c r="H21" i="14" s="1"/>
  <c r="L21" i="14" s="1"/>
  <c r="G21" i="14"/>
  <c r="BA20" i="4"/>
  <c r="BC19" i="4"/>
  <c r="BF19" i="4" s="1"/>
  <c r="BG19" i="4" s="1"/>
  <c r="BF18" i="4"/>
  <c r="BG18" i="4" s="1"/>
  <c r="I20" i="13"/>
  <c r="H20" i="13" s="1"/>
  <c r="L20" i="13" s="1"/>
  <c r="BD19" i="3"/>
  <c r="BB20" i="3"/>
  <c r="AL19" i="1"/>
  <c r="AN18" i="1"/>
  <c r="AQ18" i="1" s="1"/>
  <c r="AR18" i="1" s="1"/>
  <c r="D20" i="11"/>
  <c r="G19" i="11"/>
  <c r="I19" i="11"/>
  <c r="H19" i="11" s="1"/>
  <c r="AZ21" i="1"/>
  <c r="BB21" i="1" s="1"/>
  <c r="BE21" i="1" s="1"/>
  <c r="BF21" i="1" s="1"/>
  <c r="BB20" i="1"/>
  <c r="BE20" i="1" s="1"/>
  <c r="BF20" i="1" s="1"/>
  <c r="G22" i="14" l="1"/>
  <c r="D23" i="14"/>
  <c r="I22" i="14"/>
  <c r="H22" i="14" s="1"/>
  <c r="L22" i="14" s="1"/>
  <c r="BA21" i="4"/>
  <c r="BC20" i="4"/>
  <c r="I21" i="13"/>
  <c r="H21" i="13" s="1"/>
  <c r="L21" i="13" s="1"/>
  <c r="BD20" i="3"/>
  <c r="BB21" i="3"/>
  <c r="BG19" i="3"/>
  <c r="AL20" i="1"/>
  <c r="AN19" i="1"/>
  <c r="AQ19" i="1" s="1"/>
  <c r="AR19" i="1" s="1"/>
  <c r="D21" i="11"/>
  <c r="G20" i="11"/>
  <c r="I20" i="11"/>
  <c r="H20" i="11" s="1"/>
  <c r="I23" i="14" l="1"/>
  <c r="H23" i="14" s="1"/>
  <c r="L23" i="14" s="1"/>
  <c r="G23" i="14"/>
  <c r="BF20" i="4"/>
  <c r="BG20" i="4" s="1"/>
  <c r="BC21" i="4"/>
  <c r="BF21" i="4" s="1"/>
  <c r="BG21" i="4" s="1"/>
  <c r="I22" i="13"/>
  <c r="H22" i="13" s="1"/>
  <c r="L22" i="13" s="1"/>
  <c r="BD21" i="3"/>
  <c r="BG21" i="3" s="1"/>
  <c r="BG20" i="3"/>
  <c r="AL21" i="1"/>
  <c r="AN21" i="1" s="1"/>
  <c r="AQ21" i="1" s="1"/>
  <c r="AR21" i="1" s="1"/>
  <c r="AN20" i="1"/>
  <c r="AQ20" i="1" s="1"/>
  <c r="AR20" i="1" s="1"/>
  <c r="D22" i="11"/>
  <c r="G21" i="11"/>
  <c r="I21" i="11"/>
  <c r="H21" i="11" s="1"/>
  <c r="I23" i="13" l="1"/>
  <c r="H23" i="13" s="1"/>
  <c r="L23" i="13" s="1"/>
  <c r="D23" i="11"/>
  <c r="G22" i="11"/>
  <c r="I22" i="11"/>
  <c r="H22" i="11" s="1"/>
  <c r="G23" i="11" l="1"/>
  <c r="I23" i="11"/>
  <c r="H23" i="11" s="1"/>
  <c r="H47" i="10" l="1"/>
  <c r="H46" i="10"/>
  <c r="H45" i="10"/>
  <c r="H44" i="10"/>
  <c r="H43" i="10"/>
  <c r="H42" i="10"/>
  <c r="H41" i="10"/>
  <c r="H40" i="10"/>
  <c r="H39" i="10"/>
  <c r="H38" i="10"/>
  <c r="H37" i="10"/>
  <c r="H36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F15" i="10"/>
  <c r="F14" i="10"/>
  <c r="F13" i="10"/>
  <c r="F12" i="10"/>
  <c r="F11" i="10"/>
  <c r="F10" i="10"/>
  <c r="F9" i="10"/>
  <c r="F8" i="10"/>
  <c r="F7" i="10"/>
  <c r="F6" i="10"/>
  <c r="F5" i="10"/>
  <c r="F4" i="10"/>
  <c r="G4" i="10" s="1"/>
  <c r="E4" i="10"/>
  <c r="E5" i="10" s="1"/>
  <c r="E6" i="10" l="1"/>
  <c r="J5" i="10"/>
  <c r="I5" i="10" s="1"/>
  <c r="M5" i="10" s="1"/>
  <c r="H5" i="10"/>
  <c r="H4" i="10"/>
  <c r="J4" i="10"/>
  <c r="I4" i="10" s="1"/>
  <c r="M4" i="10" s="1"/>
  <c r="AA192" i="4"/>
  <c r="AA193" i="4" s="1"/>
  <c r="AA194" i="4" s="1"/>
  <c r="AA195" i="4" s="1"/>
  <c r="AA196" i="4" s="1"/>
  <c r="AA197" i="4" s="1"/>
  <c r="AA198" i="4" s="1"/>
  <c r="AA199" i="4" s="1"/>
  <c r="AA200" i="4" s="1"/>
  <c r="AA201" i="4" s="1"/>
  <c r="AA191" i="4"/>
  <c r="Z191" i="4"/>
  <c r="Z192" i="4" s="1"/>
  <c r="Z193" i="4" s="1"/>
  <c r="Z194" i="4" s="1"/>
  <c r="Z195" i="4" s="1"/>
  <c r="Z196" i="4" s="1"/>
  <c r="Z197" i="4" s="1"/>
  <c r="Z198" i="4" s="1"/>
  <c r="Z199" i="4" s="1"/>
  <c r="Z200" i="4" s="1"/>
  <c r="Z201" i="4" s="1"/>
  <c r="AA209" i="4"/>
  <c r="AA210" i="4" s="1"/>
  <c r="AA211" i="4" s="1"/>
  <c r="AA212" i="4" s="1"/>
  <c r="AA213" i="4" s="1"/>
  <c r="AA214" i="4" s="1"/>
  <c r="AA215" i="4" s="1"/>
  <c r="AA216" i="4" s="1"/>
  <c r="AA217" i="4" s="1"/>
  <c r="AA218" i="4" s="1"/>
  <c r="AA219" i="4" s="1"/>
  <c r="Z209" i="4"/>
  <c r="Z210" i="4" s="1"/>
  <c r="Z211" i="4" s="1"/>
  <c r="Z212" i="4" s="1"/>
  <c r="Z213" i="4" s="1"/>
  <c r="Z214" i="4" s="1"/>
  <c r="Z215" i="4" s="1"/>
  <c r="Z216" i="4" s="1"/>
  <c r="Z217" i="4" s="1"/>
  <c r="Z218" i="4" s="1"/>
  <c r="Z219" i="4" s="1"/>
  <c r="Z218" i="3"/>
  <c r="Z219" i="3" s="1"/>
  <c r="Z220" i="3" s="1"/>
  <c r="Z221" i="3" s="1"/>
  <c r="Z222" i="3" s="1"/>
  <c r="Z223" i="3" s="1"/>
  <c r="Z224" i="3" s="1"/>
  <c r="Z225" i="3" s="1"/>
  <c r="Z226" i="3" s="1"/>
  <c r="Z227" i="3" s="1"/>
  <c r="AA217" i="3"/>
  <c r="AA218" i="3" s="1"/>
  <c r="AA219" i="3" s="1"/>
  <c r="AA220" i="3" s="1"/>
  <c r="AA221" i="3" s="1"/>
  <c r="AA222" i="3" s="1"/>
  <c r="AA223" i="3" s="1"/>
  <c r="AA224" i="3" s="1"/>
  <c r="AA225" i="3" s="1"/>
  <c r="AA226" i="3" s="1"/>
  <c r="AA227" i="3" s="1"/>
  <c r="Z217" i="3"/>
  <c r="AA200" i="3"/>
  <c r="AA201" i="3" s="1"/>
  <c r="AA202" i="3" s="1"/>
  <c r="AA203" i="3" s="1"/>
  <c r="AA204" i="3" s="1"/>
  <c r="AA205" i="3" s="1"/>
  <c r="AA206" i="3" s="1"/>
  <c r="AA207" i="3" s="1"/>
  <c r="AA208" i="3" s="1"/>
  <c r="AA209" i="3" s="1"/>
  <c r="AA199" i="3"/>
  <c r="Z199" i="3"/>
  <c r="Z200" i="3" s="1"/>
  <c r="Z201" i="3" s="1"/>
  <c r="Z202" i="3" s="1"/>
  <c r="Z203" i="3" s="1"/>
  <c r="Z204" i="3" s="1"/>
  <c r="Z205" i="3" s="1"/>
  <c r="Z206" i="3" s="1"/>
  <c r="Z207" i="3" s="1"/>
  <c r="Z208" i="3" s="1"/>
  <c r="Z209" i="3" s="1"/>
  <c r="AA258" i="2"/>
  <c r="AA259" i="2" s="1"/>
  <c r="AA260" i="2" s="1"/>
  <c r="AA261" i="2" s="1"/>
  <c r="AA262" i="2" s="1"/>
  <c r="AA263" i="2" s="1"/>
  <c r="AA264" i="2" s="1"/>
  <c r="AA265" i="2" s="1"/>
  <c r="AA266" i="2" s="1"/>
  <c r="AA267" i="2" s="1"/>
  <c r="AA257" i="2"/>
  <c r="Z257" i="2"/>
  <c r="Z258" i="2" s="1"/>
  <c r="Z259" i="2" s="1"/>
  <c r="Z260" i="2" s="1"/>
  <c r="Z261" i="2" s="1"/>
  <c r="Z262" i="2" s="1"/>
  <c r="Z263" i="2" s="1"/>
  <c r="Z264" i="2" s="1"/>
  <c r="Z265" i="2" s="1"/>
  <c r="Z266" i="2" s="1"/>
  <c r="Z267" i="2" s="1"/>
  <c r="AA243" i="2"/>
  <c r="AA244" i="2" s="1"/>
  <c r="AA245" i="2" s="1"/>
  <c r="AA246" i="2" s="1"/>
  <c r="AA247" i="2" s="1"/>
  <c r="AA248" i="2" s="1"/>
  <c r="AA249" i="2" s="1"/>
  <c r="AA250" i="2" s="1"/>
  <c r="AA251" i="2" s="1"/>
  <c r="AA252" i="2" s="1"/>
  <c r="AA242" i="2"/>
  <c r="Z242" i="2"/>
  <c r="Z243" i="2" s="1"/>
  <c r="Z244" i="2" s="1"/>
  <c r="Z245" i="2" s="1"/>
  <c r="Z246" i="2" s="1"/>
  <c r="Z247" i="2" s="1"/>
  <c r="Z248" i="2" s="1"/>
  <c r="Z249" i="2" s="1"/>
  <c r="Z250" i="2" s="1"/>
  <c r="Z251" i="2" s="1"/>
  <c r="Z252" i="2" s="1"/>
  <c r="AA227" i="2"/>
  <c r="AA228" i="2" s="1"/>
  <c r="AA229" i="2" s="1"/>
  <c r="AA230" i="2" s="1"/>
  <c r="AA231" i="2" s="1"/>
  <c r="AA232" i="2" s="1"/>
  <c r="AA233" i="2" s="1"/>
  <c r="AA234" i="2" s="1"/>
  <c r="AA235" i="2" s="1"/>
  <c r="AA236" i="2" s="1"/>
  <c r="AA226" i="2"/>
  <c r="Z226" i="2"/>
  <c r="Z227" i="2" s="1"/>
  <c r="Z228" i="2" s="1"/>
  <c r="Z229" i="2" s="1"/>
  <c r="Z230" i="2" s="1"/>
  <c r="Z231" i="2" s="1"/>
  <c r="Z232" i="2" s="1"/>
  <c r="Z233" i="2" s="1"/>
  <c r="Z234" i="2" s="1"/>
  <c r="Z235" i="2" s="1"/>
  <c r="Z236" i="2" s="1"/>
  <c r="AA211" i="2"/>
  <c r="AA212" i="2" s="1"/>
  <c r="AA213" i="2" s="1"/>
  <c r="AA214" i="2" s="1"/>
  <c r="AA215" i="2" s="1"/>
  <c r="AA216" i="2" s="1"/>
  <c r="AA217" i="2" s="1"/>
  <c r="AA218" i="2" s="1"/>
  <c r="AA219" i="2" s="1"/>
  <c r="AA220" i="2" s="1"/>
  <c r="AA210" i="2"/>
  <c r="Z210" i="2"/>
  <c r="Z211" i="2" s="1"/>
  <c r="Z212" i="2" s="1"/>
  <c r="Z213" i="2" s="1"/>
  <c r="Z214" i="2" s="1"/>
  <c r="Z215" i="2" s="1"/>
  <c r="Z216" i="2" s="1"/>
  <c r="Z217" i="2" s="1"/>
  <c r="Z218" i="2" s="1"/>
  <c r="Z219" i="2" s="1"/>
  <c r="Z220" i="2" s="1"/>
  <c r="AA192" i="2"/>
  <c r="AA193" i="2" s="1"/>
  <c r="AA194" i="2" s="1"/>
  <c r="AA195" i="2" s="1"/>
  <c r="AA196" i="2" s="1"/>
  <c r="AA197" i="2" s="1"/>
  <c r="AA198" i="2" s="1"/>
  <c r="AA199" i="2" s="1"/>
  <c r="AA200" i="2" s="1"/>
  <c r="AA201" i="2" s="1"/>
  <c r="AA202" i="2" s="1"/>
  <c r="Z192" i="2"/>
  <c r="Z193" i="2" s="1"/>
  <c r="Z194" i="2" s="1"/>
  <c r="Z195" i="2" s="1"/>
  <c r="Z196" i="2" s="1"/>
  <c r="Z197" i="2" s="1"/>
  <c r="Z198" i="2" s="1"/>
  <c r="Z199" i="2" s="1"/>
  <c r="Z200" i="2" s="1"/>
  <c r="Z201" i="2" s="1"/>
  <c r="Z202" i="2" s="1"/>
  <c r="AA255" i="1"/>
  <c r="AA256" i="1" s="1"/>
  <c r="AA257" i="1" s="1"/>
  <c r="AA258" i="1" s="1"/>
  <c r="AA259" i="1" s="1"/>
  <c r="AA260" i="1" s="1"/>
  <c r="AA261" i="1" s="1"/>
  <c r="AA262" i="1" s="1"/>
  <c r="AA263" i="1" s="1"/>
  <c r="AA264" i="1" s="1"/>
  <c r="AA265" i="1" s="1"/>
  <c r="Z255" i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AA224" i="1"/>
  <c r="AA225" i="1" s="1"/>
  <c r="AA226" i="1" s="1"/>
  <c r="AA227" i="1" s="1"/>
  <c r="AA228" i="1" s="1"/>
  <c r="AA229" i="1" s="1"/>
  <c r="AA230" i="1" s="1"/>
  <c r="AA231" i="1" s="1"/>
  <c r="AA232" i="1" s="1"/>
  <c r="AA233" i="1" s="1"/>
  <c r="AA234" i="1" s="1"/>
  <c r="Z224" i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AA208" i="1"/>
  <c r="AA209" i="1" s="1"/>
  <c r="AA210" i="1" s="1"/>
  <c r="AA211" i="1" s="1"/>
  <c r="AA212" i="1" s="1"/>
  <c r="AA213" i="1" s="1"/>
  <c r="AA214" i="1" s="1"/>
  <c r="AA215" i="1" s="1"/>
  <c r="AA216" i="1" s="1"/>
  <c r="AA217" i="1" s="1"/>
  <c r="AA218" i="1" s="1"/>
  <c r="Z208" i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AA190" i="1"/>
  <c r="AA191" i="1" s="1"/>
  <c r="AA192" i="1" s="1"/>
  <c r="AA193" i="1" s="1"/>
  <c r="AA194" i="1" s="1"/>
  <c r="AA195" i="1" s="1"/>
  <c r="AA196" i="1" s="1"/>
  <c r="AA197" i="1" s="1"/>
  <c r="AA198" i="1" s="1"/>
  <c r="AA199" i="1" s="1"/>
  <c r="AA200" i="1" s="1"/>
  <c r="Z190" i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AA240" i="1"/>
  <c r="AA241" i="1" s="1"/>
  <c r="AA242" i="1" s="1"/>
  <c r="AA243" i="1" s="1"/>
  <c r="AA244" i="1" s="1"/>
  <c r="AA245" i="1" s="1"/>
  <c r="AA246" i="1" s="1"/>
  <c r="AA247" i="1" s="1"/>
  <c r="AA248" i="1" s="1"/>
  <c r="AA249" i="1" s="1"/>
  <c r="AA250" i="1" s="1"/>
  <c r="Z240" i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H6" i="10" l="1"/>
  <c r="E7" i="10"/>
  <c r="J6" i="10"/>
  <c r="I6" i="10" s="1"/>
  <c r="M6" i="10" s="1"/>
  <c r="G39" i="4"/>
  <c r="G28" i="4"/>
  <c r="J28" i="4" s="1"/>
  <c r="G45" i="3"/>
  <c r="J45" i="3" s="1"/>
  <c r="G44" i="3"/>
  <c r="J44" i="3" s="1"/>
  <c r="G43" i="3"/>
  <c r="J43" i="3" s="1"/>
  <c r="G42" i="3"/>
  <c r="J42" i="3" s="1"/>
  <c r="G41" i="3"/>
  <c r="J41" i="3" s="1"/>
  <c r="G40" i="3"/>
  <c r="J40" i="3" s="1"/>
  <c r="G39" i="3"/>
  <c r="J39" i="3" s="1"/>
  <c r="G38" i="3"/>
  <c r="J38" i="3" s="1"/>
  <c r="G37" i="3"/>
  <c r="J37" i="3" s="1"/>
  <c r="G36" i="3"/>
  <c r="J36" i="3" s="1"/>
  <c r="G35" i="3"/>
  <c r="J35" i="3" s="1"/>
  <c r="G34" i="3"/>
  <c r="J34" i="3" s="1"/>
  <c r="J54" i="2"/>
  <c r="J40" i="2"/>
  <c r="I40" i="2"/>
  <c r="G29" i="2"/>
  <c r="J175" i="1"/>
  <c r="J164" i="1"/>
  <c r="J150" i="1"/>
  <c r="J148" i="1"/>
  <c r="J137" i="1"/>
  <c r="J135" i="1"/>
  <c r="J124" i="1"/>
  <c r="J122" i="1"/>
  <c r="J111" i="1"/>
  <c r="J108" i="1"/>
  <c r="J97" i="1"/>
  <c r="J94" i="1"/>
  <c r="J83" i="1"/>
  <c r="J80" i="1"/>
  <c r="J69" i="1"/>
  <c r="J66" i="1"/>
  <c r="J55" i="1"/>
  <c r="J52" i="1"/>
  <c r="J41" i="1"/>
  <c r="G38" i="1"/>
  <c r="J38" i="1" s="1"/>
  <c r="G27" i="1"/>
  <c r="J27" i="1" s="1"/>
  <c r="J161" i="1" l="1"/>
  <c r="K161" i="1" s="1"/>
  <c r="J7" i="10"/>
  <c r="I7" i="10" s="1"/>
  <c r="M7" i="10" s="1"/>
  <c r="H7" i="10"/>
  <c r="E8" i="10"/>
  <c r="AF51" i="7"/>
  <c r="AF52" i="7" s="1"/>
  <c r="AF53" i="7" s="1"/>
  <c r="AF54" i="7" s="1"/>
  <c r="AF55" i="7" s="1"/>
  <c r="AF56" i="7" s="1"/>
  <c r="AF57" i="7" s="1"/>
  <c r="AF58" i="7" s="1"/>
  <c r="AF59" i="7" s="1"/>
  <c r="AF60" i="7" s="1"/>
  <c r="E9" i="10" l="1"/>
  <c r="J8" i="10"/>
  <c r="I8" i="10" s="1"/>
  <c r="M8" i="10" s="1"/>
  <c r="H8" i="10"/>
  <c r="E167" i="4"/>
  <c r="E153" i="4"/>
  <c r="K152" i="4"/>
  <c r="E140" i="4"/>
  <c r="E127" i="4"/>
  <c r="E113" i="4"/>
  <c r="E99" i="4"/>
  <c r="E85" i="4"/>
  <c r="E71" i="4"/>
  <c r="E57" i="4"/>
  <c r="E29" i="4"/>
  <c r="AI15" i="4"/>
  <c r="AI14" i="4"/>
  <c r="AI13" i="4"/>
  <c r="AI12" i="4"/>
  <c r="AI11" i="4"/>
  <c r="AI10" i="4"/>
  <c r="AI9" i="4"/>
  <c r="Z9" i="4"/>
  <c r="Z10" i="4" s="1"/>
  <c r="Z11" i="4" s="1"/>
  <c r="Z12" i="4" s="1"/>
  <c r="Z13" i="4" s="1"/>
  <c r="Z14" i="4" s="1"/>
  <c r="Z15" i="4" s="1"/>
  <c r="Z16" i="4" s="1"/>
  <c r="Z17" i="4" s="1"/>
  <c r="Z18" i="4" s="1"/>
  <c r="Z19" i="4" s="1"/>
  <c r="Y9" i="4"/>
  <c r="Y10" i="4" s="1"/>
  <c r="Y11" i="4" s="1"/>
  <c r="Y12" i="4" s="1"/>
  <c r="Y13" i="4" s="1"/>
  <c r="Y14" i="4" s="1"/>
  <c r="Y15" i="4" s="1"/>
  <c r="Y16" i="4" s="1"/>
  <c r="Y17" i="4" s="1"/>
  <c r="Y18" i="4" s="1"/>
  <c r="Y19" i="4" s="1"/>
  <c r="AI8" i="4"/>
  <c r="AI7" i="4"/>
  <c r="AI6" i="4"/>
  <c r="AI5" i="4"/>
  <c r="AI4" i="4"/>
  <c r="AH4" i="4"/>
  <c r="E175" i="3"/>
  <c r="E161" i="3"/>
  <c r="E162" i="3" s="1"/>
  <c r="E149" i="3"/>
  <c r="E150" i="3" s="1"/>
  <c r="E148" i="3"/>
  <c r="E135" i="3"/>
  <c r="E136" i="3" s="1"/>
  <c r="E122" i="3"/>
  <c r="E123" i="3" s="1"/>
  <c r="E109" i="3"/>
  <c r="E110" i="3" s="1"/>
  <c r="E108" i="3"/>
  <c r="E94" i="3"/>
  <c r="E95" i="3" s="1"/>
  <c r="E80" i="3"/>
  <c r="E64" i="3"/>
  <c r="E35" i="3"/>
  <c r="E36" i="3" s="1"/>
  <c r="AI15" i="3"/>
  <c r="AI14" i="3"/>
  <c r="AI13" i="3"/>
  <c r="AI12" i="3"/>
  <c r="AI11" i="3"/>
  <c r="AI10" i="3"/>
  <c r="AI9" i="3"/>
  <c r="Z9" i="3"/>
  <c r="Z10" i="3" s="1"/>
  <c r="Z11" i="3" s="1"/>
  <c r="Z12" i="3" s="1"/>
  <c r="Z13" i="3" s="1"/>
  <c r="Z14" i="3" s="1"/>
  <c r="Z15" i="3" s="1"/>
  <c r="Z16" i="3" s="1"/>
  <c r="Z17" i="3" s="1"/>
  <c r="Z18" i="3" s="1"/>
  <c r="Z19" i="3" s="1"/>
  <c r="Y9" i="3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AI8" i="3"/>
  <c r="AI7" i="3"/>
  <c r="AI6" i="3"/>
  <c r="AI5" i="3"/>
  <c r="AI4" i="3"/>
  <c r="AH4" i="3"/>
  <c r="AH5" i="3" s="1"/>
  <c r="I177" i="2"/>
  <c r="J177" i="2" s="1"/>
  <c r="E167" i="2"/>
  <c r="I166" i="2"/>
  <c r="J166" i="2" s="1"/>
  <c r="I163" i="2"/>
  <c r="J163" i="2" s="1"/>
  <c r="E153" i="2"/>
  <c r="I152" i="2"/>
  <c r="J152" i="2" s="1"/>
  <c r="K152" i="2" s="1"/>
  <c r="I150" i="2"/>
  <c r="J150" i="2" s="1"/>
  <c r="E140" i="2"/>
  <c r="I139" i="2"/>
  <c r="J139" i="2" s="1"/>
  <c r="I137" i="2"/>
  <c r="J137" i="2" s="1"/>
  <c r="E127" i="2"/>
  <c r="I126" i="2"/>
  <c r="J126" i="2" s="1"/>
  <c r="I124" i="2"/>
  <c r="J124" i="2" s="1"/>
  <c r="E114" i="2"/>
  <c r="I113" i="2"/>
  <c r="J113" i="2" s="1"/>
  <c r="I110" i="2"/>
  <c r="J110" i="2" s="1"/>
  <c r="E100" i="2"/>
  <c r="I99" i="2"/>
  <c r="J99" i="2" s="1"/>
  <c r="I96" i="2"/>
  <c r="J96" i="2" s="1"/>
  <c r="E86" i="2"/>
  <c r="I85" i="2"/>
  <c r="J85" i="2" s="1"/>
  <c r="I82" i="2"/>
  <c r="J82" i="2" s="1"/>
  <c r="E72" i="2"/>
  <c r="I71" i="2"/>
  <c r="J71" i="2" s="1"/>
  <c r="I68" i="2"/>
  <c r="J68" i="2" s="1"/>
  <c r="E58" i="2"/>
  <c r="I57" i="2"/>
  <c r="J57" i="2" s="1"/>
  <c r="I54" i="2"/>
  <c r="E44" i="2"/>
  <c r="I43" i="2"/>
  <c r="J43" i="2" s="1"/>
  <c r="E30" i="2"/>
  <c r="I29" i="2"/>
  <c r="J29" i="2" s="1"/>
  <c r="Z10" i="2"/>
  <c r="Z11" i="2" s="1"/>
  <c r="Z12" i="2" s="1"/>
  <c r="Z13" i="2" s="1"/>
  <c r="Z14" i="2" s="1"/>
  <c r="Z15" i="2" s="1"/>
  <c r="Z16" i="2" s="1"/>
  <c r="Z17" i="2" s="1"/>
  <c r="Z18" i="2" s="1"/>
  <c r="Z19" i="2" s="1"/>
  <c r="Z20" i="2" s="1"/>
  <c r="Y10" i="2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AI4" i="2"/>
  <c r="AJ4" i="2" s="1"/>
  <c r="AK4" i="2" s="1"/>
  <c r="AH4" i="2"/>
  <c r="AH5" i="2" s="1"/>
  <c r="E165" i="1"/>
  <c r="J165" i="1" s="1"/>
  <c r="E151" i="1"/>
  <c r="K150" i="1"/>
  <c r="E138" i="1"/>
  <c r="J138" i="1" s="1"/>
  <c r="E125" i="1"/>
  <c r="E112" i="1"/>
  <c r="E98" i="1"/>
  <c r="E84" i="1"/>
  <c r="J84" i="1" s="1"/>
  <c r="E70" i="1"/>
  <c r="E56" i="1"/>
  <c r="E42" i="1"/>
  <c r="E28" i="1"/>
  <c r="G28" i="1" s="1"/>
  <c r="J28" i="1" s="1"/>
  <c r="Z9" i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Y9" i="1"/>
  <c r="Y10" i="1" s="1"/>
  <c r="Y11" i="1" s="1"/>
  <c r="Y12" i="1" s="1"/>
  <c r="Y13" i="1" s="1"/>
  <c r="Y14" i="1" s="1"/>
  <c r="Y15" i="1" s="1"/>
  <c r="Y16" i="1" s="1"/>
  <c r="Y17" i="1" s="1"/>
  <c r="Y18" i="1" s="1"/>
  <c r="Y19" i="1" s="1"/>
  <c r="AJ4" i="3" l="1"/>
  <c r="AK4" i="3" s="1"/>
  <c r="E30" i="4"/>
  <c r="G29" i="4"/>
  <c r="E58" i="4"/>
  <c r="K153" i="4"/>
  <c r="AJ4" i="4"/>
  <c r="AK4" i="4" s="1"/>
  <c r="E72" i="4"/>
  <c r="E154" i="4"/>
  <c r="E100" i="4"/>
  <c r="E114" i="4"/>
  <c r="E128" i="4"/>
  <c r="E10" i="10"/>
  <c r="J9" i="10"/>
  <c r="I9" i="10" s="1"/>
  <c r="M9" i="10" s="1"/>
  <c r="H9" i="10"/>
  <c r="E43" i="1"/>
  <c r="J43" i="1" s="1"/>
  <c r="J42" i="1"/>
  <c r="E57" i="1"/>
  <c r="J57" i="1" s="1"/>
  <c r="J56" i="1"/>
  <c r="E152" i="1"/>
  <c r="E71" i="1"/>
  <c r="J71" i="1" s="1"/>
  <c r="J70" i="1"/>
  <c r="E99" i="1"/>
  <c r="J99" i="1" s="1"/>
  <c r="J98" i="1"/>
  <c r="E113" i="1"/>
  <c r="J113" i="1" s="1"/>
  <c r="J112" i="1"/>
  <c r="E126" i="1"/>
  <c r="J126" i="1" s="1"/>
  <c r="J125" i="1"/>
  <c r="E59" i="2"/>
  <c r="E31" i="2"/>
  <c r="J30" i="2"/>
  <c r="I30" i="2"/>
  <c r="E73" i="2"/>
  <c r="J73" i="2" s="1"/>
  <c r="I167" i="2"/>
  <c r="I44" i="2"/>
  <c r="J44" i="2"/>
  <c r="I114" i="2"/>
  <c r="J114" i="2"/>
  <c r="I140" i="2"/>
  <c r="I86" i="2"/>
  <c r="E115" i="2"/>
  <c r="E116" i="2" s="1"/>
  <c r="I153" i="2"/>
  <c r="E101" i="2"/>
  <c r="J100" i="2"/>
  <c r="E128" i="2"/>
  <c r="I100" i="2"/>
  <c r="K163" i="4"/>
  <c r="AH5" i="4"/>
  <c r="AH6" i="4" s="1"/>
  <c r="AK6" i="4" s="1"/>
  <c r="E101" i="4"/>
  <c r="E73" i="4"/>
  <c r="E59" i="4"/>
  <c r="E31" i="4"/>
  <c r="E129" i="4"/>
  <c r="E86" i="4"/>
  <c r="E141" i="4"/>
  <c r="E168" i="4"/>
  <c r="AK5" i="3"/>
  <c r="AM5" i="3"/>
  <c r="AL5" i="3" s="1"/>
  <c r="AP5" i="3" s="1"/>
  <c r="E37" i="3"/>
  <c r="E163" i="3"/>
  <c r="E81" i="3"/>
  <c r="K160" i="3"/>
  <c r="K171" i="3"/>
  <c r="K161" i="3"/>
  <c r="AM4" i="3"/>
  <c r="AL4" i="3" s="1"/>
  <c r="AP4" i="3" s="1"/>
  <c r="E38" i="3"/>
  <c r="E111" i="3"/>
  <c r="AH6" i="3"/>
  <c r="E96" i="3"/>
  <c r="E124" i="3"/>
  <c r="E137" i="3"/>
  <c r="E151" i="3"/>
  <c r="E65" i="3"/>
  <c r="E176" i="3"/>
  <c r="E164" i="3"/>
  <c r="AM6" i="2"/>
  <c r="AL6" i="2" s="1"/>
  <c r="AP6" i="2" s="1"/>
  <c r="AK5" i="2"/>
  <c r="K163" i="2"/>
  <c r="E45" i="2"/>
  <c r="J45" i="2" s="1"/>
  <c r="I58" i="2"/>
  <c r="AM4" i="2"/>
  <c r="AL4" i="2" s="1"/>
  <c r="AP4" i="2" s="1"/>
  <c r="E60" i="2"/>
  <c r="I59" i="2"/>
  <c r="E32" i="2"/>
  <c r="AM5" i="2"/>
  <c r="AL5" i="2" s="1"/>
  <c r="AP5" i="2" s="1"/>
  <c r="E74" i="2"/>
  <c r="I73" i="2"/>
  <c r="I128" i="2"/>
  <c r="E102" i="2"/>
  <c r="I101" i="2"/>
  <c r="I72" i="2"/>
  <c r="E87" i="2"/>
  <c r="I127" i="2"/>
  <c r="E141" i="2"/>
  <c r="E154" i="2"/>
  <c r="E168" i="2"/>
  <c r="E29" i="1"/>
  <c r="E85" i="1"/>
  <c r="E139" i="1"/>
  <c r="J139" i="1" s="1"/>
  <c r="E58" i="1"/>
  <c r="J58" i="1" s="1"/>
  <c r="E72" i="1"/>
  <c r="J72" i="1" s="1"/>
  <c r="E114" i="1"/>
  <c r="J114" i="1" s="1"/>
  <c r="E166" i="1"/>
  <c r="J166" i="1" s="1"/>
  <c r="E100" i="1" l="1"/>
  <c r="J100" i="1" s="1"/>
  <c r="E127" i="1"/>
  <c r="J127" i="1" s="1"/>
  <c r="E44" i="1"/>
  <c r="J44" i="1" s="1"/>
  <c r="E153" i="1"/>
  <c r="J153" i="1" s="1"/>
  <c r="K153" i="1" s="1"/>
  <c r="AM4" i="4"/>
  <c r="AL4" i="4" s="1"/>
  <c r="AP4" i="4" s="1"/>
  <c r="AM5" i="4"/>
  <c r="AL5" i="4" s="1"/>
  <c r="AP5" i="4" s="1"/>
  <c r="AM6" i="4"/>
  <c r="AL6" i="4" s="1"/>
  <c r="AP6" i="4" s="1"/>
  <c r="AH7" i="4"/>
  <c r="AK5" i="4"/>
  <c r="K154" i="4"/>
  <c r="E115" i="4"/>
  <c r="E155" i="4"/>
  <c r="G31" i="4"/>
  <c r="G30" i="4"/>
  <c r="J152" i="1"/>
  <c r="K152" i="1" s="1"/>
  <c r="J151" i="1"/>
  <c r="K151" i="1" s="1"/>
  <c r="H10" i="10"/>
  <c r="J10" i="10"/>
  <c r="I10" i="10" s="1"/>
  <c r="M10" i="10" s="1"/>
  <c r="E11" i="10"/>
  <c r="E86" i="1"/>
  <c r="J85" i="1"/>
  <c r="E30" i="1"/>
  <c r="G29" i="1"/>
  <c r="J29" i="1" s="1"/>
  <c r="J168" i="2"/>
  <c r="J127" i="2"/>
  <c r="J128" i="2"/>
  <c r="J140" i="2"/>
  <c r="J72" i="2"/>
  <c r="E129" i="2"/>
  <c r="J101" i="2"/>
  <c r="I32" i="2"/>
  <c r="J32" i="2"/>
  <c r="J153" i="2"/>
  <c r="K153" i="2" s="1"/>
  <c r="J74" i="2"/>
  <c r="J31" i="2"/>
  <c r="I31" i="2"/>
  <c r="J58" i="2"/>
  <c r="E46" i="2"/>
  <c r="J46" i="2" s="1"/>
  <c r="I115" i="2"/>
  <c r="J115" i="2"/>
  <c r="J86" i="2"/>
  <c r="J167" i="2"/>
  <c r="J59" i="2"/>
  <c r="E32" i="4"/>
  <c r="E74" i="4"/>
  <c r="E60" i="4"/>
  <c r="AM7" i="4"/>
  <c r="AL7" i="4" s="1"/>
  <c r="AP7" i="4" s="1"/>
  <c r="AK7" i="4"/>
  <c r="AH8" i="4"/>
  <c r="E169" i="4"/>
  <c r="E130" i="4"/>
  <c r="E142" i="4"/>
  <c r="E87" i="4"/>
  <c r="E116" i="4"/>
  <c r="E102" i="4"/>
  <c r="E82" i="3"/>
  <c r="K162" i="3"/>
  <c r="K163" i="3"/>
  <c r="E165" i="3"/>
  <c r="E138" i="3"/>
  <c r="E112" i="3"/>
  <c r="E125" i="3"/>
  <c r="E39" i="3"/>
  <c r="E177" i="3"/>
  <c r="E66" i="3"/>
  <c r="E152" i="3"/>
  <c r="E97" i="3"/>
  <c r="AM6" i="3"/>
  <c r="AL6" i="3" s="1"/>
  <c r="AP6" i="3" s="1"/>
  <c r="AK6" i="3"/>
  <c r="AH7" i="3"/>
  <c r="AK6" i="2"/>
  <c r="I45" i="2"/>
  <c r="E142" i="2"/>
  <c r="I141" i="2"/>
  <c r="J141" i="2" s="1"/>
  <c r="E117" i="2"/>
  <c r="I116" i="2"/>
  <c r="J116" i="2" s="1"/>
  <c r="E75" i="2"/>
  <c r="I74" i="2"/>
  <c r="E88" i="2"/>
  <c r="I87" i="2"/>
  <c r="J87" i="2" s="1"/>
  <c r="E47" i="2"/>
  <c r="J47" i="2" s="1"/>
  <c r="I46" i="2"/>
  <c r="E103" i="2"/>
  <c r="I102" i="2"/>
  <c r="J102" i="2" s="1"/>
  <c r="E33" i="2"/>
  <c r="E169" i="2"/>
  <c r="I168" i="2"/>
  <c r="E155" i="2"/>
  <c r="I154" i="2"/>
  <c r="J154" i="2" s="1"/>
  <c r="E130" i="2"/>
  <c r="AM7" i="2"/>
  <c r="AL7" i="2" s="1"/>
  <c r="AP7" i="2" s="1"/>
  <c r="AK7" i="2"/>
  <c r="E61" i="2"/>
  <c r="I60" i="2"/>
  <c r="J60" i="2" s="1"/>
  <c r="E140" i="1"/>
  <c r="J140" i="1" s="1"/>
  <c r="E128" i="1"/>
  <c r="J128" i="1" s="1"/>
  <c r="E101" i="1"/>
  <c r="J101" i="1" s="1"/>
  <c r="E73" i="1"/>
  <c r="J73" i="1" s="1"/>
  <c r="E167" i="1"/>
  <c r="J167" i="1" s="1"/>
  <c r="E115" i="1"/>
  <c r="J115" i="1" s="1"/>
  <c r="E45" i="1"/>
  <c r="J45" i="1" s="1"/>
  <c r="E59" i="1"/>
  <c r="J59" i="1" s="1"/>
  <c r="E154" i="1" l="1"/>
  <c r="G32" i="4"/>
  <c r="K155" i="4"/>
  <c r="E156" i="4"/>
  <c r="J154" i="1"/>
  <c r="K154" i="1" s="1"/>
  <c r="J11" i="10"/>
  <c r="I11" i="10" s="1"/>
  <c r="M11" i="10" s="1"/>
  <c r="E12" i="10"/>
  <c r="H11" i="10"/>
  <c r="E31" i="1"/>
  <c r="G30" i="1"/>
  <c r="J30" i="1" s="1"/>
  <c r="J86" i="1"/>
  <c r="E87" i="1"/>
  <c r="J129" i="2"/>
  <c r="J130" i="2"/>
  <c r="I33" i="2"/>
  <c r="J33" i="2"/>
  <c r="I129" i="2"/>
  <c r="J103" i="2"/>
  <c r="J142" i="2"/>
  <c r="E103" i="4"/>
  <c r="AM8" i="4"/>
  <c r="AL8" i="4" s="1"/>
  <c r="AP8" i="4" s="1"/>
  <c r="AK8" i="4"/>
  <c r="AH9" i="4"/>
  <c r="E117" i="4"/>
  <c r="E75" i="4"/>
  <c r="E143" i="4"/>
  <c r="E131" i="4"/>
  <c r="E61" i="4"/>
  <c r="E88" i="4"/>
  <c r="E33" i="4"/>
  <c r="E170" i="4"/>
  <c r="E83" i="3"/>
  <c r="E178" i="3"/>
  <c r="E113" i="3"/>
  <c r="AH8" i="3"/>
  <c r="AM7" i="3"/>
  <c r="AL7" i="3" s="1"/>
  <c r="AP7" i="3" s="1"/>
  <c r="AK7" i="3"/>
  <c r="E40" i="3"/>
  <c r="E98" i="3"/>
  <c r="E67" i="3"/>
  <c r="E139" i="3"/>
  <c r="E153" i="3"/>
  <c r="E166" i="3"/>
  <c r="E126" i="3"/>
  <c r="K164" i="3"/>
  <c r="K154" i="2"/>
  <c r="E104" i="2"/>
  <c r="I103" i="2"/>
  <c r="AM8" i="2"/>
  <c r="AL8" i="2" s="1"/>
  <c r="AP8" i="2" s="1"/>
  <c r="AK8" i="2"/>
  <c r="I169" i="2"/>
  <c r="J169" i="2" s="1"/>
  <c r="E170" i="2"/>
  <c r="I47" i="2"/>
  <c r="E48" i="2"/>
  <c r="J48" i="2" s="1"/>
  <c r="E34" i="2"/>
  <c r="I117" i="2"/>
  <c r="J117" i="2" s="1"/>
  <c r="E118" i="2"/>
  <c r="E131" i="2"/>
  <c r="I130" i="2"/>
  <c r="E62" i="2"/>
  <c r="I61" i="2"/>
  <c r="J61" i="2" s="1"/>
  <c r="I88" i="2"/>
  <c r="J88" i="2" s="1"/>
  <c r="E89" i="2"/>
  <c r="E156" i="2"/>
  <c r="I155" i="2"/>
  <c r="J155" i="2" s="1"/>
  <c r="E76" i="2"/>
  <c r="I75" i="2"/>
  <c r="J75" i="2" s="1"/>
  <c r="I142" i="2"/>
  <c r="E143" i="2"/>
  <c r="E141" i="1"/>
  <c r="J141" i="1" s="1"/>
  <c r="E60" i="1"/>
  <c r="J60" i="1" s="1"/>
  <c r="E155" i="1"/>
  <c r="E102" i="1"/>
  <c r="J102" i="1" s="1"/>
  <c r="E116" i="1"/>
  <c r="J116" i="1" s="1"/>
  <c r="E46" i="1"/>
  <c r="J46" i="1" s="1"/>
  <c r="E168" i="1"/>
  <c r="J168" i="1" s="1"/>
  <c r="E129" i="1"/>
  <c r="J129" i="1" s="1"/>
  <c r="E74" i="1"/>
  <c r="J74" i="1" s="1"/>
  <c r="G33" i="4" l="1"/>
  <c r="E157" i="4"/>
  <c r="J155" i="1"/>
  <c r="K155" i="1" s="1"/>
  <c r="E13" i="10"/>
  <c r="J12" i="10"/>
  <c r="I12" i="10" s="1"/>
  <c r="M12" i="10" s="1"/>
  <c r="H12" i="10"/>
  <c r="J87" i="1"/>
  <c r="E88" i="1"/>
  <c r="G31" i="1"/>
  <c r="J31" i="1" s="1"/>
  <c r="E32" i="1"/>
  <c r="J34" i="2"/>
  <c r="I34" i="2"/>
  <c r="J143" i="2"/>
  <c r="J104" i="2"/>
  <c r="J76" i="2"/>
  <c r="J118" i="2"/>
  <c r="E62" i="4"/>
  <c r="E144" i="4"/>
  <c r="AM9" i="4"/>
  <c r="AL9" i="4" s="1"/>
  <c r="AP9" i="4" s="1"/>
  <c r="AK9" i="4"/>
  <c r="AH10" i="4"/>
  <c r="E171" i="4"/>
  <c r="E34" i="4"/>
  <c r="E89" i="4"/>
  <c r="E76" i="4"/>
  <c r="E132" i="4"/>
  <c r="E118" i="4"/>
  <c r="E104" i="4"/>
  <c r="E84" i="3"/>
  <c r="K165" i="3"/>
  <c r="E140" i="3"/>
  <c r="AH9" i="3"/>
  <c r="AK8" i="3"/>
  <c r="AM8" i="3"/>
  <c r="AL8" i="3" s="1"/>
  <c r="AP8" i="3" s="1"/>
  <c r="E99" i="3"/>
  <c r="E167" i="3"/>
  <c r="E41" i="3"/>
  <c r="E114" i="3"/>
  <c r="E154" i="3"/>
  <c r="E68" i="3"/>
  <c r="E179" i="3"/>
  <c r="E127" i="3"/>
  <c r="E77" i="2"/>
  <c r="I76" i="2"/>
  <c r="E63" i="2"/>
  <c r="I62" i="2"/>
  <c r="J62" i="2" s="1"/>
  <c r="I156" i="2"/>
  <c r="J156" i="2" s="1"/>
  <c r="K156" i="2" s="1"/>
  <c r="E157" i="2"/>
  <c r="E35" i="2"/>
  <c r="E144" i="2"/>
  <c r="I143" i="2"/>
  <c r="K155" i="2"/>
  <c r="E90" i="2"/>
  <c r="I89" i="2"/>
  <c r="J89" i="2" s="1"/>
  <c r="E132" i="2"/>
  <c r="I131" i="2"/>
  <c r="J131" i="2" s="1"/>
  <c r="E49" i="2"/>
  <c r="J49" i="2" s="1"/>
  <c r="I48" i="2"/>
  <c r="AK9" i="2"/>
  <c r="AM9" i="2"/>
  <c r="AL9" i="2" s="1"/>
  <c r="AP9" i="2" s="1"/>
  <c r="E119" i="2"/>
  <c r="I118" i="2"/>
  <c r="E171" i="2"/>
  <c r="I170" i="2"/>
  <c r="J170" i="2" s="1"/>
  <c r="E105" i="2"/>
  <c r="I104" i="2"/>
  <c r="E142" i="1"/>
  <c r="J142" i="1" s="1"/>
  <c r="E75" i="1"/>
  <c r="J75" i="1" s="1"/>
  <c r="E169" i="1"/>
  <c r="J169" i="1" s="1"/>
  <c r="E103" i="1"/>
  <c r="J103" i="1" s="1"/>
  <c r="E156" i="1"/>
  <c r="E47" i="1"/>
  <c r="J47" i="1" s="1"/>
  <c r="E130" i="1"/>
  <c r="J130" i="1" s="1"/>
  <c r="E117" i="1"/>
  <c r="J117" i="1" s="1"/>
  <c r="E61" i="1"/>
  <c r="J61" i="1" s="1"/>
  <c r="K157" i="4" l="1"/>
  <c r="E158" i="4"/>
  <c r="K156" i="4"/>
  <c r="G34" i="4"/>
  <c r="J156" i="1"/>
  <c r="K156" i="1" s="1"/>
  <c r="E14" i="10"/>
  <c r="J13" i="10"/>
  <c r="I13" i="10" s="1"/>
  <c r="M13" i="10" s="1"/>
  <c r="H13" i="10"/>
  <c r="G32" i="1"/>
  <c r="J32" i="1" s="1"/>
  <c r="E33" i="1"/>
  <c r="J88" i="1"/>
  <c r="E89" i="1"/>
  <c r="J77" i="2"/>
  <c r="J171" i="2"/>
  <c r="I35" i="2"/>
  <c r="J35" i="2"/>
  <c r="J157" i="2"/>
  <c r="K157" i="2" s="1"/>
  <c r="E119" i="4"/>
  <c r="E77" i="4"/>
  <c r="E172" i="4"/>
  <c r="AM10" i="4"/>
  <c r="AL10" i="4" s="1"/>
  <c r="AP10" i="4" s="1"/>
  <c r="AK10" i="4"/>
  <c r="AH11" i="4"/>
  <c r="E90" i="4"/>
  <c r="E133" i="4"/>
  <c r="E145" i="4"/>
  <c r="E105" i="4"/>
  <c r="E35" i="4"/>
  <c r="E63" i="4"/>
  <c r="E85" i="3"/>
  <c r="K166" i="3"/>
  <c r="E128" i="3"/>
  <c r="E42" i="3"/>
  <c r="E168" i="3"/>
  <c r="K167" i="3"/>
  <c r="AH10" i="3"/>
  <c r="AM9" i="3"/>
  <c r="AL9" i="3" s="1"/>
  <c r="AP9" i="3" s="1"/>
  <c r="AK9" i="3"/>
  <c r="E155" i="3"/>
  <c r="E180" i="3"/>
  <c r="E100" i="3"/>
  <c r="E115" i="3"/>
  <c r="E141" i="3"/>
  <c r="E69" i="3"/>
  <c r="E106" i="2"/>
  <c r="I105" i="2"/>
  <c r="J105" i="2" s="1"/>
  <c r="AK10" i="2"/>
  <c r="AM10" i="2"/>
  <c r="AL10" i="2" s="1"/>
  <c r="AP10" i="2" s="1"/>
  <c r="I144" i="2"/>
  <c r="J144" i="2" s="1"/>
  <c r="E145" i="2"/>
  <c r="I90" i="2"/>
  <c r="J90" i="2" s="1"/>
  <c r="E91" i="2"/>
  <c r="E64" i="2"/>
  <c r="I63" i="2"/>
  <c r="J63" i="2" s="1"/>
  <c r="I171" i="2"/>
  <c r="E172" i="2"/>
  <c r="E36" i="2"/>
  <c r="I49" i="2"/>
  <c r="E50" i="2"/>
  <c r="J50" i="2" s="1"/>
  <c r="E158" i="2"/>
  <c r="I157" i="2"/>
  <c r="I119" i="2"/>
  <c r="J119" i="2" s="1"/>
  <c r="E120" i="2"/>
  <c r="E133" i="2"/>
  <c r="I132" i="2"/>
  <c r="J132" i="2" s="1"/>
  <c r="E78" i="2"/>
  <c r="I77" i="2"/>
  <c r="E143" i="1"/>
  <c r="J143" i="1" s="1"/>
  <c r="E118" i="1"/>
  <c r="J118" i="1" s="1"/>
  <c r="E104" i="1"/>
  <c r="J104" i="1" s="1"/>
  <c r="E48" i="1"/>
  <c r="J48" i="1" s="1"/>
  <c r="E170" i="1"/>
  <c r="J170" i="1" s="1"/>
  <c r="E131" i="1"/>
  <c r="J131" i="1" s="1"/>
  <c r="E76" i="1"/>
  <c r="J76" i="1" s="1"/>
  <c r="E62" i="1"/>
  <c r="J62" i="1" s="1"/>
  <c r="E157" i="1"/>
  <c r="K158" i="4" l="1"/>
  <c r="E159" i="4"/>
  <c r="G35" i="4"/>
  <c r="J157" i="1"/>
  <c r="K157" i="1" s="1"/>
  <c r="H14" i="10"/>
  <c r="J14" i="10"/>
  <c r="I14" i="10" s="1"/>
  <c r="M14" i="10" s="1"/>
  <c r="E15" i="10"/>
  <c r="G33" i="1"/>
  <c r="J33" i="1" s="1"/>
  <c r="E34" i="1"/>
  <c r="J89" i="1"/>
  <c r="E90" i="1"/>
  <c r="J36" i="2"/>
  <c r="I36" i="2"/>
  <c r="J145" i="2"/>
  <c r="E146" i="4"/>
  <c r="AM11" i="4"/>
  <c r="AL11" i="4" s="1"/>
  <c r="AP11" i="4" s="1"/>
  <c r="AK11" i="4"/>
  <c r="AH12" i="4"/>
  <c r="E64" i="4"/>
  <c r="E36" i="4"/>
  <c r="E78" i="4"/>
  <c r="E173" i="4"/>
  <c r="E120" i="4"/>
  <c r="E134" i="4"/>
  <c r="E106" i="4"/>
  <c r="E91" i="4"/>
  <c r="E86" i="3"/>
  <c r="E43" i="3"/>
  <c r="E70" i="3"/>
  <c r="E116" i="3"/>
  <c r="AH11" i="3"/>
  <c r="AK10" i="3"/>
  <c r="AM10" i="3"/>
  <c r="AL10" i="3" s="1"/>
  <c r="AP10" i="3" s="1"/>
  <c r="E181" i="3"/>
  <c r="E129" i="3"/>
  <c r="E156" i="3"/>
  <c r="E169" i="3"/>
  <c r="K168" i="3"/>
  <c r="E142" i="3"/>
  <c r="E101" i="3"/>
  <c r="I64" i="2"/>
  <c r="J64" i="2" s="1"/>
  <c r="E65" i="2"/>
  <c r="E92" i="2"/>
  <c r="I91" i="2"/>
  <c r="J91" i="2" s="1"/>
  <c r="E79" i="2"/>
  <c r="I78" i="2"/>
  <c r="J78" i="2" s="1"/>
  <c r="E37" i="2"/>
  <c r="AK11" i="2"/>
  <c r="AM11" i="2"/>
  <c r="AL11" i="2" s="1"/>
  <c r="AP11" i="2" s="1"/>
  <c r="I158" i="2"/>
  <c r="J158" i="2" s="1"/>
  <c r="K158" i="2" s="1"/>
  <c r="E159" i="2"/>
  <c r="E173" i="2"/>
  <c r="I172" i="2"/>
  <c r="J172" i="2" s="1"/>
  <c r="E51" i="2"/>
  <c r="J51" i="2" s="1"/>
  <c r="I50" i="2"/>
  <c r="E134" i="2"/>
  <c r="I133" i="2"/>
  <c r="J133" i="2" s="1"/>
  <c r="E146" i="2"/>
  <c r="I145" i="2"/>
  <c r="E121" i="2"/>
  <c r="I120" i="2"/>
  <c r="J120" i="2" s="1"/>
  <c r="E107" i="2"/>
  <c r="I106" i="2"/>
  <c r="J106" i="2" s="1"/>
  <c r="E144" i="1"/>
  <c r="J144" i="1" s="1"/>
  <c r="E49" i="1"/>
  <c r="J49" i="1" s="1"/>
  <c r="E63" i="1"/>
  <c r="J63" i="1" s="1"/>
  <c r="E132" i="1"/>
  <c r="J132" i="1" s="1"/>
  <c r="E105" i="1"/>
  <c r="J105" i="1" s="1"/>
  <c r="E171" i="1"/>
  <c r="J171" i="1" s="1"/>
  <c r="E119" i="1"/>
  <c r="J119" i="1" s="1"/>
  <c r="E77" i="1"/>
  <c r="J77" i="1" s="1"/>
  <c r="E158" i="1"/>
  <c r="E160" i="4" l="1"/>
  <c r="G36" i="4"/>
  <c r="J158" i="1"/>
  <c r="K158" i="1" s="1"/>
  <c r="J15" i="10"/>
  <c r="I15" i="10" s="1"/>
  <c r="M15" i="10" s="1"/>
  <c r="H15" i="10"/>
  <c r="J90" i="1"/>
  <c r="E91" i="1"/>
  <c r="G34" i="1"/>
  <c r="J34" i="1" s="1"/>
  <c r="E35" i="1"/>
  <c r="J37" i="2"/>
  <c r="I37" i="2"/>
  <c r="J79" i="2"/>
  <c r="E174" i="4"/>
  <c r="E37" i="4"/>
  <c r="E135" i="4"/>
  <c r="E92" i="4"/>
  <c r="E65" i="4"/>
  <c r="E121" i="4"/>
  <c r="E79" i="4"/>
  <c r="AM12" i="4"/>
  <c r="AL12" i="4" s="1"/>
  <c r="AP12" i="4" s="1"/>
  <c r="AK12" i="4"/>
  <c r="AH13" i="4"/>
  <c r="E107" i="4"/>
  <c r="E147" i="4"/>
  <c r="E87" i="3"/>
  <c r="E71" i="3"/>
  <c r="AK11" i="3"/>
  <c r="AH12" i="3"/>
  <c r="AM11" i="3"/>
  <c r="AL11" i="3" s="1"/>
  <c r="AP11" i="3" s="1"/>
  <c r="E102" i="3"/>
  <c r="E170" i="3"/>
  <c r="E130" i="3"/>
  <c r="E44" i="3"/>
  <c r="E157" i="3"/>
  <c r="E117" i="3"/>
  <c r="E143" i="3"/>
  <c r="E182" i="3"/>
  <c r="E108" i="2"/>
  <c r="I107" i="2"/>
  <c r="J107" i="2" s="1"/>
  <c r="I146" i="2"/>
  <c r="J146" i="2" s="1"/>
  <c r="E147" i="2"/>
  <c r="I51" i="2"/>
  <c r="E52" i="2"/>
  <c r="J52" i="2" s="1"/>
  <c r="E80" i="2"/>
  <c r="I79" i="2"/>
  <c r="AM12" i="2"/>
  <c r="AL12" i="2" s="1"/>
  <c r="AP12" i="2" s="1"/>
  <c r="AK12" i="2"/>
  <c r="I173" i="2"/>
  <c r="J173" i="2" s="1"/>
  <c r="E174" i="2"/>
  <c r="I92" i="2"/>
  <c r="J92" i="2" s="1"/>
  <c r="E93" i="2"/>
  <c r="E135" i="2"/>
  <c r="I134" i="2"/>
  <c r="J134" i="2" s="1"/>
  <c r="E160" i="2"/>
  <c r="I159" i="2"/>
  <c r="J159" i="2" s="1"/>
  <c r="K159" i="2" s="1"/>
  <c r="I65" i="2"/>
  <c r="J65" i="2" s="1"/>
  <c r="E66" i="2"/>
  <c r="I121" i="2"/>
  <c r="J121" i="2" s="1"/>
  <c r="E122" i="2"/>
  <c r="E38" i="2"/>
  <c r="E145" i="1"/>
  <c r="J145" i="1" s="1"/>
  <c r="E120" i="1"/>
  <c r="J120" i="1" s="1"/>
  <c r="E133" i="1"/>
  <c r="J133" i="1" s="1"/>
  <c r="E159" i="1"/>
  <c r="E172" i="1"/>
  <c r="J172" i="1" s="1"/>
  <c r="E64" i="1"/>
  <c r="J64" i="1" s="1"/>
  <c r="E78" i="1"/>
  <c r="J78" i="1" s="1"/>
  <c r="E106" i="1"/>
  <c r="J106" i="1" s="1"/>
  <c r="E50" i="1"/>
  <c r="J50" i="1" s="1"/>
  <c r="K160" i="4" l="1"/>
  <c r="E161" i="4"/>
  <c r="G37" i="4"/>
  <c r="K159" i="4"/>
  <c r="J159" i="1"/>
  <c r="K159" i="1" s="1"/>
  <c r="G35" i="1"/>
  <c r="J35" i="1" s="1"/>
  <c r="E36" i="1"/>
  <c r="J91" i="1"/>
  <c r="E92" i="1"/>
  <c r="J66" i="2"/>
  <c r="J147" i="2"/>
  <c r="J38" i="2"/>
  <c r="I38" i="2"/>
  <c r="J174" i="2"/>
  <c r="E108" i="4"/>
  <c r="E122" i="4"/>
  <c r="AM13" i="4"/>
  <c r="AL13" i="4" s="1"/>
  <c r="AP13" i="4" s="1"/>
  <c r="AK13" i="4"/>
  <c r="AH14" i="4"/>
  <c r="E148" i="4"/>
  <c r="E38" i="4"/>
  <c r="E66" i="4"/>
  <c r="E175" i="4"/>
  <c r="E80" i="4"/>
  <c r="E93" i="4"/>
  <c r="E136" i="4"/>
  <c r="K169" i="3"/>
  <c r="E88" i="3"/>
  <c r="E144" i="3"/>
  <c r="AH13" i="3"/>
  <c r="AK12" i="3"/>
  <c r="AM12" i="3"/>
  <c r="AL12" i="3" s="1"/>
  <c r="AP12" i="3" s="1"/>
  <c r="E183" i="3"/>
  <c r="E131" i="3"/>
  <c r="E103" i="3"/>
  <c r="E72" i="3"/>
  <c r="E136" i="2"/>
  <c r="I135" i="2"/>
  <c r="J135" i="2" s="1"/>
  <c r="E67" i="2"/>
  <c r="I66" i="2"/>
  <c r="E94" i="2"/>
  <c r="I93" i="2"/>
  <c r="J93" i="2" s="1"/>
  <c r="E148" i="2"/>
  <c r="I147" i="2"/>
  <c r="AK13" i="2"/>
  <c r="AM13" i="2"/>
  <c r="AL13" i="2" s="1"/>
  <c r="AP13" i="2" s="1"/>
  <c r="E39" i="2"/>
  <c r="E123" i="2"/>
  <c r="I122" i="2"/>
  <c r="J122" i="2" s="1"/>
  <c r="E161" i="2"/>
  <c r="I160" i="2"/>
  <c r="J160" i="2" s="1"/>
  <c r="K160" i="2" s="1"/>
  <c r="E175" i="2"/>
  <c r="I174" i="2"/>
  <c r="E81" i="2"/>
  <c r="I80" i="2"/>
  <c r="J80" i="2" s="1"/>
  <c r="E53" i="2"/>
  <c r="J53" i="2" s="1"/>
  <c r="I52" i="2"/>
  <c r="E109" i="2"/>
  <c r="I108" i="2"/>
  <c r="J108" i="2" s="1"/>
  <c r="E146" i="1"/>
  <c r="J146" i="1" s="1"/>
  <c r="E51" i="1"/>
  <c r="J51" i="1" s="1"/>
  <c r="E173" i="1"/>
  <c r="J173" i="1" s="1"/>
  <c r="E107" i="1"/>
  <c r="J107" i="1" s="1"/>
  <c r="E160" i="1"/>
  <c r="E79" i="1"/>
  <c r="J79" i="1" s="1"/>
  <c r="E134" i="1"/>
  <c r="J134" i="1" s="1"/>
  <c r="E65" i="1"/>
  <c r="J65" i="1" s="1"/>
  <c r="E121" i="1"/>
  <c r="J121" i="1" s="1"/>
  <c r="K161" i="4" l="1"/>
  <c r="E162" i="4"/>
  <c r="G38" i="4"/>
  <c r="J160" i="1"/>
  <c r="K160" i="1" s="1"/>
  <c r="J92" i="1"/>
  <c r="E93" i="1"/>
  <c r="J93" i="1" s="1"/>
  <c r="G36" i="1"/>
  <c r="J36" i="1" s="1"/>
  <c r="E37" i="1"/>
  <c r="G37" i="1" s="1"/>
  <c r="J37" i="1" s="1"/>
  <c r="J109" i="2"/>
  <c r="I39" i="2"/>
  <c r="J39" i="2"/>
  <c r="J94" i="2"/>
  <c r="J81" i="2"/>
  <c r="E176" i="4"/>
  <c r="E94" i="4"/>
  <c r="E149" i="4"/>
  <c r="AM14" i="4"/>
  <c r="AL14" i="4" s="1"/>
  <c r="AP14" i="4" s="1"/>
  <c r="AK14" i="4"/>
  <c r="AH15" i="4"/>
  <c r="E89" i="3"/>
  <c r="E73" i="3"/>
  <c r="E184" i="3"/>
  <c r="AH14" i="3"/>
  <c r="AK13" i="3"/>
  <c r="AM13" i="3"/>
  <c r="AL13" i="3" s="1"/>
  <c r="AP13" i="3" s="1"/>
  <c r="K170" i="3"/>
  <c r="AK14" i="2"/>
  <c r="AM14" i="2"/>
  <c r="AL14" i="2" s="1"/>
  <c r="AP14" i="2" s="1"/>
  <c r="I81" i="2"/>
  <c r="I123" i="2"/>
  <c r="J123" i="2" s="1"/>
  <c r="I67" i="2"/>
  <c r="J67" i="2" s="1"/>
  <c r="I109" i="2"/>
  <c r="I175" i="2"/>
  <c r="J175" i="2" s="1"/>
  <c r="E176" i="2"/>
  <c r="I148" i="2"/>
  <c r="J148" i="2" s="1"/>
  <c r="E149" i="2"/>
  <c r="I53" i="2"/>
  <c r="I136" i="2"/>
  <c r="J136" i="2" s="1"/>
  <c r="I161" i="2"/>
  <c r="J161" i="2" s="1"/>
  <c r="E162" i="2"/>
  <c r="I94" i="2"/>
  <c r="E95" i="2"/>
  <c r="E147" i="1"/>
  <c r="J147" i="1" s="1"/>
  <c r="E174" i="1"/>
  <c r="J174" i="1" s="1"/>
  <c r="J95" i="2" l="1"/>
  <c r="J162" i="2"/>
  <c r="AM15" i="4"/>
  <c r="AL15" i="4" s="1"/>
  <c r="AP15" i="4" s="1"/>
  <c r="AK15" i="4"/>
  <c r="AH15" i="3"/>
  <c r="AM14" i="3"/>
  <c r="AL14" i="3" s="1"/>
  <c r="AP14" i="3" s="1"/>
  <c r="AK14" i="3"/>
  <c r="K161" i="2"/>
  <c r="I149" i="2"/>
  <c r="J149" i="2" s="1"/>
  <c r="I95" i="2"/>
  <c r="I176" i="2"/>
  <c r="J176" i="2" s="1"/>
  <c r="AK15" i="2"/>
  <c r="AM15" i="2"/>
  <c r="AL15" i="2" s="1"/>
  <c r="AP15" i="2" s="1"/>
  <c r="I162" i="2"/>
  <c r="K162" i="4" l="1"/>
  <c r="AK15" i="3"/>
  <c r="AM15" i="3"/>
  <c r="AL15" i="3" s="1"/>
  <c r="AP15" i="3" s="1"/>
  <c r="K162" i="2"/>
</calcChain>
</file>

<file path=xl/sharedStrings.xml><?xml version="1.0" encoding="utf-8"?>
<sst xmlns="http://schemas.openxmlformats.org/spreadsheetml/2006/main" count="1566" uniqueCount="279">
  <si>
    <t>C11</t>
    <phoneticPr fontId="1" type="noConversion"/>
  </si>
  <si>
    <t>C12</t>
    <phoneticPr fontId="1" type="noConversion"/>
  </si>
  <si>
    <t>C66</t>
    <phoneticPr fontId="1" type="noConversion"/>
  </si>
  <si>
    <t>C44</t>
    <phoneticPr fontId="1" type="noConversion"/>
  </si>
  <si>
    <t>C55</t>
    <phoneticPr fontId="1" type="noConversion"/>
  </si>
  <si>
    <t>e31</t>
    <phoneticPr fontId="1" type="noConversion"/>
  </si>
  <si>
    <t>q31</t>
    <phoneticPr fontId="1" type="noConversion"/>
  </si>
  <si>
    <t>k33</t>
    <phoneticPr fontId="1" type="noConversion"/>
  </si>
  <si>
    <t>A1</t>
  </si>
  <si>
    <t>PyroE</t>
  </si>
  <si>
    <t>PyroM</t>
  </si>
  <si>
    <t>HC</t>
    <phoneticPr fontId="1" type="noConversion"/>
  </si>
  <si>
    <t>密度</t>
    <phoneticPr fontId="1" type="noConversion"/>
  </si>
  <si>
    <t>求每层▲T</t>
    <phoneticPr fontId="1" type="noConversion"/>
  </si>
  <si>
    <t>B</t>
    <phoneticPr fontId="1" type="noConversion"/>
  </si>
  <si>
    <t>层数</t>
    <phoneticPr fontId="1" type="noConversion"/>
  </si>
  <si>
    <t>1/导热系数</t>
    <phoneticPr fontId="1" type="noConversion"/>
  </si>
  <si>
    <t>每层板厚</t>
    <phoneticPr fontId="1" type="noConversion"/>
  </si>
  <si>
    <t>z(HC1)</t>
    <phoneticPr fontId="1" type="noConversion"/>
  </si>
  <si>
    <t>导热*厚度</t>
    <phoneticPr fontId="1" type="noConversion"/>
  </si>
  <si>
    <t>和（HC）</t>
    <phoneticPr fontId="1" type="noConversion"/>
  </si>
  <si>
    <t>比率HC1/HC</t>
    <phoneticPr fontId="1" type="noConversion"/>
  </si>
  <si>
    <t>BT1</t>
    <phoneticPr fontId="1" type="noConversion"/>
  </si>
  <si>
    <t>BT2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</si>
  <si>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</si>
  <si>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</si>
  <si>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</si>
  <si>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index</t>
  </si>
  <si>
    <t>E1</t>
  </si>
  <si>
    <t>E2</t>
  </si>
  <si>
    <t>v12</t>
  </si>
  <si>
    <t>v23</t>
  </si>
  <si>
    <t>G12</t>
    <phoneticPr fontId="1" type="noConversion"/>
  </si>
  <si>
    <t>G13</t>
  </si>
  <si>
    <t>G23</t>
  </si>
  <si>
    <t>d31</t>
  </si>
  <si>
    <t>d32</t>
  </si>
  <si>
    <t>Angel</t>
  </si>
  <si>
    <t>HE</t>
  </si>
  <si>
    <t>q31</t>
  </si>
  <si>
    <t>q32</t>
  </si>
  <si>
    <t>g33</t>
  </si>
  <si>
    <t>k33</t>
  </si>
  <si>
    <t>r33</t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</si>
  <si>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</si>
  <si>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</si>
  <si>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</si>
  <si>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</si>
  <si>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</si>
  <si>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Density</t>
  </si>
  <si>
    <t>zC1</t>
  </si>
  <si>
    <t>Zc2</t>
  </si>
  <si>
    <t>IsSmtLay(2)</t>
  </si>
  <si>
    <t>Vpor=1</t>
    <phoneticPr fontId="1" type="noConversion"/>
  </si>
  <si>
    <t>孔隙均匀分布</t>
    <phoneticPr fontId="1" type="noConversion"/>
  </si>
  <si>
    <t>P=0.2</t>
    <phoneticPr fontId="1" type="noConversion"/>
  </si>
  <si>
    <t>孔隙体积</t>
    <phoneticPr fontId="1" type="noConversion"/>
  </si>
  <si>
    <t>E杨氏模量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</si>
  <si>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</si>
  <si>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</si>
  <si>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</si>
  <si>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</si>
  <si>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</si>
  <si>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</si>
  <si>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а</t>
    <phoneticPr fontId="1" type="noConversion"/>
  </si>
  <si>
    <t>μ泊松比</t>
    <phoneticPr fontId="1" type="noConversion"/>
  </si>
  <si>
    <t>d31</t>
    <phoneticPr fontId="1" type="noConversion"/>
  </si>
  <si>
    <t>1/K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</si>
  <si>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</si>
  <si>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</si>
  <si>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</si>
  <si>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</si>
  <si>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</si>
  <si>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</si>
  <si>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а</t>
    <phoneticPr fontId="1" type="noConversion"/>
  </si>
  <si>
    <t>B</t>
    <phoneticPr fontId="1" type="noConversion"/>
  </si>
  <si>
    <t>C11</t>
    <phoneticPr fontId="1" type="noConversion"/>
  </si>
  <si>
    <t>C12</t>
    <phoneticPr fontId="1" type="noConversion"/>
  </si>
  <si>
    <t>C66</t>
    <phoneticPr fontId="1" type="noConversion"/>
  </si>
  <si>
    <t>C44</t>
    <phoneticPr fontId="1" type="noConversion"/>
  </si>
  <si>
    <t>μ33</t>
    <phoneticPr fontId="1" type="noConversion"/>
  </si>
  <si>
    <t>k33</t>
    <phoneticPr fontId="1" type="noConversion"/>
  </si>
  <si>
    <t>HC</t>
    <phoneticPr fontId="1" type="noConversion"/>
  </si>
  <si>
    <t>密度</t>
    <phoneticPr fontId="1" type="noConversion"/>
  </si>
  <si>
    <t>求每层▲T</t>
    <phoneticPr fontId="1" type="noConversion"/>
  </si>
  <si>
    <t>层数</t>
    <phoneticPr fontId="1" type="noConversion"/>
  </si>
  <si>
    <t>1/导热系数</t>
    <phoneticPr fontId="1" type="noConversion"/>
  </si>
  <si>
    <t>每层板厚</t>
    <phoneticPr fontId="1" type="noConversion"/>
  </si>
  <si>
    <t>z(HC1)</t>
    <phoneticPr fontId="1" type="noConversion"/>
  </si>
  <si>
    <t>导热*厚度</t>
    <phoneticPr fontId="1" type="noConversion"/>
  </si>
  <si>
    <t>和（HC）</t>
    <phoneticPr fontId="1" type="noConversion"/>
  </si>
  <si>
    <t>比率HC1/HC</t>
    <phoneticPr fontId="1" type="noConversion"/>
  </si>
  <si>
    <t>BT1</t>
    <phoneticPr fontId="1" type="noConversion"/>
  </si>
  <si>
    <t>BT2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</si>
  <si>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</si>
  <si>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</si>
  <si>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</si>
  <si>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G12</t>
    <phoneticPr fontId="1" type="noConversion"/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</si>
  <si>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</si>
  <si>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</si>
  <si>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</si>
  <si>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</si>
  <si>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</si>
  <si>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Vpor=1+2*Z/h</t>
    <phoneticPr fontId="1" type="noConversion"/>
  </si>
  <si>
    <t>孔隙V型分布</t>
    <phoneticPr fontId="1" type="noConversion"/>
  </si>
  <si>
    <t>E杨氏模量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</si>
  <si>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</si>
  <si>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</si>
  <si>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</si>
  <si>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</si>
  <si>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P（孔隙率）</t>
    <phoneticPr fontId="1" type="noConversion"/>
  </si>
  <si>
    <t>Vpor</t>
    <phoneticPr fontId="1" type="noConversion"/>
  </si>
  <si>
    <t>Mfg</t>
    <phoneticPr fontId="1" type="noConversion"/>
  </si>
  <si>
    <t>μ泊松比</t>
    <phoneticPr fontId="1" type="noConversion"/>
  </si>
  <si>
    <t>P</t>
    <phoneticPr fontId="1" type="noConversion"/>
  </si>
  <si>
    <t>d31</t>
    <phoneticPr fontId="1" type="noConversion"/>
  </si>
  <si>
    <t>总厚度</t>
    <phoneticPr fontId="1" type="noConversion"/>
  </si>
  <si>
    <t>中性面距离</t>
    <phoneticPr fontId="1" type="noConversion"/>
  </si>
  <si>
    <t>指数</t>
    <phoneticPr fontId="1" type="noConversion"/>
  </si>
  <si>
    <t>1/K</t>
    <phoneticPr fontId="1" type="noConversion"/>
  </si>
  <si>
    <t>C11</t>
    <phoneticPr fontId="1" type="noConversion"/>
  </si>
  <si>
    <t>C12</t>
    <phoneticPr fontId="1" type="noConversion"/>
  </si>
  <si>
    <t>C66</t>
    <phoneticPr fontId="1" type="noConversion"/>
  </si>
  <si>
    <t>C44</t>
    <phoneticPr fontId="1" type="noConversion"/>
  </si>
  <si>
    <t>C55</t>
    <phoneticPr fontId="1" type="noConversion"/>
  </si>
  <si>
    <t>e31</t>
    <phoneticPr fontId="1" type="noConversion"/>
  </si>
  <si>
    <t>q31</t>
    <phoneticPr fontId="1" type="noConversion"/>
  </si>
  <si>
    <t>χ33</t>
    <phoneticPr fontId="1" type="noConversion"/>
  </si>
  <si>
    <t>μ33</t>
    <phoneticPr fontId="1" type="noConversion"/>
  </si>
  <si>
    <t>k33</t>
    <phoneticPr fontId="1" type="noConversion"/>
  </si>
  <si>
    <t>HC</t>
    <phoneticPr fontId="1" type="noConversion"/>
  </si>
  <si>
    <t>密度</t>
    <phoneticPr fontId="1" type="noConversion"/>
  </si>
  <si>
    <t>求每层▲T</t>
    <phoneticPr fontId="1" type="noConversion"/>
  </si>
  <si>
    <t>B</t>
    <phoneticPr fontId="1" type="noConversion"/>
  </si>
  <si>
    <t>层数</t>
    <phoneticPr fontId="1" type="noConversion"/>
  </si>
  <si>
    <t>1/导热系数</t>
    <phoneticPr fontId="1" type="noConversion"/>
  </si>
  <si>
    <t>每层板厚</t>
    <phoneticPr fontId="1" type="noConversion"/>
  </si>
  <si>
    <t>z(HC1)</t>
    <phoneticPr fontId="1" type="noConversion"/>
  </si>
  <si>
    <t>导热*厚度</t>
    <phoneticPr fontId="1" type="noConversion"/>
  </si>
  <si>
    <t>和（HC）</t>
    <phoneticPr fontId="1" type="noConversion"/>
  </si>
  <si>
    <t>比率HC1/HC</t>
    <phoneticPr fontId="1" type="noConversion"/>
  </si>
  <si>
    <t>BT1</t>
    <phoneticPr fontId="1" type="noConversion"/>
  </si>
  <si>
    <t>BT2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</si>
  <si>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</si>
  <si>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</si>
  <si>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</si>
  <si>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G12</t>
    <phoneticPr fontId="1" type="noConversion"/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</si>
  <si>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</si>
  <si>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</si>
  <si>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</si>
  <si>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</si>
  <si>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</si>
  <si>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P=0.2</t>
    <phoneticPr fontId="1" type="noConversion"/>
  </si>
  <si>
    <t>孔隙体积</t>
    <phoneticPr fontId="1" type="noConversion"/>
  </si>
  <si>
    <t>求每层▲T</t>
    <phoneticPr fontId="1" type="noConversion"/>
  </si>
  <si>
    <t>层数</t>
    <phoneticPr fontId="1" type="noConversion"/>
  </si>
  <si>
    <t>1/导热系数</t>
    <phoneticPr fontId="1" type="noConversion"/>
  </si>
  <si>
    <t>每层板厚</t>
    <phoneticPr fontId="1" type="noConversion"/>
  </si>
  <si>
    <t>z(HC1)</t>
    <phoneticPr fontId="1" type="noConversion"/>
  </si>
  <si>
    <t>导热*厚度</t>
    <phoneticPr fontId="1" type="noConversion"/>
  </si>
  <si>
    <t>和（HC）</t>
    <phoneticPr fontId="1" type="noConversion"/>
  </si>
  <si>
    <t>比率HC1/HC</t>
    <phoneticPr fontId="1" type="noConversion"/>
  </si>
  <si>
    <t>BT1</t>
    <phoneticPr fontId="1" type="noConversion"/>
  </si>
  <si>
    <t>BT2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</si>
  <si>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</si>
  <si>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</si>
  <si>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</si>
  <si>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G12</t>
    <phoneticPr fontId="1" type="noConversion"/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</si>
  <si>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</si>
  <si>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</si>
  <si>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</si>
  <si>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</si>
  <si>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</si>
  <si>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孔隙X型分布</t>
    <phoneticPr fontId="1" type="noConversion"/>
  </si>
  <si>
    <t>P=0.2</t>
    <phoneticPr fontId="1" type="noConversion"/>
  </si>
  <si>
    <t>孔隙体积</t>
    <phoneticPr fontId="1" type="noConversion"/>
  </si>
  <si>
    <t>E杨氏模量</t>
    <phoneticPr fontId="1" type="noConversion"/>
  </si>
  <si>
    <t>Pc</t>
    <phoneticPr fontId="1" type="noConversion"/>
  </si>
  <si>
    <t>Pm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</si>
  <si>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</si>
  <si>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</si>
  <si>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</si>
  <si>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</si>
  <si>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</si>
  <si>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</si>
  <si>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Mfg</t>
    <phoneticPr fontId="1" type="noConversion"/>
  </si>
  <si>
    <t>μ泊松比</t>
    <phoneticPr fontId="1" type="noConversion"/>
  </si>
  <si>
    <t>Pc</t>
    <phoneticPr fontId="1" type="noConversion"/>
  </si>
  <si>
    <t>Pm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</si>
  <si>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</si>
  <si>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</si>
  <si>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</si>
  <si>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</si>
  <si>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</si>
  <si>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</si>
  <si>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Mfg</t>
    <phoneticPr fontId="1" type="noConversion"/>
  </si>
  <si>
    <t>d31</t>
    <phoneticPr fontId="1" type="noConversion"/>
  </si>
  <si>
    <t>总厚度</t>
    <phoneticPr fontId="1" type="noConversion"/>
  </si>
  <si>
    <t>中性面距离</t>
    <phoneticPr fontId="1" type="noConversion"/>
  </si>
  <si>
    <t>指数</t>
    <phoneticPr fontId="1" type="noConversion"/>
  </si>
  <si>
    <t>1/K</t>
    <phoneticPr fontId="1" type="noConversion"/>
  </si>
  <si>
    <t>Pc</t>
    <phoneticPr fontId="1" type="noConversion"/>
  </si>
  <si>
    <t>Pm</t>
    <phoneticPr fontId="1" type="noConversion"/>
  </si>
  <si>
    <t>总厚度(h)</t>
    <phoneticPr fontId="1" type="noConversion"/>
  </si>
  <si>
    <t>中性面距离(z)</t>
    <phoneticPr fontId="1" type="noConversion"/>
  </si>
  <si>
    <t>指数(n)</t>
    <phoneticPr fontId="1" type="noConversion"/>
  </si>
  <si>
    <t>Vc（z）</t>
    <phoneticPr fontId="1" type="noConversion"/>
  </si>
  <si>
    <t>P</t>
    <phoneticPr fontId="1" type="noConversion"/>
  </si>
  <si>
    <t>Vpor</t>
    <phoneticPr fontId="1" type="noConversion"/>
  </si>
  <si>
    <t>Mfg</t>
    <phoneticPr fontId="1" type="noConversion"/>
  </si>
  <si>
    <t>U</t>
    <phoneticPr fontId="1" type="noConversion"/>
  </si>
  <si>
    <t>V</t>
    <phoneticPr fontId="1" type="noConversion"/>
  </si>
  <si>
    <t>O</t>
    <phoneticPr fontId="1" type="noConversion"/>
  </si>
  <si>
    <t>X</t>
    <phoneticPr fontId="1" type="noConversion"/>
  </si>
  <si>
    <t>X</t>
    <phoneticPr fontId="1" type="noConversion"/>
  </si>
  <si>
    <t>O</t>
    <phoneticPr fontId="1" type="noConversion"/>
  </si>
  <si>
    <t>U</t>
    <phoneticPr fontId="1" type="noConversion"/>
  </si>
  <si>
    <r>
      <t>‘B’ rich bottom</t>
    </r>
    <r>
      <rPr>
        <sz val="16"/>
        <color theme="1"/>
        <rFont val="宋体"/>
        <family val="3"/>
        <charset val="134"/>
        <scheme val="minor"/>
      </rPr>
      <t>，</t>
    </r>
  </si>
  <si>
    <t>V</t>
    <phoneticPr fontId="1" type="noConversion"/>
  </si>
  <si>
    <t>F</t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</si>
  <si>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B</t>
    </r>
    <phoneticPr fontId="1" type="noConversion"/>
  </si>
  <si>
    <r>
      <t>P</t>
    </r>
    <r>
      <rPr>
        <sz val="8"/>
        <color theme="1"/>
        <rFont val="宋体"/>
        <family val="3"/>
        <charset val="134"/>
        <scheme val="minor"/>
      </rPr>
      <t>F</t>
    </r>
    <phoneticPr fontId="1" type="noConversion"/>
  </si>
  <si>
    <t>B</t>
    <phoneticPr fontId="1" type="noConversion"/>
  </si>
  <si>
    <t>B底</t>
    <phoneticPr fontId="1" type="noConversion"/>
  </si>
  <si>
    <t>F顶</t>
    <phoneticPr fontId="1" type="noConversion"/>
  </si>
  <si>
    <t>电势</t>
    <phoneticPr fontId="1" type="noConversion"/>
  </si>
  <si>
    <t>磁势</t>
    <phoneticPr fontId="1" type="noConversion"/>
  </si>
  <si>
    <t>%%%%%%%%%%%%%%%%%%%%%%%%%%%%%%%%%%%%%%%%%%%%%%%%%%%%%%%%%%%%%%%%%%%%%%%%%%%%%%%%</t>
    <phoneticPr fontId="1" type="noConversion"/>
  </si>
  <si>
    <t>p=0</t>
    <phoneticPr fontId="1" type="noConversion"/>
  </si>
  <si>
    <t>G12</t>
    <phoneticPr fontId="1" type="noConversion"/>
  </si>
  <si>
    <t>A1</t>
    <phoneticPr fontId="1" type="noConversion"/>
  </si>
  <si>
    <t>A2</t>
    <phoneticPr fontId="1" type="noConversion"/>
  </si>
  <si>
    <t>PyroE</t>
    <phoneticPr fontId="1" type="noConversion"/>
  </si>
  <si>
    <t>PyroM</t>
    <phoneticPr fontId="1" type="noConversion"/>
  </si>
  <si>
    <t>HC（热传导系数）</t>
    <phoneticPr fontId="1" type="noConversion"/>
  </si>
  <si>
    <t>n=2</t>
    <phoneticPr fontId="1" type="noConversion"/>
  </si>
  <si>
    <t>p=0.1</t>
    <phoneticPr fontId="1" type="noConversion"/>
  </si>
  <si>
    <t>p=0.2</t>
    <phoneticPr fontId="1" type="noConversion"/>
  </si>
  <si>
    <t>p=0.3</t>
    <phoneticPr fontId="1" type="noConversion"/>
  </si>
  <si>
    <t>p=0.4</t>
    <phoneticPr fontId="1" type="noConversion"/>
  </si>
  <si>
    <t>F</t>
    <phoneticPr fontId="1" type="noConversion"/>
  </si>
  <si>
    <t>热传导</t>
    <phoneticPr fontId="1" type="noConversion"/>
  </si>
  <si>
    <t>板总厚度</t>
    <phoneticPr fontId="1" type="noConversion"/>
  </si>
  <si>
    <t>到中心面距离</t>
    <phoneticPr fontId="1" type="noConversion"/>
  </si>
  <si>
    <t>温度</t>
    <phoneticPr fontId="1" type="noConversion"/>
  </si>
  <si>
    <t>线性分布</t>
    <phoneticPr fontId="1" type="noConversion"/>
  </si>
  <si>
    <t>正弦</t>
    <phoneticPr fontId="1" type="noConversion"/>
  </si>
  <si>
    <t>求每层▲T</t>
    <phoneticPr fontId="1" type="noConversion"/>
  </si>
  <si>
    <t>层数</t>
    <phoneticPr fontId="1" type="noConversion"/>
  </si>
  <si>
    <t>1/导热系数</t>
    <phoneticPr fontId="1" type="noConversion"/>
  </si>
  <si>
    <t>每层板厚</t>
    <phoneticPr fontId="1" type="noConversion"/>
  </si>
  <si>
    <t>z(HC1)</t>
    <phoneticPr fontId="1" type="noConversion"/>
  </si>
  <si>
    <t>导热*厚度和</t>
    <phoneticPr fontId="1" type="noConversion"/>
  </si>
  <si>
    <t>和（HC）</t>
    <phoneticPr fontId="1" type="noConversion"/>
  </si>
  <si>
    <t>比率HC1/HC</t>
    <phoneticPr fontId="1" type="noConversion"/>
  </si>
  <si>
    <t>BT1</t>
    <phoneticPr fontId="1" type="noConversion"/>
  </si>
  <si>
    <t>BT2</t>
    <phoneticPr fontId="1" type="noConversion"/>
  </si>
  <si>
    <t>下表面温度</t>
    <phoneticPr fontId="1" type="noConversion"/>
  </si>
  <si>
    <t>上表面温度</t>
    <phoneticPr fontId="1" type="noConversion"/>
  </si>
  <si>
    <t>▲T</t>
    <phoneticPr fontId="1" type="noConversion"/>
  </si>
  <si>
    <t>HC（热传导系数）</t>
  </si>
  <si>
    <t>PF</t>
  </si>
  <si>
    <t>PB</t>
  </si>
  <si>
    <t>总厚度(h)</t>
  </si>
  <si>
    <t>中性面距离(z)</t>
  </si>
  <si>
    <t>指数(n)</t>
  </si>
  <si>
    <t>Vc（z）</t>
  </si>
  <si>
    <t>P</t>
  </si>
  <si>
    <t>Vpor</t>
  </si>
  <si>
    <t>а</t>
  </si>
  <si>
    <t>1/K</t>
  </si>
  <si>
    <t>Vpor=2*（1-2*Z/h）</t>
    <phoneticPr fontId="1" type="noConversion"/>
  </si>
  <si>
    <t>Vpor=4(Z/h)</t>
    <phoneticPr fontId="1" type="noConversion"/>
  </si>
  <si>
    <t>线性</t>
    <phoneticPr fontId="1" type="noConversion"/>
  </si>
  <si>
    <t>正弦</t>
    <phoneticPr fontId="1" type="noConversion"/>
  </si>
  <si>
    <t>热传导</t>
    <phoneticPr fontId="1" type="noConversion"/>
  </si>
  <si>
    <t>均匀</t>
    <phoneticPr fontId="1" type="noConversion"/>
  </si>
  <si>
    <t>层数</t>
    <phoneticPr fontId="1" type="noConversion"/>
  </si>
  <si>
    <t>导热系数（PF）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</si>
</sst>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76" formatCode="0.000E+00"/>
    <numFmt numFmtId="177" formatCode="0.00_);[Red]\(0.00\)"/>
    <numFmt numFmtId="178" formatCode="0.000_);[Red]\(0.000\)"/>
    <numFmt numFmtId="179" formatCode="0.00;[Red]0.00"/>
    <numFmt numFmtId="180" formatCode="0.000_ "/>
  </numFmts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rgb="FFFFFF00"/>
      <name val="宋体"/>
      <family val="2"/>
      <scheme val="minor"/>
    </font>
    <font>
      <sz val="8"/>
      <color rgb="FF4D4D4D"/>
      <name val="Arial"/>
      <family val="2"/>
    </font>
    <font>
      <sz val="16"/>
      <color theme="1"/>
      <name val="Times New Roman"/>
      <family val="1"/>
    </font>
    <font>
      <sz val="16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10.5"/>
      <color theme="1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11" fontId="0" fillId="0" borderId="0" xfId="0" applyNumberFormat="1"/>
    <xf numFmtId="0" fontId="0" fillId="2" borderId="0" xfId="0" applyFill="1"/>
    <xf numFmtId="0" fontId="0" fillId="0" borderId="0" xfId="0" applyNumberFormat="1"/>
    <xf numFmtId="176" fontId="0" fillId="0" borderId="0" xfId="0" applyNumberFormat="1"/>
    <xf numFmtId="176" fontId="0" fillId="2" borderId="0" xfId="0" applyNumberFormat="1" applyFill="1"/>
    <xf numFmtId="177" fontId="0" fillId="0" borderId="0" xfId="0" applyNumberFormat="1"/>
    <xf numFmtId="178" fontId="0" fillId="0" borderId="0" xfId="0" applyNumberFormat="1" applyFont="1"/>
    <xf numFmtId="179" fontId="0" fillId="0" borderId="0" xfId="0" applyNumberFormat="1"/>
    <xf numFmtId="0" fontId="0" fillId="3" borderId="0" xfId="0" applyFill="1"/>
    <xf numFmtId="0" fontId="2" fillId="0" borderId="0" xfId="0" applyNumberFormat="1" applyFont="1"/>
    <xf numFmtId="0" fontId="0" fillId="4" borderId="0" xfId="0" applyFill="1"/>
    <xf numFmtId="11" fontId="2" fillId="0" borderId="0" xfId="0" applyNumberFormat="1" applyFont="1"/>
    <xf numFmtId="0" fontId="2" fillId="0" borderId="0" xfId="0" applyFont="1"/>
    <xf numFmtId="0" fontId="3" fillId="4" borderId="0" xfId="0" applyFont="1" applyFill="1"/>
    <xf numFmtId="0" fontId="2" fillId="2" borderId="0" xfId="0" applyFont="1" applyFill="1"/>
    <xf numFmtId="0" fontId="4" fillId="0" borderId="0" xfId="0" applyFont="1"/>
    <xf numFmtId="180" fontId="0" fillId="0" borderId="0" xfId="0" applyNumberFormat="1"/>
    <xf numFmtId="11" fontId="0" fillId="2" borderId="0" xfId="0" applyNumberFormat="1" applyFill="1"/>
    <xf numFmtId="0" fontId="5" fillId="0" borderId="0" xfId="0" applyFont="1"/>
    <xf numFmtId="11" fontId="9" fillId="0" borderId="2" xfId="0" applyNumberFormat="1" applyFont="1" applyBorder="1" applyAlignment="1">
      <alignment horizontal="right" vertical="center"/>
    </xf>
    <xf numFmtId="11" fontId="9" fillId="0" borderId="4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177" fontId="9" fillId="0" borderId="2" xfId="0" applyNumberFormat="1" applyFont="1" applyBorder="1" applyAlignment="1">
      <alignment horizontal="right" vertical="center"/>
    </xf>
    <xf numFmtId="177" fontId="9" fillId="0" borderId="4" xfId="0" applyNumberFormat="1" applyFont="1" applyBorder="1" applyAlignment="1">
      <alignment horizontal="right" vertical="center"/>
    </xf>
    <xf numFmtId="11" fontId="9" fillId="0" borderId="1" xfId="0" applyNumberFormat="1" applyFont="1" applyBorder="1" applyAlignment="1">
      <alignment horizontal="right" vertical="center"/>
    </xf>
    <xf numFmtId="11" fontId="9" fillId="0" borderId="3" xfId="0" applyNumberFormat="1" applyFont="1" applyBorder="1" applyAlignment="1">
      <alignment horizontal="right" vertical="center"/>
    </xf>
    <xf numFmtId="0" fontId="8" fillId="0" borderId="1" xfId="0" applyFont="1" applyBorder="1" applyAlignment="1">
      <alignment vertical="top"/>
    </xf>
    <xf numFmtId="0" fontId="8" fillId="0" borderId="4" xfId="0" applyFont="1" applyBorder="1" applyAlignment="1">
      <alignment horizontal="justify" vertical="center"/>
    </xf>
    <xf numFmtId="0" fontId="0" fillId="5" borderId="0" xfId="0" applyFill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65"/>
  <sheetViews>
    <sheetView topLeftCell="A106" zoomScaleNormal="100" workbookViewId="0">
      <selection activeCell="I140" sqref="I140"/>
    </sheetView>
  </sheetViews>
  <sheetFormatPr defaultRowHeight="14" x14ac:dyDescent="0.25"/>
  <cols>
    <col min="1" max="1" width="10.453125" customWidth="1"/>
    <col min="2" max="2" width="15.36328125" customWidth="1"/>
    <col min="3" max="3" width="11.81640625" customWidth="1"/>
    <col min="4" max="4" width="11.90625" customWidth="1"/>
    <col min="5" max="5" width="10.453125" bestFit="1" customWidth="1"/>
    <col min="6" max="6" width="11.36328125" customWidth="1"/>
    <col min="7" max="7" width="10.54296875" bestFit="1" customWidth="1"/>
    <col min="8" max="8" width="10.36328125" bestFit="1" customWidth="1"/>
    <col min="9" max="9" width="10.81640625" customWidth="1"/>
    <col min="10" max="10" width="12.6328125" customWidth="1"/>
    <col min="11" max="12" width="11.6328125" customWidth="1"/>
    <col min="13" max="13" width="11" customWidth="1"/>
    <col min="14" max="14" width="12" customWidth="1"/>
    <col min="15" max="15" width="11.54296875" customWidth="1"/>
    <col min="16" max="16" width="12.453125" customWidth="1"/>
    <col min="17" max="17" width="11" customWidth="1"/>
    <col min="18" max="18" width="11.54296875" customWidth="1"/>
    <col min="19" max="19" width="11.7265625" customWidth="1"/>
    <col min="20" max="23" width="10.26953125" bestFit="1" customWidth="1"/>
    <col min="24" max="25" width="11.36328125" bestFit="1" customWidth="1"/>
    <col min="26" max="26" width="10.90625" customWidth="1"/>
    <col min="27" max="27" width="11.453125" customWidth="1"/>
    <col min="32" max="32" width="12.08984375" customWidth="1"/>
    <col min="33" max="33" width="12" customWidth="1"/>
    <col min="34" max="35" width="11" customWidth="1"/>
    <col min="36" max="36" width="11.26953125" customWidth="1"/>
    <col min="37" max="37" width="12" customWidth="1"/>
    <col min="38" max="38" width="10.453125" bestFit="1" customWidth="1"/>
    <col min="39" max="39" width="10.81640625" customWidth="1"/>
    <col min="40" max="40" width="10" customWidth="1"/>
    <col min="41" max="41" width="10.6328125" customWidth="1"/>
    <col min="43" max="43" width="10.36328125" customWidth="1"/>
    <col min="44" max="44" width="10.453125" customWidth="1"/>
    <col min="49" max="49" width="11.6328125" customWidth="1"/>
    <col min="50" max="50" width="10.6328125" customWidth="1"/>
    <col min="51" max="51" width="10.90625" customWidth="1"/>
    <col min="52" max="52" width="10.26953125" customWidth="1"/>
    <col min="53" max="53" width="11.08984375" customWidth="1"/>
    <col min="54" max="55" width="10.1796875" customWidth="1"/>
    <col min="57" max="57" width="10.1796875" customWidth="1"/>
    <col min="58" max="58" width="10.81640625" customWidth="1"/>
  </cols>
  <sheetData>
    <row r="1" spans="1:58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1" t="s">
        <v>41</v>
      </c>
      <c r="J1" s="31" t="s">
        <v>43</v>
      </c>
      <c r="K1" s="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AH1" t="s">
        <v>260</v>
      </c>
      <c r="AI1" t="s">
        <v>261</v>
      </c>
      <c r="AJ1" t="s">
        <v>262</v>
      </c>
      <c r="AK1" t="s">
        <v>263</v>
      </c>
      <c r="AL1" t="s">
        <v>264</v>
      </c>
      <c r="AM1" t="s">
        <v>265</v>
      </c>
      <c r="AN1" t="s">
        <v>266</v>
      </c>
      <c r="AO1" t="s">
        <v>267</v>
      </c>
      <c r="AP1" t="s">
        <v>268</v>
      </c>
      <c r="AQ1" t="s">
        <v>269</v>
      </c>
      <c r="AR1" t="s">
        <v>270</v>
      </c>
      <c r="AV1" t="s">
        <v>260</v>
      </c>
      <c r="AW1" t="s">
        <v>261</v>
      </c>
      <c r="AX1" t="s">
        <v>262</v>
      </c>
      <c r="AY1" t="s">
        <v>263</v>
      </c>
      <c r="AZ1" t="s">
        <v>264</v>
      </c>
      <c r="BA1" t="s">
        <v>265</v>
      </c>
      <c r="BB1" t="s">
        <v>266</v>
      </c>
      <c r="BC1" t="s">
        <v>267</v>
      </c>
      <c r="BD1" t="s">
        <v>268</v>
      </c>
      <c r="BE1" t="s">
        <v>269</v>
      </c>
      <c r="BF1" t="s">
        <v>270</v>
      </c>
    </row>
    <row r="2" spans="1:58" x14ac:dyDescent="0.25">
      <c r="A2" s="1" t="s">
        <v>14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AG2">
        <v>1</v>
      </c>
      <c r="AI2" s="1">
        <v>2.5</v>
      </c>
      <c r="AJ2" s="1">
        <v>3.2</v>
      </c>
      <c r="AK2" s="1">
        <v>2.3999999999999998E-3</v>
      </c>
      <c r="AL2" s="1">
        <v>-1.14E-3</v>
      </c>
      <c r="AM2" s="1">
        <v>1</v>
      </c>
      <c r="AN2" s="1">
        <f>(0.5-AL2/AK2)^AM2</f>
        <v>0.97500000000000009</v>
      </c>
      <c r="AO2" s="1">
        <v>0.2</v>
      </c>
      <c r="AP2">
        <v>1</v>
      </c>
      <c r="AQ2" s="1">
        <f>(AJ2-AI2)*AN2+AI2-(AI2+AJ2)*(AO2/2)*AP2</f>
        <v>2.6124999999999998</v>
      </c>
      <c r="AR2" s="1">
        <f>1/AQ2</f>
        <v>0.38277511961722488</v>
      </c>
      <c r="AU2">
        <v>1</v>
      </c>
      <c r="AW2" s="1">
        <v>2.5</v>
      </c>
      <c r="AX2" s="1">
        <v>3.2</v>
      </c>
      <c r="AY2" s="1">
        <v>2.3999999999999998E-3</v>
      </c>
      <c r="AZ2" s="1">
        <v>-1.14E-3</v>
      </c>
      <c r="BA2" s="1">
        <v>1</v>
      </c>
      <c r="BB2" s="1">
        <f>(0.5-AZ2/AY2)^BA2</f>
        <v>0.97500000000000009</v>
      </c>
      <c r="BC2" s="1">
        <v>0.2</v>
      </c>
      <c r="BD2">
        <v>1</v>
      </c>
      <c r="BE2" s="1">
        <f>(AX2-AW2)*BB2+AW2-(AW2+AX2)*(BC2/2)*BD2</f>
        <v>2.6124999999999998</v>
      </c>
      <c r="BF2" s="1">
        <f>1/BE2</f>
        <v>0.38277511961722488</v>
      </c>
    </row>
    <row r="3" spans="1:58" x14ac:dyDescent="0.25">
      <c r="A3" s="1" t="s">
        <v>219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G3">
        <v>2</v>
      </c>
      <c r="AI3" s="1">
        <v>2.5</v>
      </c>
      <c r="AJ3" s="1">
        <v>3.2</v>
      </c>
      <c r="AK3" s="1">
        <v>2.3999999999999998E-3</v>
      </c>
      <c r="AL3" s="1">
        <f>AL2+0.00012</f>
        <v>-1.0199999999999999E-3</v>
      </c>
      <c r="AM3" s="1">
        <v>1</v>
      </c>
      <c r="AN3" s="1">
        <f t="shared" ref="AN3:AN21" si="0">(0.5-AL3/AK3)^AM3</f>
        <v>0.92500000000000004</v>
      </c>
      <c r="AO3" s="1">
        <v>0.2</v>
      </c>
      <c r="AP3">
        <v>1</v>
      </c>
      <c r="AQ3" s="1">
        <f t="shared" ref="AQ3:AQ21" si="1">(AJ3-AI3)*AN3+AI3-(AI3+AJ3)*(AO3/2)*AP3</f>
        <v>2.5774999999999997</v>
      </c>
      <c r="AR3" s="1">
        <f t="shared" ref="AR3:AR21" si="2">1/AQ3</f>
        <v>0.38797284190106696</v>
      </c>
      <c r="AU3">
        <v>2</v>
      </c>
      <c r="AW3" s="1">
        <v>2.5</v>
      </c>
      <c r="AX3" s="1">
        <v>3.2</v>
      </c>
      <c r="AY3" s="1">
        <v>2.3999999999999998E-3</v>
      </c>
      <c r="AZ3" s="1">
        <f>AZ2+0.00012</f>
        <v>-1.0199999999999999E-3</v>
      </c>
      <c r="BA3" s="1">
        <v>1</v>
      </c>
      <c r="BB3" s="1">
        <f t="shared" ref="BB3:BB21" si="3">(0.5-AZ3/AY3)^BA3</f>
        <v>0.92500000000000004</v>
      </c>
      <c r="BC3" s="1">
        <v>0.2</v>
      </c>
      <c r="BD3">
        <v>1</v>
      </c>
      <c r="BE3" s="1">
        <f t="shared" ref="BE3:BE21" si="4">(AX3-AW3)*BB3+AW3-(AW3+AX3)*(BC3/2)*BD3</f>
        <v>2.5774999999999997</v>
      </c>
      <c r="BF3" s="1">
        <f t="shared" ref="BF3:BF21" si="5">1/BE3</f>
        <v>0.38797284190106696</v>
      </c>
    </row>
    <row r="4" spans="1:58" x14ac:dyDescent="0.25">
      <c r="A4" s="1"/>
      <c r="B4" s="1"/>
      <c r="C4" s="1"/>
      <c r="AG4">
        <v>3</v>
      </c>
      <c r="AI4" s="1">
        <v>2.5</v>
      </c>
      <c r="AJ4" s="1">
        <v>3.2</v>
      </c>
      <c r="AK4" s="1">
        <v>2.3999999999999998E-3</v>
      </c>
      <c r="AL4" s="1">
        <f t="shared" ref="AL4:AL21" si="6">AL3+0.00012</f>
        <v>-8.9999999999999987E-4</v>
      </c>
      <c r="AM4" s="1">
        <v>1</v>
      </c>
      <c r="AN4" s="1">
        <f t="shared" si="0"/>
        <v>0.875</v>
      </c>
      <c r="AO4" s="1">
        <v>0.2</v>
      </c>
      <c r="AP4">
        <v>1</v>
      </c>
      <c r="AQ4" s="1">
        <f t="shared" si="1"/>
        <v>2.5425000000000004</v>
      </c>
      <c r="AR4" s="1">
        <f t="shared" si="2"/>
        <v>0.39331366764995079</v>
      </c>
      <c r="AU4">
        <v>3</v>
      </c>
      <c r="AW4" s="1">
        <v>2.5</v>
      </c>
      <c r="AX4" s="1">
        <v>3.2</v>
      </c>
      <c r="AY4" s="1">
        <v>2.3999999999999998E-3</v>
      </c>
      <c r="AZ4" s="1">
        <f t="shared" ref="AZ4:AZ21" si="7">AZ3+0.00012</f>
        <v>-8.9999999999999987E-4</v>
      </c>
      <c r="BA4" s="1">
        <v>1</v>
      </c>
      <c r="BB4" s="1">
        <f t="shared" si="3"/>
        <v>0.875</v>
      </c>
      <c r="BC4" s="1">
        <v>0.2</v>
      </c>
      <c r="BD4">
        <v>1</v>
      </c>
      <c r="BE4" s="1">
        <f t="shared" si="4"/>
        <v>2.5425000000000004</v>
      </c>
      <c r="BF4" s="1">
        <f t="shared" si="5"/>
        <v>0.39331366764995079</v>
      </c>
    </row>
    <row r="5" spans="1:58" x14ac:dyDescent="0.25">
      <c r="A5" s="1"/>
      <c r="B5" s="1"/>
      <c r="C5" s="1"/>
      <c r="AG5">
        <v>4</v>
      </c>
      <c r="AI5" s="1">
        <v>2.5</v>
      </c>
      <c r="AJ5" s="1">
        <v>3.2</v>
      </c>
      <c r="AK5" s="1">
        <v>2.3999999999999998E-3</v>
      </c>
      <c r="AL5" s="1">
        <f t="shared" si="6"/>
        <v>-7.7999999999999988E-4</v>
      </c>
      <c r="AM5" s="1">
        <v>1</v>
      </c>
      <c r="AN5" s="1">
        <f t="shared" si="0"/>
        <v>0.82499999999999996</v>
      </c>
      <c r="AO5" s="1">
        <v>0.2</v>
      </c>
      <c r="AP5">
        <v>1</v>
      </c>
      <c r="AQ5" s="1">
        <f t="shared" si="1"/>
        <v>2.5075000000000003</v>
      </c>
      <c r="AR5" s="1">
        <f t="shared" si="2"/>
        <v>0.39880358923230302</v>
      </c>
      <c r="AU5">
        <v>4</v>
      </c>
      <c r="AW5" s="1">
        <v>2.5</v>
      </c>
      <c r="AX5" s="1">
        <v>3.2</v>
      </c>
      <c r="AY5" s="1">
        <v>2.3999999999999998E-3</v>
      </c>
      <c r="AZ5" s="1">
        <f t="shared" si="7"/>
        <v>-7.7999999999999988E-4</v>
      </c>
      <c r="BA5" s="1">
        <v>1</v>
      </c>
      <c r="BB5" s="1">
        <f t="shared" si="3"/>
        <v>0.82499999999999996</v>
      </c>
      <c r="BC5" s="1">
        <v>0.2</v>
      </c>
      <c r="BD5">
        <v>1</v>
      </c>
      <c r="BE5" s="1">
        <f t="shared" si="4"/>
        <v>2.5075000000000003</v>
      </c>
      <c r="BF5" s="1">
        <f t="shared" si="5"/>
        <v>0.39880358923230302</v>
      </c>
    </row>
    <row r="6" spans="1:58" x14ac:dyDescent="0.25">
      <c r="A6" s="1"/>
      <c r="B6" s="1"/>
      <c r="C6" s="1"/>
      <c r="AG6">
        <v>5</v>
      </c>
      <c r="AI6" s="1">
        <v>2.5</v>
      </c>
      <c r="AJ6" s="1">
        <v>3.2</v>
      </c>
      <c r="AK6" s="1">
        <v>2.3999999999999998E-3</v>
      </c>
      <c r="AL6" s="1">
        <f t="shared" si="6"/>
        <v>-6.5999999999999989E-4</v>
      </c>
      <c r="AM6" s="1">
        <v>1</v>
      </c>
      <c r="AN6" s="1">
        <f t="shared" si="0"/>
        <v>0.77499999999999991</v>
      </c>
      <c r="AO6" s="1">
        <v>0.2</v>
      </c>
      <c r="AP6">
        <v>1</v>
      </c>
      <c r="AQ6" s="1">
        <f t="shared" si="1"/>
        <v>2.4725000000000001</v>
      </c>
      <c r="AR6" s="1">
        <f t="shared" si="2"/>
        <v>0.40444893832153689</v>
      </c>
      <c r="AU6">
        <v>5</v>
      </c>
      <c r="AW6" s="1">
        <v>2.5</v>
      </c>
      <c r="AX6" s="1">
        <v>3.2</v>
      </c>
      <c r="AY6" s="1">
        <v>2.3999999999999998E-3</v>
      </c>
      <c r="AZ6" s="1">
        <f t="shared" si="7"/>
        <v>-6.5999999999999989E-4</v>
      </c>
      <c r="BA6" s="1">
        <v>1</v>
      </c>
      <c r="BB6" s="1">
        <f t="shared" si="3"/>
        <v>0.77499999999999991</v>
      </c>
      <c r="BC6" s="1">
        <v>0.2</v>
      </c>
      <c r="BD6">
        <v>1</v>
      </c>
      <c r="BE6" s="1">
        <f t="shared" si="4"/>
        <v>2.4725000000000001</v>
      </c>
      <c r="BF6" s="1">
        <f t="shared" si="5"/>
        <v>0.40444893832153689</v>
      </c>
    </row>
    <row r="7" spans="1:58" x14ac:dyDescent="0.25">
      <c r="B7" s="9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32</v>
      </c>
      <c r="H7" s="9" t="s">
        <v>33</v>
      </c>
      <c r="I7" s="9" t="s">
        <v>34</v>
      </c>
      <c r="J7" s="9" t="s">
        <v>35</v>
      </c>
      <c r="K7" s="9" t="s">
        <v>36</v>
      </c>
      <c r="L7" s="9" t="s">
        <v>37</v>
      </c>
      <c r="M7" s="9" t="s">
        <v>38</v>
      </c>
      <c r="N7" s="9" t="s">
        <v>39</v>
      </c>
      <c r="O7" s="9" t="s">
        <v>40</v>
      </c>
      <c r="P7" s="9" t="s">
        <v>41</v>
      </c>
      <c r="Q7" s="9" t="s">
        <v>42</v>
      </c>
      <c r="R7" s="9" t="s">
        <v>43</v>
      </c>
      <c r="S7" s="9" t="s">
        <v>44</v>
      </c>
      <c r="T7" s="9" t="s">
        <v>45</v>
      </c>
      <c r="U7" s="9" t="s">
        <v>46</v>
      </c>
      <c r="V7" s="9" t="s">
        <v>47</v>
      </c>
      <c r="W7" s="9" t="s">
        <v>48</v>
      </c>
      <c r="X7" s="9" t="s">
        <v>49</v>
      </c>
      <c r="Y7" s="9" t="s">
        <v>50</v>
      </c>
      <c r="Z7" s="9" t="s">
        <v>51</v>
      </c>
      <c r="AA7" s="9" t="s">
        <v>52</v>
      </c>
      <c r="AG7">
        <v>6</v>
      </c>
      <c r="AI7" s="1">
        <v>2.5</v>
      </c>
      <c r="AJ7" s="1">
        <v>3.2</v>
      </c>
      <c r="AK7" s="1">
        <v>2.3999999999999998E-3</v>
      </c>
      <c r="AL7" s="1">
        <f t="shared" si="6"/>
        <v>-5.399999999999999E-4</v>
      </c>
      <c r="AM7" s="1">
        <v>1</v>
      </c>
      <c r="AN7" s="1">
        <f t="shared" si="0"/>
        <v>0.72499999999999998</v>
      </c>
      <c r="AO7" s="1">
        <v>0.2</v>
      </c>
      <c r="AP7">
        <v>1</v>
      </c>
      <c r="AQ7" s="1">
        <f t="shared" si="1"/>
        <v>2.4375</v>
      </c>
      <c r="AR7" s="1">
        <f t="shared" si="2"/>
        <v>0.41025641025641024</v>
      </c>
      <c r="AU7">
        <v>6</v>
      </c>
      <c r="AW7" s="1">
        <v>2.5</v>
      </c>
      <c r="AX7" s="1">
        <v>3.2</v>
      </c>
      <c r="AY7" s="1">
        <v>2.3999999999999998E-3</v>
      </c>
      <c r="AZ7" s="1">
        <f t="shared" si="7"/>
        <v>-5.399999999999999E-4</v>
      </c>
      <c r="BA7" s="1">
        <v>1</v>
      </c>
      <c r="BB7" s="1">
        <f t="shared" si="3"/>
        <v>0.72499999999999998</v>
      </c>
      <c r="BC7" s="1">
        <v>0.2</v>
      </c>
      <c r="BD7">
        <v>1</v>
      </c>
      <c r="BE7" s="1">
        <f t="shared" si="4"/>
        <v>2.4375</v>
      </c>
      <c r="BF7" s="1">
        <f t="shared" si="5"/>
        <v>0.41025641025641024</v>
      </c>
    </row>
    <row r="8" spans="1:58" x14ac:dyDescent="0.25">
      <c r="A8" t="s">
        <v>223</v>
      </c>
      <c r="B8" s="10">
        <v>1</v>
      </c>
      <c r="C8" s="4">
        <v>90834416399.042908</v>
      </c>
      <c r="D8" s="4">
        <v>90834416399.042908</v>
      </c>
      <c r="E8" s="4">
        <v>0.24212868111961894</v>
      </c>
      <c r="F8" s="4">
        <v>0</v>
      </c>
      <c r="G8" s="4">
        <v>34900000000</v>
      </c>
      <c r="H8" s="4">
        <v>41245000000</v>
      </c>
      <c r="I8" s="4">
        <v>41245000000</v>
      </c>
      <c r="J8" s="4">
        <v>-6.8527565935811882E-11</v>
      </c>
      <c r="K8" s="4">
        <v>-6.8527565935811882E-11</v>
      </c>
      <c r="L8" s="4">
        <v>0</v>
      </c>
      <c r="M8" s="4">
        <v>2.0000000000000001E-4</v>
      </c>
      <c r="N8" s="4">
        <v>-8.0757575757575992</v>
      </c>
      <c r="O8" s="4">
        <v>-8.0757575757575992</v>
      </c>
      <c r="P8" s="4">
        <v>1.2642593518518521E-8</v>
      </c>
      <c r="Q8" s="4">
        <v>0</v>
      </c>
      <c r="R8" s="4">
        <v>-5.7500000000002753E-7</v>
      </c>
      <c r="S8" s="4">
        <v>1.2892499999999999E-5</v>
      </c>
      <c r="T8" s="4">
        <v>1.2892499999999999E-5</v>
      </c>
      <c r="U8" s="4">
        <v>0</v>
      </c>
      <c r="V8" s="4">
        <v>0</v>
      </c>
      <c r="W8" s="4">
        <v>2.6008333333333331</v>
      </c>
      <c r="X8" s="4">
        <v>4669.166666666667</v>
      </c>
      <c r="Y8" s="4">
        <v>-1.1999999999999999E-3</v>
      </c>
      <c r="Z8" s="4">
        <v>-1E-3</v>
      </c>
      <c r="AA8" s="3">
        <v>2</v>
      </c>
      <c r="AG8">
        <v>7</v>
      </c>
      <c r="AI8" s="1">
        <v>2.5</v>
      </c>
      <c r="AJ8" s="1">
        <v>3.2</v>
      </c>
      <c r="AK8" s="1">
        <v>2.3999999999999998E-3</v>
      </c>
      <c r="AL8" s="1">
        <f t="shared" si="6"/>
        <v>-4.1999999999999991E-4</v>
      </c>
      <c r="AM8" s="1">
        <v>1</v>
      </c>
      <c r="AN8" s="1">
        <f t="shared" si="0"/>
        <v>0.67500000000000004</v>
      </c>
      <c r="AO8" s="1">
        <v>0.2</v>
      </c>
      <c r="AP8">
        <v>1</v>
      </c>
      <c r="AQ8" s="1">
        <f t="shared" si="1"/>
        <v>2.4024999999999999</v>
      </c>
      <c r="AR8" s="1">
        <f t="shared" si="2"/>
        <v>0.41623309053069724</v>
      </c>
      <c r="AU8">
        <v>7</v>
      </c>
      <c r="AW8" s="1">
        <v>2.5</v>
      </c>
      <c r="AX8" s="1">
        <v>3.2</v>
      </c>
      <c r="AY8" s="1">
        <v>2.3999999999999998E-3</v>
      </c>
      <c r="AZ8" s="1">
        <f t="shared" si="7"/>
        <v>-4.1999999999999991E-4</v>
      </c>
      <c r="BA8" s="1">
        <v>1</v>
      </c>
      <c r="BB8" s="1">
        <f t="shared" si="3"/>
        <v>0.67500000000000004</v>
      </c>
      <c r="BC8" s="1">
        <v>0.2</v>
      </c>
      <c r="BD8">
        <v>1</v>
      </c>
      <c r="BE8" s="1">
        <f t="shared" si="4"/>
        <v>2.4024999999999999</v>
      </c>
      <c r="BF8" s="1">
        <f t="shared" si="5"/>
        <v>0.41623309053069724</v>
      </c>
    </row>
    <row r="9" spans="1:58" x14ac:dyDescent="0.25">
      <c r="B9" s="3">
        <v>2</v>
      </c>
      <c r="C9" s="4">
        <v>94021038547.716187</v>
      </c>
      <c r="D9" s="4">
        <v>94021038547.716187</v>
      </c>
      <c r="E9" s="4">
        <v>0.2471944802122048</v>
      </c>
      <c r="F9" s="4">
        <v>0</v>
      </c>
      <c r="G9" s="4">
        <v>35900000000</v>
      </c>
      <c r="H9" s="4">
        <v>41295000000</v>
      </c>
      <c r="I9" s="4">
        <v>41295000000</v>
      </c>
      <c r="J9" s="4">
        <v>-6.187440419447091E-11</v>
      </c>
      <c r="K9" s="4">
        <v>-6.187440419447091E-11</v>
      </c>
      <c r="L9" s="4">
        <v>0</v>
      </c>
      <c r="M9" s="4">
        <v>2.0000000000000001E-4</v>
      </c>
      <c r="N9" s="4">
        <v>3.4610389610389589</v>
      </c>
      <c r="O9" s="4">
        <v>3.4610389610389589</v>
      </c>
      <c r="P9" s="4">
        <v>1.1422380555555558E-8</v>
      </c>
      <c r="Q9" s="4">
        <v>0</v>
      </c>
      <c r="R9" s="4">
        <v>1.1674999999999999E-5</v>
      </c>
      <c r="S9" s="4">
        <v>1.2417499999999998E-5</v>
      </c>
      <c r="T9" s="4">
        <v>1.2417499999999998E-5</v>
      </c>
      <c r="U9" s="4">
        <v>0</v>
      </c>
      <c r="V9" s="4">
        <v>0</v>
      </c>
      <c r="W9" s="4">
        <v>2.5425000000000004</v>
      </c>
      <c r="X9" s="4">
        <v>4627.5</v>
      </c>
      <c r="Y9" s="4">
        <f t="shared" ref="Y9:Z19" si="8">Y8+0.0002</f>
        <v>-9.999999999999998E-4</v>
      </c>
      <c r="Z9" s="4">
        <f t="shared" si="8"/>
        <v>-8.0000000000000004E-4</v>
      </c>
      <c r="AA9" s="3">
        <v>2</v>
      </c>
      <c r="AG9">
        <v>8</v>
      </c>
      <c r="AI9" s="1">
        <v>2.5</v>
      </c>
      <c r="AJ9" s="1">
        <v>3.2</v>
      </c>
      <c r="AK9" s="1">
        <v>2.3999999999999998E-3</v>
      </c>
      <c r="AL9" s="1">
        <f t="shared" si="6"/>
        <v>-2.9999999999999992E-4</v>
      </c>
      <c r="AM9" s="1">
        <v>1</v>
      </c>
      <c r="AN9" s="1">
        <f t="shared" si="0"/>
        <v>0.625</v>
      </c>
      <c r="AO9" s="1">
        <v>0.2</v>
      </c>
      <c r="AP9">
        <v>1</v>
      </c>
      <c r="AQ9" s="1">
        <f t="shared" si="1"/>
        <v>2.3674999999999997</v>
      </c>
      <c r="AR9" s="1">
        <f t="shared" si="2"/>
        <v>0.42238648363252379</v>
      </c>
      <c r="AU9">
        <v>8</v>
      </c>
      <c r="AW9" s="1">
        <v>2.5</v>
      </c>
      <c r="AX9" s="1">
        <v>3.2</v>
      </c>
      <c r="AY9" s="1">
        <v>2.3999999999999998E-3</v>
      </c>
      <c r="AZ9" s="1">
        <f t="shared" si="7"/>
        <v>-2.9999999999999992E-4</v>
      </c>
      <c r="BA9" s="1">
        <v>1</v>
      </c>
      <c r="BB9" s="1">
        <f t="shared" si="3"/>
        <v>0.625</v>
      </c>
      <c r="BC9" s="1">
        <v>0.2</v>
      </c>
      <c r="BD9">
        <v>1</v>
      </c>
      <c r="BE9" s="1">
        <f t="shared" si="4"/>
        <v>2.3674999999999997</v>
      </c>
      <c r="BF9" s="1">
        <f t="shared" si="5"/>
        <v>0.42238648363252379</v>
      </c>
    </row>
    <row r="10" spans="1:58" x14ac:dyDescent="0.25">
      <c r="B10" s="3">
        <v>3</v>
      </c>
      <c r="C10" s="4">
        <v>97207660696.389435</v>
      </c>
      <c r="D10" s="4">
        <v>97207660696.389435</v>
      </c>
      <c r="E10" s="4">
        <v>0.25226027930479056</v>
      </c>
      <c r="F10" s="4">
        <v>0</v>
      </c>
      <c r="G10" s="4">
        <v>36900000000</v>
      </c>
      <c r="H10" s="4">
        <v>41345000000</v>
      </c>
      <c r="I10" s="4">
        <v>41345000000</v>
      </c>
      <c r="J10" s="4">
        <v>-5.5221242453129963E-11</v>
      </c>
      <c r="K10" s="4">
        <v>-5.5221242453129963E-11</v>
      </c>
      <c r="L10" s="4">
        <v>0</v>
      </c>
      <c r="M10" s="4">
        <v>2.0000000000000001E-4</v>
      </c>
      <c r="N10" s="4">
        <v>14.997835497835489</v>
      </c>
      <c r="O10" s="4">
        <v>14.997835497835489</v>
      </c>
      <c r="P10" s="4">
        <v>1.0202167592592594E-8</v>
      </c>
      <c r="Q10" s="4">
        <v>0</v>
      </c>
      <c r="R10" s="4">
        <v>2.3924999999999985E-5</v>
      </c>
      <c r="S10" s="4">
        <v>1.19425E-5</v>
      </c>
      <c r="T10" s="4">
        <v>1.19425E-5</v>
      </c>
      <c r="U10" s="4">
        <v>0</v>
      </c>
      <c r="V10" s="4">
        <v>0</v>
      </c>
      <c r="W10" s="4">
        <v>2.4841666666666669</v>
      </c>
      <c r="X10" s="4">
        <v>4585.833333333333</v>
      </c>
      <c r="Y10" s="4">
        <f t="shared" si="8"/>
        <v>-7.9999999999999982E-4</v>
      </c>
      <c r="Z10" s="4">
        <f t="shared" si="8"/>
        <v>-6.0000000000000006E-4</v>
      </c>
      <c r="AA10" s="3">
        <v>2</v>
      </c>
      <c r="AG10">
        <v>9</v>
      </c>
      <c r="AI10" s="1">
        <v>2.5</v>
      </c>
      <c r="AJ10" s="1">
        <v>3.2</v>
      </c>
      <c r="AK10" s="1">
        <v>2.3999999999999998E-3</v>
      </c>
      <c r="AL10" s="1">
        <f t="shared" si="6"/>
        <v>-1.7999999999999993E-4</v>
      </c>
      <c r="AM10" s="1">
        <v>1</v>
      </c>
      <c r="AN10" s="1">
        <f t="shared" si="0"/>
        <v>0.57499999999999996</v>
      </c>
      <c r="AO10" s="1">
        <v>0.2</v>
      </c>
      <c r="AP10">
        <v>1</v>
      </c>
      <c r="AQ10" s="1">
        <f t="shared" si="1"/>
        <v>2.3324999999999996</v>
      </c>
      <c r="AR10" s="1">
        <f t="shared" si="2"/>
        <v>0.42872454448017155</v>
      </c>
      <c r="AU10">
        <v>9</v>
      </c>
      <c r="AW10" s="1">
        <v>2.5</v>
      </c>
      <c r="AX10" s="1">
        <v>3.2</v>
      </c>
      <c r="AY10" s="1">
        <v>2.3999999999999998E-3</v>
      </c>
      <c r="AZ10" s="1">
        <f t="shared" si="7"/>
        <v>-1.7999999999999993E-4</v>
      </c>
      <c r="BA10" s="1">
        <v>1</v>
      </c>
      <c r="BB10" s="1">
        <f t="shared" si="3"/>
        <v>0.57499999999999996</v>
      </c>
      <c r="BC10" s="1">
        <v>0.2</v>
      </c>
      <c r="BD10">
        <v>1</v>
      </c>
      <c r="BE10" s="1">
        <f t="shared" si="4"/>
        <v>2.3324999999999996</v>
      </c>
      <c r="BF10" s="1">
        <f t="shared" si="5"/>
        <v>0.42872454448017155</v>
      </c>
    </row>
    <row r="11" spans="1:58" x14ac:dyDescent="0.25">
      <c r="B11" s="3">
        <v>4</v>
      </c>
      <c r="C11" s="4">
        <v>100394282845.06271</v>
      </c>
      <c r="D11" s="4">
        <v>100394282845.06271</v>
      </c>
      <c r="E11" s="4">
        <v>0.25732607839737642</v>
      </c>
      <c r="F11" s="4">
        <v>0</v>
      </c>
      <c r="G11" s="4">
        <v>37900000000</v>
      </c>
      <c r="H11" s="4">
        <v>41395000000</v>
      </c>
      <c r="I11" s="4">
        <v>41395000000</v>
      </c>
      <c r="J11" s="4">
        <v>-4.8568080711788998E-11</v>
      </c>
      <c r="K11" s="4">
        <v>-4.8568080711788998E-11</v>
      </c>
      <c r="L11" s="4">
        <v>0</v>
      </c>
      <c r="M11" s="4">
        <v>2.0000000000000001E-4</v>
      </c>
      <c r="N11" s="4">
        <v>26.534632034632018</v>
      </c>
      <c r="O11" s="4">
        <v>26.534632034632018</v>
      </c>
      <c r="P11" s="4">
        <v>8.9819546296296304E-9</v>
      </c>
      <c r="Q11" s="4">
        <v>0</v>
      </c>
      <c r="R11" s="4">
        <v>3.6174999999999998E-5</v>
      </c>
      <c r="S11" s="4">
        <v>1.1467499999999998E-5</v>
      </c>
      <c r="T11" s="4">
        <v>1.1467499999999998E-5</v>
      </c>
      <c r="U11" s="4">
        <v>0</v>
      </c>
      <c r="V11" s="4">
        <v>0</v>
      </c>
      <c r="W11" s="4">
        <v>2.4258333333333333</v>
      </c>
      <c r="X11" s="4">
        <v>4544.166666666667</v>
      </c>
      <c r="Y11" s="4">
        <f t="shared" si="8"/>
        <v>-5.9999999999999984E-4</v>
      </c>
      <c r="Z11" s="4">
        <f t="shared" si="8"/>
        <v>-4.0000000000000007E-4</v>
      </c>
      <c r="AA11" s="3">
        <v>2</v>
      </c>
      <c r="AG11">
        <v>10</v>
      </c>
      <c r="AI11" s="1">
        <v>2.5</v>
      </c>
      <c r="AJ11" s="1">
        <v>3.2</v>
      </c>
      <c r="AK11" s="1">
        <v>2.3999999999999998E-3</v>
      </c>
      <c r="AL11" s="1">
        <f t="shared" si="6"/>
        <v>-5.9999999999999927E-5</v>
      </c>
      <c r="AM11" s="1">
        <v>1</v>
      </c>
      <c r="AN11" s="1">
        <f t="shared" si="0"/>
        <v>0.52500000000000002</v>
      </c>
      <c r="AO11" s="1">
        <v>0.2</v>
      </c>
      <c r="AP11">
        <v>1</v>
      </c>
      <c r="AQ11" s="1">
        <f t="shared" si="1"/>
        <v>2.2975000000000003</v>
      </c>
      <c r="AR11" s="1">
        <f t="shared" si="2"/>
        <v>0.43525571273122954</v>
      </c>
      <c r="AU11">
        <v>10</v>
      </c>
      <c r="AW11" s="1">
        <v>2.5</v>
      </c>
      <c r="AX11" s="1">
        <v>3.2</v>
      </c>
      <c r="AY11" s="1">
        <v>2.3999999999999998E-3</v>
      </c>
      <c r="AZ11" s="1">
        <f t="shared" si="7"/>
        <v>-5.9999999999999927E-5</v>
      </c>
      <c r="BA11" s="1">
        <v>1</v>
      </c>
      <c r="BB11" s="1">
        <f t="shared" si="3"/>
        <v>0.52500000000000002</v>
      </c>
      <c r="BC11" s="1">
        <v>0.2</v>
      </c>
      <c r="BD11">
        <v>1</v>
      </c>
      <c r="BE11" s="1">
        <f t="shared" si="4"/>
        <v>2.2975000000000003</v>
      </c>
      <c r="BF11" s="1">
        <f t="shared" si="5"/>
        <v>0.43525571273122954</v>
      </c>
    </row>
    <row r="12" spans="1:58" x14ac:dyDescent="0.25">
      <c r="B12" s="3">
        <v>5</v>
      </c>
      <c r="C12" s="4">
        <v>103580904993.73599</v>
      </c>
      <c r="D12" s="4">
        <v>103580904993.73599</v>
      </c>
      <c r="E12" s="4">
        <v>0.26239187748996218</v>
      </c>
      <c r="F12" s="4">
        <v>0</v>
      </c>
      <c r="G12" s="4">
        <v>38900000000</v>
      </c>
      <c r="H12" s="4">
        <v>41445000000</v>
      </c>
      <c r="I12" s="4">
        <v>41445000000</v>
      </c>
      <c r="J12" s="4">
        <v>-4.1914918970448039E-11</v>
      </c>
      <c r="K12" s="4">
        <v>-4.1914918970448039E-11</v>
      </c>
      <c r="L12" s="4">
        <v>0</v>
      </c>
      <c r="M12" s="4">
        <v>2.0000000000000001E-4</v>
      </c>
      <c r="N12" s="4">
        <v>38.071428571428562</v>
      </c>
      <c r="O12" s="4">
        <v>38.071428571428562</v>
      </c>
      <c r="P12" s="4">
        <v>7.7617416666666668E-9</v>
      </c>
      <c r="Q12" s="4">
        <v>0</v>
      </c>
      <c r="R12" s="4">
        <v>4.8424999999999998E-5</v>
      </c>
      <c r="S12" s="4">
        <v>1.0992499999999999E-5</v>
      </c>
      <c r="T12" s="4">
        <v>1.0992499999999999E-5</v>
      </c>
      <c r="U12" s="4">
        <v>0</v>
      </c>
      <c r="V12" s="4">
        <v>0</v>
      </c>
      <c r="W12" s="4">
        <v>2.3674999999999997</v>
      </c>
      <c r="X12" s="4">
        <v>4502.5</v>
      </c>
      <c r="Y12" s="4">
        <f t="shared" si="8"/>
        <v>-3.9999999999999986E-4</v>
      </c>
      <c r="Z12" s="4">
        <f t="shared" si="8"/>
        <v>-2.0000000000000006E-4</v>
      </c>
      <c r="AA12" s="3">
        <v>2</v>
      </c>
      <c r="AG12">
        <v>11</v>
      </c>
      <c r="AI12" s="1">
        <v>2.5</v>
      </c>
      <c r="AJ12" s="1">
        <v>3.2</v>
      </c>
      <c r="AK12" s="1">
        <v>2.3999999999999998E-3</v>
      </c>
      <c r="AL12" s="1">
        <f t="shared" si="6"/>
        <v>6.0000000000000076E-5</v>
      </c>
      <c r="AM12" s="1">
        <v>1</v>
      </c>
      <c r="AN12" s="1">
        <f t="shared" si="0"/>
        <v>0.47499999999999998</v>
      </c>
      <c r="AO12" s="1">
        <v>0.2</v>
      </c>
      <c r="AP12">
        <v>1</v>
      </c>
      <c r="AQ12" s="1">
        <f t="shared" si="1"/>
        <v>2.2625000000000002</v>
      </c>
      <c r="AR12" s="1">
        <f t="shared" si="2"/>
        <v>0.44198895027624308</v>
      </c>
      <c r="AU12">
        <v>11</v>
      </c>
      <c r="AW12" s="1">
        <v>2.5</v>
      </c>
      <c r="AX12" s="1">
        <v>3.2</v>
      </c>
      <c r="AY12" s="1">
        <v>2.3999999999999998E-3</v>
      </c>
      <c r="AZ12" s="1">
        <f t="shared" si="7"/>
        <v>6.0000000000000076E-5</v>
      </c>
      <c r="BA12" s="1">
        <v>1</v>
      </c>
      <c r="BB12" s="1">
        <f t="shared" si="3"/>
        <v>0.47499999999999998</v>
      </c>
      <c r="BC12" s="1">
        <v>0.2</v>
      </c>
      <c r="BD12">
        <v>1</v>
      </c>
      <c r="BE12" s="1">
        <f t="shared" si="4"/>
        <v>2.2625000000000002</v>
      </c>
      <c r="BF12" s="1">
        <f t="shared" si="5"/>
        <v>0.44198895027624308</v>
      </c>
    </row>
    <row r="13" spans="1:58" x14ac:dyDescent="0.25">
      <c r="B13" s="3">
        <v>6</v>
      </c>
      <c r="C13" s="4">
        <v>106767527142.40924</v>
      </c>
      <c r="D13" s="4">
        <v>106767527142.40924</v>
      </c>
      <c r="E13" s="4">
        <v>0.26745767658254804</v>
      </c>
      <c r="F13" s="4">
        <v>0</v>
      </c>
      <c r="G13" s="4">
        <v>39900000000</v>
      </c>
      <c r="H13" s="4">
        <v>41495000000</v>
      </c>
      <c r="I13" s="4">
        <v>41495000000</v>
      </c>
      <c r="J13" s="4">
        <v>-3.5261757229107073E-11</v>
      </c>
      <c r="K13" s="4">
        <v>-3.5261757229107073E-11</v>
      </c>
      <c r="L13" s="4">
        <v>0</v>
      </c>
      <c r="M13" s="4">
        <v>2.0000000000000001E-4</v>
      </c>
      <c r="N13" s="4">
        <v>49.608225108225106</v>
      </c>
      <c r="O13" s="4">
        <v>49.608225108225106</v>
      </c>
      <c r="P13" s="4">
        <v>6.5415287037037048E-9</v>
      </c>
      <c r="Q13" s="4">
        <v>0</v>
      </c>
      <c r="R13" s="4">
        <v>6.0674999999999998E-5</v>
      </c>
      <c r="S13" s="4">
        <v>1.0517499999999999E-5</v>
      </c>
      <c r="T13" s="4">
        <v>1.0517499999999999E-5</v>
      </c>
      <c r="U13" s="4">
        <v>0</v>
      </c>
      <c r="V13" s="4">
        <v>0</v>
      </c>
      <c r="W13" s="4">
        <v>2.309166666666667</v>
      </c>
      <c r="X13" s="4">
        <v>4460.833333333333</v>
      </c>
      <c r="Y13" s="4">
        <f t="shared" si="8"/>
        <v>-1.9999999999999985E-4</v>
      </c>
      <c r="Z13" s="4">
        <f t="shared" si="8"/>
        <v>0</v>
      </c>
      <c r="AA13" s="3">
        <v>2</v>
      </c>
      <c r="AG13">
        <v>12</v>
      </c>
      <c r="AI13" s="1">
        <v>2.5</v>
      </c>
      <c r="AJ13" s="1">
        <v>3.2</v>
      </c>
      <c r="AK13" s="1">
        <v>2.3999999999999998E-3</v>
      </c>
      <c r="AL13" s="1">
        <f t="shared" si="6"/>
        <v>1.8000000000000009E-4</v>
      </c>
      <c r="AM13" s="1">
        <v>1</v>
      </c>
      <c r="AN13" s="1">
        <f t="shared" si="0"/>
        <v>0.42499999999999993</v>
      </c>
      <c r="AO13" s="1">
        <v>0.2</v>
      </c>
      <c r="AP13">
        <v>1</v>
      </c>
      <c r="AQ13" s="1">
        <f t="shared" si="1"/>
        <v>2.2275</v>
      </c>
      <c r="AR13" s="1">
        <f t="shared" si="2"/>
        <v>0.44893378226711561</v>
      </c>
      <c r="AU13">
        <v>12</v>
      </c>
      <c r="AW13" s="1">
        <v>2.5</v>
      </c>
      <c r="AX13" s="1">
        <v>3.2</v>
      </c>
      <c r="AY13" s="1">
        <v>2.3999999999999998E-3</v>
      </c>
      <c r="AZ13" s="1">
        <f t="shared" si="7"/>
        <v>1.8000000000000009E-4</v>
      </c>
      <c r="BA13" s="1">
        <v>1</v>
      </c>
      <c r="BB13" s="1">
        <f t="shared" si="3"/>
        <v>0.42499999999999993</v>
      </c>
      <c r="BC13" s="1">
        <v>0.2</v>
      </c>
      <c r="BD13">
        <v>1</v>
      </c>
      <c r="BE13" s="1">
        <f t="shared" si="4"/>
        <v>2.2275</v>
      </c>
      <c r="BF13" s="1">
        <f t="shared" si="5"/>
        <v>0.44893378226711561</v>
      </c>
    </row>
    <row r="14" spans="1:58" x14ac:dyDescent="0.25">
      <c r="B14" s="3">
        <v>7</v>
      </c>
      <c r="C14" s="4">
        <v>109954149291.08252</v>
      </c>
      <c r="D14" s="4">
        <v>109954149291.08252</v>
      </c>
      <c r="E14" s="4">
        <v>0.2725234756751338</v>
      </c>
      <c r="F14" s="4">
        <v>0</v>
      </c>
      <c r="G14" s="4">
        <v>40900000000</v>
      </c>
      <c r="H14" s="4">
        <v>41545000000</v>
      </c>
      <c r="I14" s="4">
        <v>41545000000</v>
      </c>
      <c r="J14" s="4">
        <v>-2.860859548776612E-11</v>
      </c>
      <c r="K14" s="4">
        <v>-2.860859548776612E-11</v>
      </c>
      <c r="L14" s="4">
        <v>0</v>
      </c>
      <c r="M14" s="4">
        <v>2.0000000000000001E-4</v>
      </c>
      <c r="N14" s="4">
        <v>61.145021645021636</v>
      </c>
      <c r="O14" s="4">
        <v>61.145021645021636</v>
      </c>
      <c r="P14" s="4">
        <v>5.3213157407407411E-9</v>
      </c>
      <c r="Q14" s="4">
        <v>0</v>
      </c>
      <c r="R14" s="4">
        <v>7.2924999999999997E-5</v>
      </c>
      <c r="S14" s="4">
        <v>1.0042499999999999E-5</v>
      </c>
      <c r="T14" s="4">
        <v>1.0042499999999999E-5</v>
      </c>
      <c r="U14" s="4">
        <v>0</v>
      </c>
      <c r="V14" s="4">
        <v>0</v>
      </c>
      <c r="W14" s="4">
        <v>2.2508333333333335</v>
      </c>
      <c r="X14" s="4">
        <v>4419.166666666667</v>
      </c>
      <c r="Y14" s="4">
        <f t="shared" si="8"/>
        <v>0</v>
      </c>
      <c r="Z14" s="4">
        <f t="shared" si="8"/>
        <v>2.0000000000000001E-4</v>
      </c>
      <c r="AA14" s="3">
        <v>2</v>
      </c>
      <c r="AG14">
        <v>13</v>
      </c>
      <c r="AI14" s="1">
        <v>2.5</v>
      </c>
      <c r="AJ14" s="1">
        <v>3.2</v>
      </c>
      <c r="AK14" s="1">
        <v>2.3999999999999998E-3</v>
      </c>
      <c r="AL14" s="1">
        <f t="shared" si="6"/>
        <v>3.0000000000000008E-4</v>
      </c>
      <c r="AM14" s="1">
        <v>1</v>
      </c>
      <c r="AN14" s="1">
        <f t="shared" si="0"/>
        <v>0.37499999999999994</v>
      </c>
      <c r="AO14" s="1">
        <v>0.2</v>
      </c>
      <c r="AP14">
        <v>1</v>
      </c>
      <c r="AQ14" s="1">
        <f t="shared" si="1"/>
        <v>2.1924999999999999</v>
      </c>
      <c r="AR14" s="1">
        <f t="shared" si="2"/>
        <v>0.45610034207525657</v>
      </c>
      <c r="AU14">
        <v>13</v>
      </c>
      <c r="AW14" s="1">
        <v>2.5</v>
      </c>
      <c r="AX14" s="1">
        <v>3.2</v>
      </c>
      <c r="AY14" s="1">
        <v>2.3999999999999998E-3</v>
      </c>
      <c r="AZ14" s="1">
        <f t="shared" si="7"/>
        <v>3.0000000000000008E-4</v>
      </c>
      <c r="BA14" s="1">
        <v>1</v>
      </c>
      <c r="BB14" s="1">
        <f t="shared" si="3"/>
        <v>0.37499999999999994</v>
      </c>
      <c r="BC14" s="1">
        <v>0.2</v>
      </c>
      <c r="BD14">
        <v>1</v>
      </c>
      <c r="BE14" s="1">
        <f t="shared" si="4"/>
        <v>2.1924999999999999</v>
      </c>
      <c r="BF14" s="1">
        <f t="shared" si="5"/>
        <v>0.45610034207525657</v>
      </c>
    </row>
    <row r="15" spans="1:58" x14ac:dyDescent="0.25">
      <c r="B15" s="3">
        <v>8</v>
      </c>
      <c r="C15" s="4">
        <v>113140771439.7558</v>
      </c>
      <c r="D15" s="4">
        <v>113140771439.7558</v>
      </c>
      <c r="E15" s="4">
        <v>0.27758927476771966</v>
      </c>
      <c r="F15" s="4">
        <v>0</v>
      </c>
      <c r="G15" s="4">
        <v>41900000000</v>
      </c>
      <c r="H15" s="4">
        <v>41595000000</v>
      </c>
      <c r="I15" s="4">
        <v>41595000000</v>
      </c>
      <c r="J15" s="4">
        <v>-2.1955433746425161E-11</v>
      </c>
      <c r="K15" s="4">
        <v>-2.1955433746425161E-11</v>
      </c>
      <c r="L15" s="4">
        <v>0</v>
      </c>
      <c r="M15" s="4">
        <v>2.0000000000000001E-4</v>
      </c>
      <c r="N15" s="4">
        <v>72.681818181818159</v>
      </c>
      <c r="O15" s="4">
        <v>72.681818181818159</v>
      </c>
      <c r="P15" s="4">
        <v>4.1011027777777791E-9</v>
      </c>
      <c r="Q15" s="4">
        <v>0</v>
      </c>
      <c r="R15" s="4">
        <v>8.5174999999999997E-5</v>
      </c>
      <c r="S15" s="4">
        <v>9.5674999999999995E-6</v>
      </c>
      <c r="T15" s="4">
        <v>9.5674999999999995E-6</v>
      </c>
      <c r="U15" s="4">
        <v>0</v>
      </c>
      <c r="V15" s="4">
        <v>0</v>
      </c>
      <c r="W15" s="4">
        <v>2.1924999999999999</v>
      </c>
      <c r="X15" s="4">
        <v>4377.5</v>
      </c>
      <c r="Y15" s="4">
        <f t="shared" si="8"/>
        <v>2.0000000000000001E-4</v>
      </c>
      <c r="Z15" s="4">
        <f t="shared" si="8"/>
        <v>4.0000000000000002E-4</v>
      </c>
      <c r="AA15" s="3">
        <v>2</v>
      </c>
      <c r="AG15">
        <v>14</v>
      </c>
      <c r="AI15" s="1">
        <v>2.5</v>
      </c>
      <c r="AJ15" s="1">
        <v>3.2</v>
      </c>
      <c r="AK15" s="1">
        <v>2.3999999999999998E-3</v>
      </c>
      <c r="AL15" s="1">
        <f t="shared" si="6"/>
        <v>4.2000000000000007E-4</v>
      </c>
      <c r="AM15" s="1">
        <v>1</v>
      </c>
      <c r="AN15" s="1">
        <f t="shared" si="0"/>
        <v>0.32499999999999996</v>
      </c>
      <c r="AO15" s="1">
        <v>0.2</v>
      </c>
      <c r="AP15">
        <v>1</v>
      </c>
      <c r="AQ15" s="1">
        <f t="shared" si="1"/>
        <v>2.1574999999999998</v>
      </c>
      <c r="AR15" s="1">
        <f t="shared" si="2"/>
        <v>0.46349942062572425</v>
      </c>
      <c r="AU15">
        <v>14</v>
      </c>
      <c r="AW15" s="1">
        <v>2.5</v>
      </c>
      <c r="AX15" s="1">
        <v>3.2</v>
      </c>
      <c r="AY15" s="1">
        <v>2.3999999999999998E-3</v>
      </c>
      <c r="AZ15" s="1">
        <f t="shared" si="7"/>
        <v>4.2000000000000007E-4</v>
      </c>
      <c r="BA15" s="1">
        <v>1</v>
      </c>
      <c r="BB15" s="1">
        <f t="shared" si="3"/>
        <v>0.32499999999999996</v>
      </c>
      <c r="BC15" s="1">
        <v>0.2</v>
      </c>
      <c r="BD15">
        <v>1</v>
      </c>
      <c r="BE15" s="1">
        <f t="shared" si="4"/>
        <v>2.1574999999999998</v>
      </c>
      <c r="BF15" s="1">
        <f t="shared" si="5"/>
        <v>0.46349942062572425</v>
      </c>
    </row>
    <row r="16" spans="1:58" x14ac:dyDescent="0.25">
      <c r="B16" s="3">
        <v>9</v>
      </c>
      <c r="C16" s="4">
        <v>116327393588.42905</v>
      </c>
      <c r="D16" s="4">
        <v>116327393588.42905</v>
      </c>
      <c r="E16" s="4">
        <v>0.28265507386030547</v>
      </c>
      <c r="F16" s="4">
        <v>0</v>
      </c>
      <c r="G16" s="4">
        <v>42900000000</v>
      </c>
      <c r="H16" s="4">
        <v>41645000000</v>
      </c>
      <c r="I16" s="4">
        <v>41645000000</v>
      </c>
      <c r="J16" s="4">
        <v>-1.5302272005084202E-11</v>
      </c>
      <c r="K16" s="4">
        <v>-1.5302272005084202E-11</v>
      </c>
      <c r="L16" s="4">
        <v>0</v>
      </c>
      <c r="M16" s="4">
        <v>2.0000000000000001E-4</v>
      </c>
      <c r="N16" s="4">
        <v>84.218614718614702</v>
      </c>
      <c r="O16" s="4">
        <v>84.218614718614702</v>
      </c>
      <c r="P16" s="4">
        <v>2.880889814814815E-9</v>
      </c>
      <c r="Q16" s="4">
        <v>0</v>
      </c>
      <c r="R16" s="4">
        <v>9.7424999999999996E-5</v>
      </c>
      <c r="S16" s="4">
        <v>9.0924999999999998E-6</v>
      </c>
      <c r="T16" s="4">
        <v>9.0924999999999998E-6</v>
      </c>
      <c r="U16" s="4">
        <v>0</v>
      </c>
      <c r="V16" s="4">
        <v>0</v>
      </c>
      <c r="W16" s="4">
        <v>2.1341666666666663</v>
      </c>
      <c r="X16" s="4">
        <v>4335.833333333333</v>
      </c>
      <c r="Y16" s="4">
        <f t="shared" si="8"/>
        <v>4.0000000000000002E-4</v>
      </c>
      <c r="Z16" s="4">
        <f t="shared" si="8"/>
        <v>6.0000000000000006E-4</v>
      </c>
      <c r="AA16" s="3">
        <v>2</v>
      </c>
      <c r="AG16">
        <v>15</v>
      </c>
      <c r="AI16" s="1">
        <v>2.5</v>
      </c>
      <c r="AJ16" s="1">
        <v>3.2</v>
      </c>
      <c r="AK16" s="1">
        <v>2.3999999999999998E-3</v>
      </c>
      <c r="AL16" s="1">
        <f t="shared" si="6"/>
        <v>5.4000000000000012E-4</v>
      </c>
      <c r="AM16" s="1">
        <v>1</v>
      </c>
      <c r="AN16" s="1">
        <f t="shared" si="0"/>
        <v>0.27499999999999991</v>
      </c>
      <c r="AO16" s="1">
        <v>0.2</v>
      </c>
      <c r="AP16">
        <v>1</v>
      </c>
      <c r="AQ16" s="1">
        <f t="shared" si="1"/>
        <v>2.1224999999999996</v>
      </c>
      <c r="AR16" s="1">
        <f t="shared" si="2"/>
        <v>0.47114252061248535</v>
      </c>
      <c r="AU16">
        <v>15</v>
      </c>
      <c r="AW16" s="1">
        <v>2.5</v>
      </c>
      <c r="AX16" s="1">
        <v>3.2</v>
      </c>
      <c r="AY16" s="1">
        <v>2.3999999999999998E-3</v>
      </c>
      <c r="AZ16" s="1">
        <f t="shared" si="7"/>
        <v>5.4000000000000012E-4</v>
      </c>
      <c r="BA16" s="1">
        <v>1</v>
      </c>
      <c r="BB16" s="1">
        <f t="shared" si="3"/>
        <v>0.27499999999999991</v>
      </c>
      <c r="BC16" s="1">
        <v>0.2</v>
      </c>
      <c r="BD16">
        <v>1</v>
      </c>
      <c r="BE16" s="1">
        <f t="shared" si="4"/>
        <v>2.1224999999999996</v>
      </c>
      <c r="BF16" s="1">
        <f t="shared" si="5"/>
        <v>0.47114252061248535</v>
      </c>
    </row>
    <row r="17" spans="1:58" x14ac:dyDescent="0.25">
      <c r="B17" s="3">
        <v>10</v>
      </c>
      <c r="C17" s="4">
        <v>119514015737.10233</v>
      </c>
      <c r="D17" s="4">
        <v>119514015737.10233</v>
      </c>
      <c r="E17" s="4">
        <v>0.28772087295289128</v>
      </c>
      <c r="F17" s="4">
        <v>0</v>
      </c>
      <c r="G17" s="4">
        <v>43900000000</v>
      </c>
      <c r="H17" s="4">
        <v>41695000000</v>
      </c>
      <c r="I17" s="4">
        <v>41695000000</v>
      </c>
      <c r="J17" s="4">
        <v>-8.6491102637432446E-12</v>
      </c>
      <c r="K17" s="4">
        <v>-8.6491102637432446E-12</v>
      </c>
      <c r="L17" s="4">
        <v>0</v>
      </c>
      <c r="M17" s="4">
        <v>2.0000000000000001E-4</v>
      </c>
      <c r="N17" s="4">
        <v>95.755411255411246</v>
      </c>
      <c r="O17" s="4">
        <v>95.755411255411246</v>
      </c>
      <c r="P17" s="4">
        <v>1.6606768518518518E-9</v>
      </c>
      <c r="Q17" s="4">
        <v>0</v>
      </c>
      <c r="R17" s="4">
        <v>1.09675E-4</v>
      </c>
      <c r="S17" s="4">
        <v>8.6175000000000001E-6</v>
      </c>
      <c r="T17" s="4">
        <v>8.6175000000000001E-6</v>
      </c>
      <c r="U17" s="4">
        <v>0</v>
      </c>
      <c r="V17" s="4">
        <v>0</v>
      </c>
      <c r="W17" s="4">
        <v>2.0758333333333336</v>
      </c>
      <c r="X17" s="4">
        <v>4294.166666666667</v>
      </c>
      <c r="Y17" s="4">
        <f t="shared" si="8"/>
        <v>6.0000000000000006E-4</v>
      </c>
      <c r="Z17" s="4">
        <f t="shared" si="8"/>
        <v>8.0000000000000004E-4</v>
      </c>
      <c r="AA17" s="3">
        <v>2</v>
      </c>
      <c r="AG17">
        <v>16</v>
      </c>
      <c r="AI17" s="1">
        <v>2.5</v>
      </c>
      <c r="AJ17" s="1">
        <v>3.2</v>
      </c>
      <c r="AK17" s="1">
        <v>2.3999999999999998E-3</v>
      </c>
      <c r="AL17" s="1">
        <f t="shared" si="6"/>
        <v>6.600000000000001E-4</v>
      </c>
      <c r="AM17" s="1">
        <v>1</v>
      </c>
      <c r="AN17" s="1">
        <f t="shared" si="0"/>
        <v>0.22499999999999992</v>
      </c>
      <c r="AO17" s="1">
        <v>0.2</v>
      </c>
      <c r="AP17">
        <v>1</v>
      </c>
      <c r="AQ17" s="1">
        <f t="shared" si="1"/>
        <v>2.0874999999999995</v>
      </c>
      <c r="AR17" s="1">
        <f t="shared" si="2"/>
        <v>0.47904191616766478</v>
      </c>
      <c r="AU17">
        <v>16</v>
      </c>
      <c r="AW17" s="1">
        <v>2.5</v>
      </c>
      <c r="AX17" s="1">
        <v>3.2</v>
      </c>
      <c r="AY17" s="1">
        <v>2.3999999999999998E-3</v>
      </c>
      <c r="AZ17" s="1">
        <f t="shared" si="7"/>
        <v>6.600000000000001E-4</v>
      </c>
      <c r="BA17" s="1">
        <v>1</v>
      </c>
      <c r="BB17" s="1">
        <f t="shared" si="3"/>
        <v>0.22499999999999992</v>
      </c>
      <c r="BC17" s="1">
        <v>0.2</v>
      </c>
      <c r="BD17">
        <v>1</v>
      </c>
      <c r="BE17" s="1">
        <f t="shared" si="4"/>
        <v>2.0874999999999995</v>
      </c>
      <c r="BF17" s="1">
        <f t="shared" si="5"/>
        <v>0.47904191616766478</v>
      </c>
    </row>
    <row r="18" spans="1:58" x14ac:dyDescent="0.25">
      <c r="B18" s="3">
        <v>11</v>
      </c>
      <c r="C18" s="4">
        <v>122700637885.7756</v>
      </c>
      <c r="D18" s="4">
        <v>122700637885.7756</v>
      </c>
      <c r="E18" s="4">
        <v>0.29278667204547704</v>
      </c>
      <c r="F18" s="4">
        <v>0</v>
      </c>
      <c r="G18" s="4">
        <v>44900000000</v>
      </c>
      <c r="H18" s="4">
        <v>41745000000</v>
      </c>
      <c r="I18" s="4">
        <v>41745000000</v>
      </c>
      <c r="J18" s="4">
        <v>-1.9959485224022871E-12</v>
      </c>
      <c r="K18" s="4">
        <v>-1.9959485224022871E-12</v>
      </c>
      <c r="L18" s="4">
        <v>0</v>
      </c>
      <c r="M18" s="4">
        <v>2.0000000000000001E-4</v>
      </c>
      <c r="N18" s="4">
        <v>107.29220779220776</v>
      </c>
      <c r="O18" s="4">
        <v>107.29220779220776</v>
      </c>
      <c r="P18" s="4">
        <v>4.4046388888888892E-10</v>
      </c>
      <c r="Q18" s="4">
        <v>0</v>
      </c>
      <c r="R18" s="4">
        <v>1.21925E-4</v>
      </c>
      <c r="S18" s="4">
        <v>8.1425000000000004E-6</v>
      </c>
      <c r="T18" s="4">
        <v>8.1425000000000004E-6</v>
      </c>
      <c r="U18" s="4">
        <v>0</v>
      </c>
      <c r="V18" s="4">
        <v>0</v>
      </c>
      <c r="W18" s="4">
        <v>2.0175000000000001</v>
      </c>
      <c r="X18" s="4">
        <v>4252.5</v>
      </c>
      <c r="Y18" s="4">
        <f t="shared" si="8"/>
        <v>8.0000000000000004E-4</v>
      </c>
      <c r="Z18" s="4">
        <f t="shared" si="8"/>
        <v>1E-3</v>
      </c>
      <c r="AA18" s="3">
        <v>2</v>
      </c>
      <c r="AG18">
        <v>17</v>
      </c>
      <c r="AI18" s="1">
        <v>2.5</v>
      </c>
      <c r="AJ18" s="1">
        <v>3.2</v>
      </c>
      <c r="AK18" s="1">
        <v>2.3999999999999998E-3</v>
      </c>
      <c r="AL18" s="1">
        <f t="shared" si="6"/>
        <v>7.8000000000000009E-4</v>
      </c>
      <c r="AM18" s="1">
        <v>1</v>
      </c>
      <c r="AN18" s="1">
        <f t="shared" si="0"/>
        <v>0.17499999999999993</v>
      </c>
      <c r="AO18" s="1">
        <v>0.2</v>
      </c>
      <c r="AP18">
        <v>1</v>
      </c>
      <c r="AQ18" s="1">
        <f t="shared" si="1"/>
        <v>2.0525000000000002</v>
      </c>
      <c r="AR18" s="1">
        <f t="shared" si="2"/>
        <v>0.48721071863580995</v>
      </c>
      <c r="AU18">
        <v>17</v>
      </c>
      <c r="AW18" s="1">
        <v>2.5</v>
      </c>
      <c r="AX18" s="1">
        <v>3.2</v>
      </c>
      <c r="AY18" s="1">
        <v>2.3999999999999998E-3</v>
      </c>
      <c r="AZ18" s="1">
        <f t="shared" si="7"/>
        <v>7.8000000000000009E-4</v>
      </c>
      <c r="BA18" s="1">
        <v>1</v>
      </c>
      <c r="BB18" s="1">
        <f t="shared" si="3"/>
        <v>0.17499999999999993</v>
      </c>
      <c r="BC18" s="1">
        <v>0.2</v>
      </c>
      <c r="BD18">
        <v>1</v>
      </c>
      <c r="BE18" s="1">
        <f t="shared" si="4"/>
        <v>2.0525000000000002</v>
      </c>
      <c r="BF18" s="1">
        <f t="shared" si="5"/>
        <v>0.48721071863580995</v>
      </c>
    </row>
    <row r="19" spans="1:58" x14ac:dyDescent="0.25">
      <c r="A19" t="s">
        <v>224</v>
      </c>
      <c r="B19" s="10">
        <v>12</v>
      </c>
      <c r="C19" s="4">
        <v>125887260034.44887</v>
      </c>
      <c r="D19" s="4">
        <v>125887260034.44887</v>
      </c>
      <c r="E19" s="4">
        <v>0.2978524711380629</v>
      </c>
      <c r="F19" s="4">
        <v>0</v>
      </c>
      <c r="G19" s="4">
        <v>45900000000</v>
      </c>
      <c r="H19" s="4">
        <v>41795000000</v>
      </c>
      <c r="I19" s="4">
        <v>41795000000</v>
      </c>
      <c r="J19" s="4">
        <v>4.6572132189386785E-12</v>
      </c>
      <c r="K19" s="4">
        <v>4.6572132189386785E-12</v>
      </c>
      <c r="L19" s="4">
        <v>0</v>
      </c>
      <c r="M19" s="4">
        <v>2.0000000000000001E-4</v>
      </c>
      <c r="N19" s="4">
        <v>118.82900432900433</v>
      </c>
      <c r="O19" s="4">
        <v>118.82900432900433</v>
      </c>
      <c r="P19" s="4">
        <v>-7.7974907407407557E-10</v>
      </c>
      <c r="Q19" s="4">
        <v>0</v>
      </c>
      <c r="R19" s="4">
        <v>1.3417500000000002E-4</v>
      </c>
      <c r="S19" s="4">
        <v>7.667499999999999E-6</v>
      </c>
      <c r="T19" s="4">
        <v>7.667499999999999E-6</v>
      </c>
      <c r="U19" s="4">
        <v>0</v>
      </c>
      <c r="V19" s="4">
        <v>0</v>
      </c>
      <c r="W19" s="4">
        <v>1.9591666666666667</v>
      </c>
      <c r="X19" s="4">
        <v>4210.833333333333</v>
      </c>
      <c r="Y19" s="4">
        <f t="shared" si="8"/>
        <v>1E-3</v>
      </c>
      <c r="Z19" s="4">
        <f t="shared" si="8"/>
        <v>1.2000000000000001E-3</v>
      </c>
      <c r="AA19" s="3">
        <v>2</v>
      </c>
      <c r="AG19">
        <v>18</v>
      </c>
      <c r="AI19" s="1">
        <v>2.5</v>
      </c>
      <c r="AJ19" s="1">
        <v>3.2</v>
      </c>
      <c r="AK19" s="1">
        <v>2.3999999999999998E-3</v>
      </c>
      <c r="AL19" s="1">
        <f t="shared" si="6"/>
        <v>9.0000000000000008E-4</v>
      </c>
      <c r="AM19" s="1">
        <v>1</v>
      </c>
      <c r="AN19" s="1">
        <f t="shared" si="0"/>
        <v>0.12499999999999994</v>
      </c>
      <c r="AO19" s="1">
        <v>0.2</v>
      </c>
      <c r="AP19">
        <v>1</v>
      </c>
      <c r="AQ19" s="1">
        <f t="shared" si="1"/>
        <v>2.0175000000000001</v>
      </c>
      <c r="AR19" s="1">
        <f t="shared" si="2"/>
        <v>0.49566294919454768</v>
      </c>
      <c r="AU19">
        <v>18</v>
      </c>
      <c r="AW19" s="1">
        <v>2.5</v>
      </c>
      <c r="AX19" s="1">
        <v>3.2</v>
      </c>
      <c r="AY19" s="1">
        <v>2.3999999999999998E-3</v>
      </c>
      <c r="AZ19" s="1">
        <f t="shared" si="7"/>
        <v>9.0000000000000008E-4</v>
      </c>
      <c r="BA19" s="1">
        <v>1</v>
      </c>
      <c r="BB19" s="1">
        <f t="shared" si="3"/>
        <v>0.12499999999999994</v>
      </c>
      <c r="BC19" s="1">
        <v>0.2</v>
      </c>
      <c r="BD19">
        <v>1</v>
      </c>
      <c r="BE19" s="1">
        <f t="shared" si="4"/>
        <v>2.0175000000000001</v>
      </c>
      <c r="BF19" s="1">
        <f t="shared" si="5"/>
        <v>0.49566294919454768</v>
      </c>
    </row>
    <row r="20" spans="1:58" x14ac:dyDescent="0.25">
      <c r="B20" s="1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"/>
      <c r="AG20">
        <v>19</v>
      </c>
      <c r="AI20" s="1">
        <v>2.5</v>
      </c>
      <c r="AJ20" s="1">
        <v>3.2</v>
      </c>
      <c r="AK20" s="1">
        <v>2.3999999999999998E-3</v>
      </c>
      <c r="AL20" s="1">
        <f t="shared" si="6"/>
        <v>1.0200000000000001E-3</v>
      </c>
      <c r="AM20" s="1">
        <v>1</v>
      </c>
      <c r="AN20" s="1">
        <f t="shared" si="0"/>
        <v>7.4999999999999956E-2</v>
      </c>
      <c r="AO20" s="1">
        <v>0.2</v>
      </c>
      <c r="AP20">
        <v>1</v>
      </c>
      <c r="AQ20" s="1">
        <f t="shared" si="1"/>
        <v>1.9824999999999997</v>
      </c>
      <c r="AR20" s="1">
        <f t="shared" si="2"/>
        <v>0.50441361916771765</v>
      </c>
      <c r="AU20">
        <v>19</v>
      </c>
      <c r="AW20" s="1">
        <v>2.5</v>
      </c>
      <c r="AX20" s="1">
        <v>3.2</v>
      </c>
      <c r="AY20" s="1">
        <v>2.3999999999999998E-3</v>
      </c>
      <c r="AZ20" s="1">
        <f t="shared" si="7"/>
        <v>1.0200000000000001E-3</v>
      </c>
      <c r="BA20" s="1">
        <v>1</v>
      </c>
      <c r="BB20" s="1">
        <f t="shared" si="3"/>
        <v>7.4999999999999956E-2</v>
      </c>
      <c r="BC20" s="1">
        <v>0.2</v>
      </c>
      <c r="BD20">
        <v>1</v>
      </c>
      <c r="BE20" s="1">
        <f t="shared" si="4"/>
        <v>1.9824999999999997</v>
      </c>
      <c r="BF20" s="1">
        <f t="shared" si="5"/>
        <v>0.50441361916771765</v>
      </c>
    </row>
    <row r="21" spans="1:58" x14ac:dyDescent="0.25">
      <c r="A21" s="11" t="s">
        <v>53</v>
      </c>
      <c r="B21" t="s">
        <v>54</v>
      </c>
      <c r="AG21">
        <v>20</v>
      </c>
      <c r="AI21" s="1">
        <v>2.5</v>
      </c>
      <c r="AJ21" s="1">
        <v>3.2</v>
      </c>
      <c r="AK21" s="1">
        <v>2.3999999999999998E-3</v>
      </c>
      <c r="AL21" s="1">
        <f t="shared" si="6"/>
        <v>1.1400000000000002E-3</v>
      </c>
      <c r="AM21" s="1">
        <v>1</v>
      </c>
      <c r="AN21" s="1">
        <f t="shared" si="0"/>
        <v>2.4999999999999911E-2</v>
      </c>
      <c r="AO21" s="1">
        <v>0.2</v>
      </c>
      <c r="AP21">
        <v>1</v>
      </c>
      <c r="AQ21" s="1">
        <f t="shared" si="1"/>
        <v>1.9475</v>
      </c>
      <c r="AR21" s="1">
        <f t="shared" si="2"/>
        <v>0.51347881899871628</v>
      </c>
      <c r="AU21">
        <v>20</v>
      </c>
      <c r="AW21" s="1">
        <v>2.5</v>
      </c>
      <c r="AX21" s="1">
        <v>3.2</v>
      </c>
      <c r="AY21" s="1">
        <v>2.3999999999999998E-3</v>
      </c>
      <c r="AZ21" s="1">
        <f t="shared" si="7"/>
        <v>1.1400000000000002E-3</v>
      </c>
      <c r="BA21" s="1">
        <v>1</v>
      </c>
      <c r="BB21" s="1">
        <f t="shared" si="3"/>
        <v>2.4999999999999911E-2</v>
      </c>
      <c r="BC21" s="1">
        <v>0.2</v>
      </c>
      <c r="BD21">
        <v>1</v>
      </c>
      <c r="BE21" s="1">
        <f t="shared" si="4"/>
        <v>1.9475</v>
      </c>
      <c r="BF21" s="1">
        <f t="shared" si="5"/>
        <v>0.51347881899871628</v>
      </c>
    </row>
    <row r="22" spans="1:58" x14ac:dyDescent="0.25">
      <c r="A22" s="11" t="s">
        <v>55</v>
      </c>
      <c r="B22" t="s">
        <v>56</v>
      </c>
    </row>
    <row r="26" spans="1:58" x14ac:dyDescent="0.25">
      <c r="A26" t="s">
        <v>57</v>
      </c>
      <c r="B26" s="2" t="s">
        <v>221</v>
      </c>
      <c r="C26" s="2" t="s">
        <v>220</v>
      </c>
      <c r="D26" s="2" t="s">
        <v>58</v>
      </c>
      <c r="E26" s="2" t="s">
        <v>59</v>
      </c>
      <c r="F26" s="2" t="s">
        <v>60</v>
      </c>
      <c r="G26" s="2" t="s">
        <v>61</v>
      </c>
      <c r="H26" s="2" t="s">
        <v>62</v>
      </c>
      <c r="I26" s="2" t="s">
        <v>63</v>
      </c>
      <c r="J26" s="2" t="s">
        <v>64</v>
      </c>
      <c r="K26" s="15"/>
      <c r="M26" s="2"/>
      <c r="N26" s="2"/>
      <c r="O26" s="2"/>
      <c r="P26" s="2"/>
      <c r="Q26" s="2"/>
      <c r="R26" s="2"/>
      <c r="S26" s="2"/>
      <c r="T26" s="2"/>
      <c r="U26" s="2"/>
    </row>
    <row r="27" spans="1:58" x14ac:dyDescent="0.25">
      <c r="B27" s="1">
        <v>154570780662.97195</v>
      </c>
      <c r="C27" s="1">
        <v>116331314878.89275</v>
      </c>
      <c r="D27" s="1">
        <v>2.3999999999999998E-3</v>
      </c>
      <c r="E27">
        <v>-1.1000000000000001E-3</v>
      </c>
      <c r="F27" s="1">
        <v>2</v>
      </c>
      <c r="G27" s="1">
        <f>(0.5-E27/D27)^F27</f>
        <v>0.91840277777777801</v>
      </c>
      <c r="H27" s="1">
        <v>0.4</v>
      </c>
      <c r="I27">
        <v>1</v>
      </c>
      <c r="J27" s="1">
        <f>(C27-B27)*G27+B27-(B27+C27)*(H27/2)*I27</f>
        <v>65271129957.762375</v>
      </c>
      <c r="K27" s="1"/>
      <c r="M27" s="1"/>
      <c r="N27" s="1"/>
      <c r="O27" s="1"/>
      <c r="Q27" s="1"/>
      <c r="R27" s="1"/>
      <c r="S27" s="1"/>
      <c r="U27" s="1"/>
    </row>
    <row r="28" spans="1:58" x14ac:dyDescent="0.25">
      <c r="B28" s="1">
        <v>154570780662.97195</v>
      </c>
      <c r="C28" s="1">
        <v>116331314878.89275</v>
      </c>
      <c r="D28" s="1">
        <v>2.3999999999999998E-3</v>
      </c>
      <c r="E28">
        <f>-0.001+0.0001</f>
        <v>-8.9999999999999998E-4</v>
      </c>
      <c r="F28" s="1">
        <v>2</v>
      </c>
      <c r="G28" s="1">
        <f t="shared" ref="G28:G38" si="9">(0.5-E28/D28)^F28</f>
        <v>0.765625</v>
      </c>
      <c r="H28" s="1">
        <v>0.4</v>
      </c>
      <c r="I28">
        <v>1</v>
      </c>
      <c r="J28" s="1">
        <f t="shared" ref="J28:J38" si="10">(C28-B28)*G28+B28-(B28+C28)*(H28/2)*I28</f>
        <v>71113270563.663376</v>
      </c>
      <c r="M28" s="1"/>
      <c r="N28" s="1"/>
      <c r="O28" s="1"/>
      <c r="Q28" s="1"/>
      <c r="R28" s="1"/>
      <c r="S28" s="1"/>
      <c r="U28" s="1"/>
    </row>
    <row r="29" spans="1:58" x14ac:dyDescent="0.25">
      <c r="B29" s="1">
        <v>154570780662.97195</v>
      </c>
      <c r="C29" s="1">
        <v>116331314878.89275</v>
      </c>
      <c r="D29" s="1">
        <v>2.3999999999999998E-3</v>
      </c>
      <c r="E29">
        <f>E28+0.0002</f>
        <v>-6.9999999999999999E-4</v>
      </c>
      <c r="F29" s="1">
        <v>2</v>
      </c>
      <c r="G29" s="1">
        <f t="shared" si="9"/>
        <v>0.62673611111111127</v>
      </c>
      <c r="H29" s="1">
        <v>0.4</v>
      </c>
      <c r="I29">
        <v>1</v>
      </c>
      <c r="J29" s="1">
        <f t="shared" si="10"/>
        <v>76424307478.118805</v>
      </c>
      <c r="M29" s="1"/>
      <c r="N29" s="1"/>
      <c r="O29" s="1"/>
      <c r="Q29" s="1"/>
      <c r="R29" s="1"/>
      <c r="S29" s="1"/>
      <c r="U29" s="1"/>
    </row>
    <row r="30" spans="1:58" x14ac:dyDescent="0.25">
      <c r="B30" s="1">
        <v>154570780662.97195</v>
      </c>
      <c r="C30" s="1">
        <v>116331314878.89275</v>
      </c>
      <c r="D30" s="1">
        <v>2.3999999999999998E-3</v>
      </c>
      <c r="E30">
        <f t="shared" ref="E30:E37" si="11">E29+0.0002</f>
        <v>-5.0000000000000001E-4</v>
      </c>
      <c r="F30" s="1">
        <v>2</v>
      </c>
      <c r="G30" s="1">
        <f t="shared" si="9"/>
        <v>0.50173611111111116</v>
      </c>
      <c r="H30" s="1">
        <v>0.4</v>
      </c>
      <c r="I30">
        <v>1</v>
      </c>
      <c r="J30" s="1">
        <f t="shared" si="10"/>
        <v>81204240701.128708</v>
      </c>
      <c r="M30" s="1"/>
      <c r="N30" s="1"/>
      <c r="O30" s="1"/>
      <c r="Q30" s="1"/>
      <c r="R30" s="1"/>
      <c r="S30" s="1"/>
      <c r="U30" s="1"/>
    </row>
    <row r="31" spans="1:58" x14ac:dyDescent="0.25">
      <c r="B31" s="1">
        <v>154570780662.97195</v>
      </c>
      <c r="C31" s="1">
        <v>116331314878.89275</v>
      </c>
      <c r="D31" s="1">
        <v>2.3999999999999998E-3</v>
      </c>
      <c r="E31">
        <f t="shared" si="11"/>
        <v>-3.0000000000000003E-4</v>
      </c>
      <c r="F31" s="1">
        <v>2</v>
      </c>
      <c r="G31" s="1">
        <f t="shared" si="9"/>
        <v>0.390625</v>
      </c>
      <c r="H31" s="1">
        <v>0.4</v>
      </c>
      <c r="I31">
        <v>1</v>
      </c>
      <c r="J31" s="1">
        <f t="shared" si="10"/>
        <v>85453070232.693069</v>
      </c>
      <c r="M31" s="1"/>
      <c r="N31" s="1"/>
      <c r="O31" s="1"/>
      <c r="Q31" s="1"/>
      <c r="R31" s="1"/>
      <c r="S31" s="1"/>
      <c r="U31" s="1"/>
    </row>
    <row r="32" spans="1:58" x14ac:dyDescent="0.25">
      <c r="B32" s="1">
        <v>154570780662.97195</v>
      </c>
      <c r="C32" s="1">
        <v>116331314878.89275</v>
      </c>
      <c r="D32" s="1">
        <v>2.3999999999999998E-3</v>
      </c>
      <c r="E32">
        <f t="shared" si="11"/>
        <v>-1.0000000000000002E-4</v>
      </c>
      <c r="F32" s="1">
        <v>2</v>
      </c>
      <c r="G32" s="1">
        <f t="shared" si="9"/>
        <v>0.29340277777777773</v>
      </c>
      <c r="H32" s="1">
        <v>0.4</v>
      </c>
      <c r="I32">
        <v>1</v>
      </c>
      <c r="J32" s="1">
        <f t="shared" si="10"/>
        <v>89170796072.811874</v>
      </c>
      <c r="M32" s="1"/>
      <c r="N32" s="1"/>
      <c r="O32" s="1"/>
      <c r="Q32" s="1"/>
      <c r="R32" s="1"/>
      <c r="S32" s="1"/>
      <c r="U32" s="1"/>
    </row>
    <row r="33" spans="1:21" x14ac:dyDescent="0.25">
      <c r="B33" s="1">
        <v>154570780662.97195</v>
      </c>
      <c r="C33" s="1">
        <v>116331314878.89275</v>
      </c>
      <c r="D33" s="1">
        <v>2.3999999999999998E-3</v>
      </c>
      <c r="E33">
        <f t="shared" si="11"/>
        <v>9.9999999999999991E-5</v>
      </c>
      <c r="F33" s="1">
        <v>2</v>
      </c>
      <c r="G33" s="1">
        <f t="shared" si="9"/>
        <v>0.21006944444444442</v>
      </c>
      <c r="H33" s="1">
        <v>0.4</v>
      </c>
      <c r="I33">
        <v>1</v>
      </c>
      <c r="J33" s="1">
        <f t="shared" si="10"/>
        <v>92357418221.485153</v>
      </c>
      <c r="M33" s="1"/>
      <c r="N33" s="1"/>
      <c r="O33" s="1"/>
      <c r="Q33" s="1"/>
      <c r="R33" s="1"/>
      <c r="S33" s="1"/>
      <c r="U33" s="1"/>
    </row>
    <row r="34" spans="1:21" x14ac:dyDescent="0.25">
      <c r="B34" s="1">
        <v>154570780662.97195</v>
      </c>
      <c r="C34" s="1">
        <v>116331314878.89275</v>
      </c>
      <c r="D34" s="1">
        <v>2.3999999999999998E-3</v>
      </c>
      <c r="E34">
        <f t="shared" si="11"/>
        <v>3.0000000000000003E-4</v>
      </c>
      <c r="F34" s="1">
        <v>2</v>
      </c>
      <c r="G34" s="1">
        <f t="shared" si="9"/>
        <v>0.140625</v>
      </c>
      <c r="H34" s="1">
        <v>0.4</v>
      </c>
      <c r="I34">
        <v>1</v>
      </c>
      <c r="J34" s="1">
        <f t="shared" si="10"/>
        <v>95012936678.712875</v>
      </c>
      <c r="M34" s="1"/>
      <c r="N34" s="1"/>
      <c r="O34" s="1"/>
      <c r="Q34" s="1"/>
      <c r="R34" s="1"/>
      <c r="S34" s="1"/>
      <c r="U34" s="1"/>
    </row>
    <row r="35" spans="1:21" x14ac:dyDescent="0.25">
      <c r="B35" s="1">
        <v>154570780662.97195</v>
      </c>
      <c r="C35" s="1">
        <v>116331314878.89275</v>
      </c>
      <c r="D35" s="1">
        <v>2.3999999999999998E-3</v>
      </c>
      <c r="E35">
        <f t="shared" si="11"/>
        <v>5.0000000000000001E-4</v>
      </c>
      <c r="F35" s="1">
        <v>2</v>
      </c>
      <c r="G35" s="1">
        <f t="shared" si="9"/>
        <v>8.506944444444442E-2</v>
      </c>
      <c r="H35" s="1">
        <v>0.4</v>
      </c>
      <c r="I35">
        <v>1</v>
      </c>
      <c r="J35" s="1">
        <f t="shared" si="10"/>
        <v>97137351444.495041</v>
      </c>
      <c r="M35" s="1"/>
      <c r="N35" s="1"/>
      <c r="O35" s="1"/>
      <c r="Q35" s="1"/>
      <c r="R35" s="1"/>
      <c r="S35" s="1"/>
      <c r="U35" s="1"/>
    </row>
    <row r="36" spans="1:21" x14ac:dyDescent="0.25">
      <c r="B36" s="1">
        <v>154570780662.97195</v>
      </c>
      <c r="C36" s="1">
        <v>116331314878.89275</v>
      </c>
      <c r="D36" s="1">
        <v>2.3999999999999998E-3</v>
      </c>
      <c r="E36">
        <f t="shared" si="11"/>
        <v>6.9999999999999999E-4</v>
      </c>
      <c r="F36" s="1">
        <v>2</v>
      </c>
      <c r="G36" s="1">
        <f t="shared" si="9"/>
        <v>4.3402777777777769E-2</v>
      </c>
      <c r="H36" s="1">
        <v>0.4</v>
      </c>
      <c r="I36">
        <v>1</v>
      </c>
      <c r="J36" s="1">
        <f t="shared" si="10"/>
        <v>98730662518.83168</v>
      </c>
      <c r="M36" s="1"/>
      <c r="N36" s="1"/>
      <c r="O36" s="1"/>
      <c r="Q36" s="1"/>
      <c r="R36" s="1"/>
      <c r="S36" s="1"/>
      <c r="U36" s="1"/>
    </row>
    <row r="37" spans="1:21" x14ac:dyDescent="0.25">
      <c r="B37" s="1">
        <v>154570780662.97195</v>
      </c>
      <c r="C37" s="1">
        <v>116331314878.89275</v>
      </c>
      <c r="D37" s="1">
        <v>2.3999999999999998E-3</v>
      </c>
      <c r="E37">
        <f t="shared" si="11"/>
        <v>8.9999999999999998E-4</v>
      </c>
      <c r="F37" s="1">
        <v>2</v>
      </c>
      <c r="G37" s="1">
        <f t="shared" si="9"/>
        <v>1.5625E-2</v>
      </c>
      <c r="H37" s="1">
        <v>0.4</v>
      </c>
      <c r="I37">
        <v>1</v>
      </c>
      <c r="J37" s="1">
        <f t="shared" si="10"/>
        <v>99792869901.722763</v>
      </c>
      <c r="M37" s="1"/>
      <c r="N37" s="1"/>
      <c r="O37" s="1"/>
      <c r="Q37" s="1"/>
      <c r="R37" s="1"/>
      <c r="S37" s="1"/>
      <c r="U37" s="1"/>
    </row>
    <row r="38" spans="1:21" x14ac:dyDescent="0.25">
      <c r="B38" s="1">
        <v>154570780662.97198</v>
      </c>
      <c r="C38" s="1">
        <v>116331314878.89275</v>
      </c>
      <c r="D38" s="1">
        <v>2.3999999999999998E-3</v>
      </c>
      <c r="E38" s="13">
        <v>1.1000000000000001E-3</v>
      </c>
      <c r="F38" s="1">
        <v>2</v>
      </c>
      <c r="G38" s="1">
        <f t="shared" si="9"/>
        <v>1.7361111111111034E-3</v>
      </c>
      <c r="H38" s="1">
        <v>0.4</v>
      </c>
      <c r="I38" s="13">
        <v>1</v>
      </c>
      <c r="J38" s="1">
        <f t="shared" si="10"/>
        <v>100323973593.16833</v>
      </c>
      <c r="M38" s="12"/>
      <c r="N38" s="12"/>
      <c r="O38" s="1"/>
      <c r="P38" s="13"/>
      <c r="Q38" s="1"/>
      <c r="R38" s="1"/>
      <c r="S38" s="1"/>
      <c r="T38" s="13"/>
      <c r="U38" s="1"/>
    </row>
    <row r="39" spans="1:21" x14ac:dyDescent="0.25">
      <c r="A39" s="1"/>
      <c r="B39" s="1"/>
      <c r="C39" s="1"/>
      <c r="D39" s="1"/>
      <c r="F39" s="1"/>
      <c r="H39" s="1"/>
      <c r="J39" s="1"/>
    </row>
    <row r="40" spans="1:21" x14ac:dyDescent="0.25">
      <c r="A40" t="s">
        <v>65</v>
      </c>
      <c r="B40" s="2" t="s">
        <v>221</v>
      </c>
      <c r="C40" s="2" t="s">
        <v>220</v>
      </c>
      <c r="D40" s="2" t="s">
        <v>58</v>
      </c>
      <c r="E40" s="2" t="s">
        <v>59</v>
      </c>
      <c r="F40" s="2" t="s">
        <v>60</v>
      </c>
      <c r="G40" s="2" t="s">
        <v>61</v>
      </c>
      <c r="H40" s="2" t="s">
        <v>62</v>
      </c>
      <c r="I40" s="2" t="s">
        <v>63</v>
      </c>
      <c r="J40" s="2" t="s">
        <v>64</v>
      </c>
    </row>
    <row r="41" spans="1:21" x14ac:dyDescent="0.25">
      <c r="B41" s="1">
        <v>0.36788301471656604</v>
      </c>
      <c r="C41" s="1">
        <v>0.30709342560553632</v>
      </c>
      <c r="D41" s="1">
        <v>2.3999999999999998E-3</v>
      </c>
      <c r="E41">
        <v>-1.1000000000000001E-3</v>
      </c>
      <c r="F41" s="1">
        <v>2</v>
      </c>
      <c r="G41" s="1">
        <f>(0.5-E41/D41)^F41</f>
        <v>0.91840277777777801</v>
      </c>
      <c r="H41" s="1">
        <v>0.4</v>
      </c>
      <c r="I41">
        <v>1</v>
      </c>
      <c r="J41" s="1">
        <f>(C41-B41)*G41+B41-(B41+C41)*(H41/2)*I41</f>
        <v>0.1770583991526061</v>
      </c>
    </row>
    <row r="42" spans="1:21" x14ac:dyDescent="0.25">
      <c r="B42" s="1">
        <v>0.36788301471656604</v>
      </c>
      <c r="C42" s="1">
        <v>0.30709342560553632</v>
      </c>
      <c r="D42" s="1">
        <v>2.3999999999999998E-3</v>
      </c>
      <c r="E42">
        <f>-0.001+0.0001</f>
        <v>-8.9999999999999998E-4</v>
      </c>
      <c r="F42" s="1">
        <v>2</v>
      </c>
      <c r="G42" s="1">
        <f t="shared" ref="G42:G52" si="12">(0.5-E42/D42)^F42</f>
        <v>0.765625</v>
      </c>
      <c r="H42" s="1">
        <v>0.4</v>
      </c>
      <c r="I42">
        <v>1</v>
      </c>
      <c r="J42" s="1">
        <f t="shared" ref="J42:J52" si="13">(C42-B42)*G42+B42-(B42+C42)*(H42/2)*I42</f>
        <v>0.18634569748901345</v>
      </c>
    </row>
    <row r="43" spans="1:21" x14ac:dyDescent="0.25">
      <c r="A43" s="13"/>
      <c r="B43" s="1">
        <v>0.36788301471656604</v>
      </c>
      <c r="C43" s="1">
        <v>0.30709342560553632</v>
      </c>
      <c r="D43" s="1">
        <v>2.3999999999999998E-3</v>
      </c>
      <c r="E43">
        <f>E42+0.0002</f>
        <v>-6.9999999999999999E-4</v>
      </c>
      <c r="F43" s="1">
        <v>2</v>
      </c>
      <c r="G43" s="1">
        <f t="shared" si="12"/>
        <v>0.62673611111111127</v>
      </c>
      <c r="H43" s="1">
        <v>0.4</v>
      </c>
      <c r="I43">
        <v>1</v>
      </c>
      <c r="J43" s="1">
        <f t="shared" si="13"/>
        <v>0.19478869597665641</v>
      </c>
    </row>
    <row r="44" spans="1:21" x14ac:dyDescent="0.25">
      <c r="B44" s="1">
        <v>0.36788301471656604</v>
      </c>
      <c r="C44" s="1">
        <v>0.30709342560553632</v>
      </c>
      <c r="D44" s="1">
        <v>2.3999999999999998E-3</v>
      </c>
      <c r="E44">
        <f t="shared" ref="E44:E51" si="14">E43+0.0002</f>
        <v>-5.0000000000000001E-4</v>
      </c>
      <c r="F44" s="1">
        <v>2</v>
      </c>
      <c r="G44" s="1">
        <f t="shared" si="12"/>
        <v>0.50173611111111116</v>
      </c>
      <c r="H44" s="1">
        <v>0.4</v>
      </c>
      <c r="I44">
        <v>1</v>
      </c>
      <c r="J44" s="1">
        <f t="shared" si="13"/>
        <v>0.20238739461553515</v>
      </c>
    </row>
    <row r="45" spans="1:21" x14ac:dyDescent="0.25">
      <c r="B45" s="1">
        <v>0.36788301471656604</v>
      </c>
      <c r="C45" s="1">
        <v>0.30709342560553632</v>
      </c>
      <c r="D45" s="1">
        <v>2.3999999999999998E-3</v>
      </c>
      <c r="E45">
        <f t="shared" si="14"/>
        <v>-3.0000000000000003E-4</v>
      </c>
      <c r="F45" s="1">
        <v>2</v>
      </c>
      <c r="G45" s="1">
        <f t="shared" si="12"/>
        <v>0.390625</v>
      </c>
      <c r="H45" s="1">
        <v>0.4</v>
      </c>
      <c r="I45">
        <v>1</v>
      </c>
      <c r="J45" s="1">
        <f t="shared" si="13"/>
        <v>0.20914179340564956</v>
      </c>
    </row>
    <row r="46" spans="1:21" x14ac:dyDescent="0.25">
      <c r="B46" s="1">
        <v>0.36788301471656604</v>
      </c>
      <c r="C46" s="1">
        <v>0.30709342560553632</v>
      </c>
      <c r="D46" s="1">
        <v>2.3999999999999998E-3</v>
      </c>
      <c r="E46">
        <f t="shared" si="14"/>
        <v>-1.0000000000000002E-4</v>
      </c>
      <c r="F46" s="1">
        <v>2</v>
      </c>
      <c r="G46" s="1">
        <f t="shared" si="12"/>
        <v>0.29340277777777773</v>
      </c>
      <c r="H46" s="1">
        <v>0.4</v>
      </c>
      <c r="I46">
        <v>1</v>
      </c>
      <c r="J46" s="1">
        <f t="shared" si="13"/>
        <v>0.2150518923469997</v>
      </c>
    </row>
    <row r="47" spans="1:21" x14ac:dyDescent="0.25">
      <c r="B47" s="1">
        <v>0.36788301471656604</v>
      </c>
      <c r="C47" s="1">
        <v>0.30709342560553632</v>
      </c>
      <c r="D47" s="1">
        <v>2.3999999999999998E-3</v>
      </c>
      <c r="E47">
        <f t="shared" si="14"/>
        <v>9.9999999999999991E-5</v>
      </c>
      <c r="F47" s="1">
        <v>2</v>
      </c>
      <c r="G47" s="1">
        <f t="shared" si="12"/>
        <v>0.21006944444444442</v>
      </c>
      <c r="H47" s="1">
        <v>0.4</v>
      </c>
      <c r="I47">
        <v>1</v>
      </c>
      <c r="J47" s="1">
        <f t="shared" si="13"/>
        <v>0.22011769143958551</v>
      </c>
    </row>
    <row r="48" spans="1:21" x14ac:dyDescent="0.25">
      <c r="B48" s="1">
        <v>0.36788301471656604</v>
      </c>
      <c r="C48" s="1">
        <v>0.30709342560553632</v>
      </c>
      <c r="D48" s="1">
        <v>2.3999999999999998E-3</v>
      </c>
      <c r="E48">
        <f t="shared" si="14"/>
        <v>3.0000000000000003E-4</v>
      </c>
      <c r="F48" s="1">
        <v>2</v>
      </c>
      <c r="G48" s="1">
        <f t="shared" si="12"/>
        <v>0.140625</v>
      </c>
      <c r="H48" s="1">
        <v>0.4</v>
      </c>
      <c r="I48">
        <v>1</v>
      </c>
      <c r="J48" s="1">
        <f t="shared" si="13"/>
        <v>0.22433919068340699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f t="shared" si="14"/>
        <v>5.0000000000000001E-4</v>
      </c>
      <c r="F49" s="1">
        <v>2</v>
      </c>
      <c r="G49" s="1">
        <f t="shared" si="12"/>
        <v>8.506944444444442E-2</v>
      </c>
      <c r="H49" s="1">
        <v>0.4</v>
      </c>
      <c r="I49">
        <v>1</v>
      </c>
      <c r="J49" s="1">
        <f t="shared" si="13"/>
        <v>0.2277163900784642</v>
      </c>
    </row>
    <row r="50" spans="1:10" x14ac:dyDescent="0.25">
      <c r="B50" s="1">
        <v>0.36788301471656604</v>
      </c>
      <c r="C50" s="1">
        <v>0.30709342560553632</v>
      </c>
      <c r="D50" s="1">
        <v>2.3999999999999998E-3</v>
      </c>
      <c r="E50">
        <f t="shared" si="14"/>
        <v>6.9999999999999999E-4</v>
      </c>
      <c r="F50" s="1">
        <v>2</v>
      </c>
      <c r="G50" s="1">
        <f t="shared" si="12"/>
        <v>4.3402777777777769E-2</v>
      </c>
      <c r="H50" s="1">
        <v>0.4</v>
      </c>
      <c r="I50">
        <v>1</v>
      </c>
      <c r="J50" s="1">
        <f t="shared" si="13"/>
        <v>0.23024928962475713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f t="shared" si="14"/>
        <v>8.9999999999999998E-4</v>
      </c>
      <c r="F51" s="1">
        <v>2</v>
      </c>
      <c r="G51" s="1">
        <f t="shared" si="12"/>
        <v>1.5625E-2</v>
      </c>
      <c r="H51" s="1">
        <v>0.4</v>
      </c>
      <c r="I51">
        <v>1</v>
      </c>
      <c r="J51" s="1">
        <f t="shared" si="13"/>
        <v>0.23193788932228573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 s="13">
        <v>1.1000000000000001E-3</v>
      </c>
      <c r="F52" s="1">
        <v>2</v>
      </c>
      <c r="G52" s="1">
        <f t="shared" si="12"/>
        <v>1.7361111111111034E-3</v>
      </c>
      <c r="H52" s="1">
        <v>0.4</v>
      </c>
      <c r="I52" s="13">
        <v>1</v>
      </c>
      <c r="J52" s="1">
        <f t="shared" si="13"/>
        <v>0.23278218917105001</v>
      </c>
    </row>
    <row r="54" spans="1:10" x14ac:dyDescent="0.25">
      <c r="A54" t="s">
        <v>32</v>
      </c>
      <c r="B54" s="2" t="s">
        <v>221</v>
      </c>
      <c r="C54" s="2" t="s">
        <v>220</v>
      </c>
      <c r="D54" s="2" t="s">
        <v>58</v>
      </c>
      <c r="E54" s="2" t="s">
        <v>59</v>
      </c>
      <c r="F54" s="2" t="s">
        <v>60</v>
      </c>
      <c r="G54" s="2" t="s">
        <v>61</v>
      </c>
      <c r="H54" s="2" t="s">
        <v>62</v>
      </c>
      <c r="I54" s="2" t="s">
        <v>63</v>
      </c>
      <c r="J54" s="2" t="s">
        <v>64</v>
      </c>
    </row>
    <row r="55" spans="1:10" x14ac:dyDescent="0.25">
      <c r="B55" s="1">
        <v>56500000000</v>
      </c>
      <c r="C55" s="1">
        <v>44500000000</v>
      </c>
      <c r="D55" s="1">
        <v>2.3999999999999998E-3</v>
      </c>
      <c r="E55">
        <v>-1.1000000000000001E-3</v>
      </c>
      <c r="F55" s="1">
        <v>2</v>
      </c>
      <c r="G55" s="1">
        <f>(0.5-E55/D55)^F55</f>
        <v>0.91840277777777801</v>
      </c>
      <c r="H55" s="1">
        <v>0.4</v>
      </c>
      <c r="I55">
        <v>1</v>
      </c>
      <c r="J55" s="1">
        <f>(C55-B55)*G55+B55-(B55+C55)*(H55/2)*I55</f>
        <v>25279166666.666664</v>
      </c>
    </row>
    <row r="56" spans="1:10" x14ac:dyDescent="0.25">
      <c r="B56" s="1">
        <v>56500000000</v>
      </c>
      <c r="C56" s="1">
        <v>44500000000</v>
      </c>
      <c r="D56" s="1">
        <v>2.3999999999999998E-3</v>
      </c>
      <c r="E56">
        <f>-0.001+0.0001</f>
        <v>-8.9999999999999998E-4</v>
      </c>
      <c r="F56" s="1">
        <v>2</v>
      </c>
      <c r="G56" s="1">
        <f t="shared" ref="G56:G66" si="15">(0.5-E56/D56)^F56</f>
        <v>0.765625</v>
      </c>
      <c r="H56" s="1">
        <v>0.4</v>
      </c>
      <c r="I56">
        <v>1</v>
      </c>
      <c r="J56" s="1">
        <f t="shared" ref="J56:J66" si="16">(C56-B56)*G56+B56-(B56+C56)*(H56/2)*I56</f>
        <v>27112500000</v>
      </c>
    </row>
    <row r="57" spans="1:10" x14ac:dyDescent="0.25">
      <c r="A57" s="13"/>
      <c r="B57" s="1">
        <v>56500000000</v>
      </c>
      <c r="C57" s="1">
        <v>44500000000</v>
      </c>
      <c r="D57" s="1">
        <v>2.3999999999999998E-3</v>
      </c>
      <c r="E57">
        <f>E56+0.0002</f>
        <v>-6.9999999999999999E-4</v>
      </c>
      <c r="F57" s="1">
        <v>2</v>
      </c>
      <c r="G57" s="1">
        <f t="shared" si="15"/>
        <v>0.62673611111111127</v>
      </c>
      <c r="H57" s="1">
        <v>0.4</v>
      </c>
      <c r="I57">
        <v>1</v>
      </c>
      <c r="J57" s="1">
        <f t="shared" si="16"/>
        <v>28779166666.666664</v>
      </c>
    </row>
    <row r="58" spans="1:10" x14ac:dyDescent="0.25">
      <c r="B58" s="1">
        <v>56500000000</v>
      </c>
      <c r="C58" s="1">
        <v>44500000000</v>
      </c>
      <c r="D58" s="1">
        <v>2.3999999999999998E-3</v>
      </c>
      <c r="E58">
        <f t="shared" ref="E58:E65" si="17">E57+0.0002</f>
        <v>-5.0000000000000001E-4</v>
      </c>
      <c r="F58" s="1">
        <v>2</v>
      </c>
      <c r="G58" s="1">
        <f t="shared" si="15"/>
        <v>0.50173611111111116</v>
      </c>
      <c r="H58" s="1">
        <v>0.4</v>
      </c>
      <c r="I58">
        <v>1</v>
      </c>
      <c r="J58" s="1">
        <f t="shared" si="16"/>
        <v>30279166666.666664</v>
      </c>
    </row>
    <row r="59" spans="1:10" x14ac:dyDescent="0.25">
      <c r="B59" s="1">
        <v>56500000000</v>
      </c>
      <c r="C59" s="1">
        <v>44500000000</v>
      </c>
      <c r="D59" s="1">
        <v>2.3999999999999998E-3</v>
      </c>
      <c r="E59">
        <f t="shared" si="17"/>
        <v>-3.0000000000000003E-4</v>
      </c>
      <c r="F59" s="1">
        <v>2</v>
      </c>
      <c r="G59" s="1">
        <f t="shared" si="15"/>
        <v>0.390625</v>
      </c>
      <c r="H59" s="1">
        <v>0.4</v>
      </c>
      <c r="I59">
        <v>1</v>
      </c>
      <c r="J59" s="1">
        <f t="shared" si="16"/>
        <v>31612500000</v>
      </c>
    </row>
    <row r="60" spans="1:10" x14ac:dyDescent="0.25">
      <c r="B60" s="1">
        <v>56500000000</v>
      </c>
      <c r="C60" s="1">
        <v>44500000000</v>
      </c>
      <c r="D60" s="1">
        <v>2.3999999999999998E-3</v>
      </c>
      <c r="E60">
        <f t="shared" si="17"/>
        <v>-1.0000000000000002E-4</v>
      </c>
      <c r="F60" s="1">
        <v>2</v>
      </c>
      <c r="G60" s="1">
        <f t="shared" si="15"/>
        <v>0.29340277777777773</v>
      </c>
      <c r="H60" s="1">
        <v>0.4</v>
      </c>
      <c r="I60">
        <v>1</v>
      </c>
      <c r="J60" s="1">
        <f t="shared" si="16"/>
        <v>32779166666.666664</v>
      </c>
    </row>
    <row r="61" spans="1:10" x14ac:dyDescent="0.25">
      <c r="B61" s="1">
        <v>56500000000</v>
      </c>
      <c r="C61" s="1">
        <v>44500000000</v>
      </c>
      <c r="D61" s="1">
        <v>2.3999999999999998E-3</v>
      </c>
      <c r="E61">
        <f t="shared" si="17"/>
        <v>9.9999999999999991E-5</v>
      </c>
      <c r="F61" s="1">
        <v>2</v>
      </c>
      <c r="G61" s="1">
        <f t="shared" si="15"/>
        <v>0.21006944444444442</v>
      </c>
      <c r="H61" s="1">
        <v>0.4</v>
      </c>
      <c r="I61">
        <v>1</v>
      </c>
      <c r="J61" s="1">
        <f t="shared" si="16"/>
        <v>33779166666.666664</v>
      </c>
    </row>
    <row r="62" spans="1:10" x14ac:dyDescent="0.25">
      <c r="B62" s="1">
        <v>56500000000</v>
      </c>
      <c r="C62" s="1">
        <v>44500000000</v>
      </c>
      <c r="D62" s="1">
        <v>2.3999999999999998E-3</v>
      </c>
      <c r="E62">
        <f t="shared" si="17"/>
        <v>3.0000000000000003E-4</v>
      </c>
      <c r="F62" s="1">
        <v>2</v>
      </c>
      <c r="G62" s="1">
        <f t="shared" si="15"/>
        <v>0.140625</v>
      </c>
      <c r="H62" s="1">
        <v>0.4</v>
      </c>
      <c r="I62">
        <v>1</v>
      </c>
      <c r="J62" s="1">
        <f t="shared" si="16"/>
        <v>34612500000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f t="shared" si="17"/>
        <v>5.0000000000000001E-4</v>
      </c>
      <c r="F63" s="1">
        <v>2</v>
      </c>
      <c r="G63" s="1">
        <f t="shared" si="15"/>
        <v>8.506944444444442E-2</v>
      </c>
      <c r="H63" s="1">
        <v>0.4</v>
      </c>
      <c r="I63">
        <v>1</v>
      </c>
      <c r="J63" s="1">
        <f t="shared" si="16"/>
        <v>35279166666.666664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 t="shared" si="17"/>
        <v>6.9999999999999999E-4</v>
      </c>
      <c r="F64" s="1">
        <v>2</v>
      </c>
      <c r="G64" s="1">
        <f t="shared" si="15"/>
        <v>4.3402777777777769E-2</v>
      </c>
      <c r="H64" s="1">
        <v>0.4</v>
      </c>
      <c r="I64">
        <v>1</v>
      </c>
      <c r="J64" s="1">
        <f t="shared" si="16"/>
        <v>35779166666.666664</v>
      </c>
    </row>
    <row r="65" spans="1:10" x14ac:dyDescent="0.25">
      <c r="B65" s="1">
        <v>56500000000</v>
      </c>
      <c r="C65" s="1">
        <v>44500000000</v>
      </c>
      <c r="D65" s="1">
        <v>2.3999999999999998E-3</v>
      </c>
      <c r="E65">
        <f t="shared" si="17"/>
        <v>8.9999999999999998E-4</v>
      </c>
      <c r="F65" s="1">
        <v>2</v>
      </c>
      <c r="G65" s="1">
        <f t="shared" si="15"/>
        <v>1.5625E-2</v>
      </c>
      <c r="H65" s="1">
        <v>0.4</v>
      </c>
      <c r="I65">
        <v>1</v>
      </c>
      <c r="J65" s="1">
        <f t="shared" si="16"/>
        <v>36112500000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 s="13">
        <v>1.1000000000000001E-3</v>
      </c>
      <c r="F66" s="1">
        <v>2</v>
      </c>
      <c r="G66" s="1">
        <f t="shared" si="15"/>
        <v>1.7361111111111034E-3</v>
      </c>
      <c r="H66" s="1">
        <v>0.4</v>
      </c>
      <c r="I66" s="13">
        <v>1</v>
      </c>
      <c r="J66" s="1">
        <f t="shared" si="16"/>
        <v>36279166666.666664</v>
      </c>
    </row>
    <row r="68" spans="1:10" x14ac:dyDescent="0.25">
      <c r="A68" s="9" t="s">
        <v>33</v>
      </c>
      <c r="B68" s="2" t="s">
        <v>221</v>
      </c>
      <c r="C68" s="2" t="s">
        <v>220</v>
      </c>
      <c r="D68" s="2" t="s">
        <v>58</v>
      </c>
      <c r="E68" s="2" t="s">
        <v>59</v>
      </c>
      <c r="F68" s="2" t="s">
        <v>60</v>
      </c>
      <c r="G68" s="2" t="s">
        <v>61</v>
      </c>
      <c r="H68" s="2" t="s">
        <v>62</v>
      </c>
      <c r="I68" s="2" t="s">
        <v>63</v>
      </c>
      <c r="J68" s="2" t="s">
        <v>64</v>
      </c>
    </row>
    <row r="69" spans="1:10" x14ac:dyDescent="0.25">
      <c r="B69" s="1">
        <v>52200000000</v>
      </c>
      <c r="C69" s="1">
        <v>51600000000</v>
      </c>
      <c r="D69" s="1">
        <v>2.3999999999999998E-3</v>
      </c>
      <c r="E69">
        <v>-1.1000000000000001E-3</v>
      </c>
      <c r="F69" s="1">
        <v>2</v>
      </c>
      <c r="G69" s="1">
        <f>(0.5-E69/D69)^F69</f>
        <v>0.91840277777777801</v>
      </c>
      <c r="H69" s="1">
        <v>0.4</v>
      </c>
      <c r="I69">
        <v>1</v>
      </c>
      <c r="J69" s="1">
        <f>(C69-B69)*G69+B69-(B69+C69)*(H69/2)*I69</f>
        <v>30888958333.333336</v>
      </c>
    </row>
    <row r="70" spans="1:10" x14ac:dyDescent="0.25">
      <c r="B70" s="1">
        <v>52200000000</v>
      </c>
      <c r="C70" s="1">
        <v>51600000000</v>
      </c>
      <c r="D70" s="1">
        <v>2.3999999999999998E-3</v>
      </c>
      <c r="E70">
        <f>-0.001+0.0001</f>
        <v>-8.9999999999999998E-4</v>
      </c>
      <c r="F70" s="1">
        <v>2</v>
      </c>
      <c r="G70" s="1">
        <f t="shared" ref="G70:G80" si="18">(0.5-E70/D70)^F70</f>
        <v>0.765625</v>
      </c>
      <c r="H70" s="1">
        <v>0.4</v>
      </c>
      <c r="I70">
        <v>1</v>
      </c>
      <c r="J70" s="1">
        <f t="shared" ref="J70:J80" si="19">(C70-B70)*G70+B70-(B70+C70)*(H70/2)*I70</f>
        <v>30980625000</v>
      </c>
    </row>
    <row r="71" spans="1:10" x14ac:dyDescent="0.25">
      <c r="B71" s="1">
        <v>52200000000</v>
      </c>
      <c r="C71" s="1">
        <v>51600000000</v>
      </c>
      <c r="D71" s="1">
        <v>2.3999999999999998E-3</v>
      </c>
      <c r="E71">
        <f>E70+0.0002</f>
        <v>-6.9999999999999999E-4</v>
      </c>
      <c r="F71" s="1">
        <v>2</v>
      </c>
      <c r="G71" s="1">
        <f t="shared" si="18"/>
        <v>0.62673611111111127</v>
      </c>
      <c r="H71" s="1">
        <v>0.4</v>
      </c>
      <c r="I71">
        <v>1</v>
      </c>
      <c r="J71" s="1">
        <f t="shared" si="19"/>
        <v>31063958333.333336</v>
      </c>
    </row>
    <row r="72" spans="1:10" x14ac:dyDescent="0.25">
      <c r="B72" s="1">
        <v>52200000000</v>
      </c>
      <c r="C72" s="1">
        <v>51600000000</v>
      </c>
      <c r="D72" s="1">
        <v>2.3999999999999998E-3</v>
      </c>
      <c r="E72">
        <f t="shared" ref="E72:E79" si="20">E71+0.0002</f>
        <v>-5.0000000000000001E-4</v>
      </c>
      <c r="F72" s="1">
        <v>2</v>
      </c>
      <c r="G72" s="1">
        <f t="shared" si="18"/>
        <v>0.50173611111111116</v>
      </c>
      <c r="H72" s="1">
        <v>0.4</v>
      </c>
      <c r="I72">
        <v>1</v>
      </c>
      <c r="J72" s="1">
        <f t="shared" si="19"/>
        <v>31138958333.333336</v>
      </c>
    </row>
    <row r="73" spans="1:10" x14ac:dyDescent="0.25">
      <c r="B73" s="1">
        <v>52200000000</v>
      </c>
      <c r="C73" s="1">
        <v>51600000000</v>
      </c>
      <c r="D73" s="1">
        <v>2.3999999999999998E-3</v>
      </c>
      <c r="E73">
        <f t="shared" si="20"/>
        <v>-3.0000000000000003E-4</v>
      </c>
      <c r="F73" s="1">
        <v>2</v>
      </c>
      <c r="G73" s="1">
        <f t="shared" si="18"/>
        <v>0.390625</v>
      </c>
      <c r="H73" s="1">
        <v>0.4</v>
      </c>
      <c r="I73">
        <v>1</v>
      </c>
      <c r="J73" s="1">
        <f t="shared" si="19"/>
        <v>31205625000</v>
      </c>
    </row>
    <row r="74" spans="1:10" x14ac:dyDescent="0.25">
      <c r="B74" s="1">
        <v>52200000000</v>
      </c>
      <c r="C74" s="1">
        <v>51600000000</v>
      </c>
      <c r="D74" s="1">
        <v>2.3999999999999998E-3</v>
      </c>
      <c r="E74">
        <f t="shared" si="20"/>
        <v>-1.0000000000000002E-4</v>
      </c>
      <c r="F74" s="1">
        <v>2</v>
      </c>
      <c r="G74" s="1">
        <f t="shared" si="18"/>
        <v>0.29340277777777773</v>
      </c>
      <c r="H74" s="1">
        <v>0.4</v>
      </c>
      <c r="I74">
        <v>1</v>
      </c>
      <c r="J74" s="1">
        <f t="shared" si="19"/>
        <v>31263958333.333336</v>
      </c>
    </row>
    <row r="75" spans="1:10" x14ac:dyDescent="0.25">
      <c r="B75" s="1">
        <v>52200000000</v>
      </c>
      <c r="C75" s="1">
        <v>51600000000</v>
      </c>
      <c r="D75" s="1">
        <v>2.3999999999999998E-3</v>
      </c>
      <c r="E75">
        <f t="shared" si="20"/>
        <v>9.9999999999999991E-5</v>
      </c>
      <c r="F75" s="1">
        <v>2</v>
      </c>
      <c r="G75" s="1">
        <f t="shared" si="18"/>
        <v>0.21006944444444442</v>
      </c>
      <c r="H75" s="1">
        <v>0.4</v>
      </c>
      <c r="I75">
        <v>1</v>
      </c>
      <c r="J75" s="1">
        <f t="shared" si="19"/>
        <v>31313958333.333336</v>
      </c>
    </row>
    <row r="76" spans="1:10" x14ac:dyDescent="0.25">
      <c r="B76" s="1">
        <v>52200000000</v>
      </c>
      <c r="C76" s="1">
        <v>51600000000</v>
      </c>
      <c r="D76" s="1">
        <v>2.3999999999999998E-3</v>
      </c>
      <c r="E76">
        <f t="shared" si="20"/>
        <v>3.0000000000000003E-4</v>
      </c>
      <c r="F76" s="1">
        <v>2</v>
      </c>
      <c r="G76" s="1">
        <f t="shared" si="18"/>
        <v>0.140625</v>
      </c>
      <c r="H76" s="1">
        <v>0.4</v>
      </c>
      <c r="I76">
        <v>1</v>
      </c>
      <c r="J76" s="1">
        <f t="shared" si="19"/>
        <v>31355625000</v>
      </c>
    </row>
    <row r="77" spans="1:10" x14ac:dyDescent="0.25">
      <c r="B77" s="1">
        <v>52200000000</v>
      </c>
      <c r="C77" s="1">
        <v>51600000000</v>
      </c>
      <c r="D77" s="1">
        <v>2.3999999999999998E-3</v>
      </c>
      <c r="E77">
        <f t="shared" si="20"/>
        <v>5.0000000000000001E-4</v>
      </c>
      <c r="F77" s="1">
        <v>2</v>
      </c>
      <c r="G77" s="1">
        <f t="shared" si="18"/>
        <v>8.506944444444442E-2</v>
      </c>
      <c r="H77" s="1">
        <v>0.4</v>
      </c>
      <c r="I77">
        <v>1</v>
      </c>
      <c r="J77" s="1">
        <f t="shared" si="19"/>
        <v>31388958333.333336</v>
      </c>
    </row>
    <row r="78" spans="1:10" x14ac:dyDescent="0.25">
      <c r="B78" s="1">
        <v>52200000000</v>
      </c>
      <c r="C78" s="1">
        <v>51600000000</v>
      </c>
      <c r="D78" s="1">
        <v>2.3999999999999998E-3</v>
      </c>
      <c r="E78">
        <f t="shared" si="20"/>
        <v>6.9999999999999999E-4</v>
      </c>
      <c r="F78" s="1">
        <v>2</v>
      </c>
      <c r="G78" s="1">
        <f t="shared" si="18"/>
        <v>4.3402777777777769E-2</v>
      </c>
      <c r="H78" s="1">
        <v>0.4</v>
      </c>
      <c r="I78">
        <v>1</v>
      </c>
      <c r="J78" s="1">
        <f t="shared" si="19"/>
        <v>31413958333.333336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f t="shared" si="20"/>
        <v>8.9999999999999998E-4</v>
      </c>
      <c r="F79" s="1">
        <v>2</v>
      </c>
      <c r="G79" s="1">
        <f t="shared" si="18"/>
        <v>1.5625E-2</v>
      </c>
      <c r="H79" s="1">
        <v>0.4</v>
      </c>
      <c r="I79">
        <v>1</v>
      </c>
      <c r="J79" s="1">
        <f t="shared" si="19"/>
        <v>31430625000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 s="13">
        <v>1.1000000000000001E-3</v>
      </c>
      <c r="F80" s="1">
        <v>2</v>
      </c>
      <c r="G80" s="1">
        <f t="shared" si="18"/>
        <v>1.7361111111111034E-3</v>
      </c>
      <c r="H80" s="1">
        <v>0.4</v>
      </c>
      <c r="I80" s="13">
        <v>1</v>
      </c>
      <c r="J80" s="1">
        <f t="shared" si="19"/>
        <v>31438958333.333336</v>
      </c>
    </row>
    <row r="82" spans="1:10" x14ac:dyDescent="0.25">
      <c r="A82" s="9" t="s">
        <v>66</v>
      </c>
      <c r="B82" s="2" t="s">
        <v>221</v>
      </c>
      <c r="C82" s="2" t="s">
        <v>220</v>
      </c>
      <c r="D82" s="2" t="s">
        <v>58</v>
      </c>
      <c r="E82" s="2" t="s">
        <v>59</v>
      </c>
      <c r="F82" s="2" t="s">
        <v>60</v>
      </c>
      <c r="G82" s="2" t="s">
        <v>61</v>
      </c>
      <c r="H82" s="2" t="s">
        <v>62</v>
      </c>
      <c r="I82" s="2" t="s">
        <v>63</v>
      </c>
      <c r="J82" s="2" t="s">
        <v>64</v>
      </c>
    </row>
    <row r="83" spans="1:10" x14ac:dyDescent="0.25">
      <c r="B83">
        <v>0</v>
      </c>
      <c r="C83" s="1">
        <v>-7.9837940896091497E-11</v>
      </c>
      <c r="D83" s="1">
        <v>2.3999999999999998E-3</v>
      </c>
      <c r="E83">
        <v>-1.1000000000000001E-3</v>
      </c>
      <c r="F83" s="1">
        <v>2</v>
      </c>
      <c r="G83" s="1">
        <f>(0.5-E83/D83)^F83</f>
        <v>0.91840277777777801</v>
      </c>
      <c r="H83" s="1">
        <v>0.4</v>
      </c>
      <c r="I83">
        <v>1</v>
      </c>
      <c r="J83" s="1">
        <f>(C83-B83)*G83+B83-(B83+C83)*(H83/2)*I83</f>
        <v>-5.7355798511810198E-11</v>
      </c>
    </row>
    <row r="84" spans="1:10" x14ac:dyDescent="0.25">
      <c r="B84">
        <v>0</v>
      </c>
      <c r="C84" s="1">
        <v>-7.9837940896091497E-11</v>
      </c>
      <c r="D84" s="1">
        <v>2.3999999999999998E-3</v>
      </c>
      <c r="E84">
        <f>-0.001+0.0001</f>
        <v>-8.9999999999999998E-4</v>
      </c>
      <c r="F84" s="1">
        <v>2</v>
      </c>
      <c r="G84" s="1">
        <f t="shared" ref="G84:G94" si="21">(0.5-E84/D84)^F84</f>
        <v>0.765625</v>
      </c>
      <c r="H84" s="1">
        <v>0.4</v>
      </c>
      <c r="I84">
        <v>1</v>
      </c>
      <c r="J84" s="1">
        <f t="shared" ref="J84:J94" si="22">(C84-B84)*G84+B84-(B84+C84)*(H84/2)*I84</f>
        <v>-4.5158335319351756E-11</v>
      </c>
    </row>
    <row r="85" spans="1:10" x14ac:dyDescent="0.25">
      <c r="B85">
        <v>0</v>
      </c>
      <c r="C85" s="1">
        <v>-7.9837940896091497E-11</v>
      </c>
      <c r="D85" s="1">
        <v>2.3999999999999998E-3</v>
      </c>
      <c r="E85">
        <f>E84+0.0002</f>
        <v>-6.9999999999999999E-4</v>
      </c>
      <c r="F85" s="1">
        <v>2</v>
      </c>
      <c r="G85" s="1">
        <f t="shared" si="21"/>
        <v>0.62673611111111127</v>
      </c>
      <c r="H85" s="1">
        <v>0.4</v>
      </c>
      <c r="I85">
        <v>1</v>
      </c>
      <c r="J85" s="1">
        <f t="shared" si="22"/>
        <v>-3.4069732417116841E-11</v>
      </c>
    </row>
    <row r="86" spans="1:10" x14ac:dyDescent="0.25">
      <c r="B86">
        <v>0</v>
      </c>
      <c r="C86" s="1">
        <v>-7.9837940896091497E-11</v>
      </c>
      <c r="D86" s="1">
        <v>2.3999999999999998E-3</v>
      </c>
      <c r="E86">
        <f t="shared" ref="E86:E93" si="23">E85+0.0002</f>
        <v>-5.0000000000000001E-4</v>
      </c>
      <c r="F86" s="1">
        <v>2</v>
      </c>
      <c r="G86" s="1">
        <f t="shared" si="21"/>
        <v>0.50173611111111116</v>
      </c>
      <c r="H86" s="1">
        <v>0.4</v>
      </c>
      <c r="I86">
        <v>1</v>
      </c>
      <c r="J86" s="1">
        <f t="shared" si="22"/>
        <v>-2.4089989805105386E-11</v>
      </c>
    </row>
    <row r="87" spans="1:10" x14ac:dyDescent="0.25">
      <c r="B87">
        <v>0</v>
      </c>
      <c r="C87" s="1">
        <v>-7.9837940896091497E-11</v>
      </c>
      <c r="D87" s="1">
        <v>2.3999999999999998E-3</v>
      </c>
      <c r="E87">
        <f t="shared" si="23"/>
        <v>-3.0000000000000003E-4</v>
      </c>
      <c r="F87" s="1">
        <v>2</v>
      </c>
      <c r="G87" s="1">
        <f t="shared" si="21"/>
        <v>0.390625</v>
      </c>
      <c r="H87" s="1">
        <v>0.4</v>
      </c>
      <c r="I87">
        <v>1</v>
      </c>
      <c r="J87" s="1">
        <f t="shared" si="22"/>
        <v>-1.5219107483317443E-11</v>
      </c>
    </row>
    <row r="88" spans="1:10" x14ac:dyDescent="0.25">
      <c r="B88">
        <v>0</v>
      </c>
      <c r="C88" s="1">
        <v>-7.9837940896091497E-11</v>
      </c>
      <c r="D88" s="1">
        <v>2.3999999999999998E-3</v>
      </c>
      <c r="E88">
        <f t="shared" si="23"/>
        <v>-1.0000000000000002E-4</v>
      </c>
      <c r="F88" s="1">
        <v>2</v>
      </c>
      <c r="G88" s="1">
        <f t="shared" si="21"/>
        <v>0.29340277777777773</v>
      </c>
      <c r="H88" s="1">
        <v>0.4</v>
      </c>
      <c r="I88">
        <v>1</v>
      </c>
      <c r="J88" s="1">
        <f t="shared" si="22"/>
        <v>-7.457085451752985E-12</v>
      </c>
    </row>
    <row r="89" spans="1:10" x14ac:dyDescent="0.25">
      <c r="B89">
        <v>0</v>
      </c>
      <c r="C89" s="1">
        <v>-7.9837940896091497E-11</v>
      </c>
      <c r="D89" s="1">
        <v>2.3999999999999998E-3</v>
      </c>
      <c r="E89">
        <f t="shared" si="23"/>
        <v>9.9999999999999991E-5</v>
      </c>
      <c r="F89" s="1">
        <v>2</v>
      </c>
      <c r="G89" s="1">
        <f t="shared" si="21"/>
        <v>0.21006944444444442</v>
      </c>
      <c r="H89" s="1">
        <v>0.4</v>
      </c>
      <c r="I89">
        <v>1</v>
      </c>
      <c r="J89" s="1">
        <f t="shared" si="22"/>
        <v>-8.0392371041202912E-13</v>
      </c>
    </row>
    <row r="90" spans="1:10" x14ac:dyDescent="0.25">
      <c r="B90">
        <v>0</v>
      </c>
      <c r="C90" s="1">
        <v>-7.9837940896091497E-11</v>
      </c>
      <c r="D90" s="1">
        <v>2.3999999999999998E-3</v>
      </c>
      <c r="E90">
        <f t="shared" si="23"/>
        <v>3.0000000000000003E-4</v>
      </c>
      <c r="F90" s="1">
        <v>2</v>
      </c>
      <c r="G90" s="1">
        <f t="shared" si="21"/>
        <v>0.140625</v>
      </c>
      <c r="H90" s="1">
        <v>0.4</v>
      </c>
      <c r="I90">
        <v>1</v>
      </c>
      <c r="J90" s="1">
        <f t="shared" si="22"/>
        <v>4.7403777407054331E-12</v>
      </c>
    </row>
    <row r="91" spans="1:10" x14ac:dyDescent="0.25">
      <c r="B91">
        <v>0</v>
      </c>
      <c r="C91" s="1">
        <v>-7.9837940896091497E-11</v>
      </c>
      <c r="D91" s="1">
        <v>2.3999999999999998E-3</v>
      </c>
      <c r="E91">
        <f t="shared" si="23"/>
        <v>5.0000000000000001E-4</v>
      </c>
      <c r="F91" s="1">
        <v>2</v>
      </c>
      <c r="G91" s="1">
        <f t="shared" si="21"/>
        <v>8.506944444444442E-2</v>
      </c>
      <c r="H91" s="1">
        <v>0.4</v>
      </c>
      <c r="I91">
        <v>1</v>
      </c>
      <c r="J91" s="1">
        <f t="shared" si="22"/>
        <v>9.1758189015994064E-12</v>
      </c>
    </row>
    <row r="92" spans="1:10" x14ac:dyDescent="0.25">
      <c r="B92">
        <v>0</v>
      </c>
      <c r="C92" s="1">
        <v>-7.9837940896091497E-11</v>
      </c>
      <c r="D92" s="1">
        <v>2.3999999999999998E-3</v>
      </c>
      <c r="E92">
        <f t="shared" si="23"/>
        <v>6.9999999999999999E-4</v>
      </c>
      <c r="F92" s="1">
        <v>2</v>
      </c>
      <c r="G92" s="1">
        <f t="shared" si="21"/>
        <v>4.3402777777777769E-2</v>
      </c>
      <c r="H92" s="1">
        <v>0.4</v>
      </c>
      <c r="I92">
        <v>1</v>
      </c>
      <c r="J92" s="1">
        <f t="shared" si="22"/>
        <v>1.2502399772269886E-11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f t="shared" si="23"/>
        <v>8.9999999999999998E-4</v>
      </c>
      <c r="F93" s="1">
        <v>2</v>
      </c>
      <c r="G93" s="1">
        <f t="shared" si="21"/>
        <v>1.5625E-2</v>
      </c>
      <c r="H93" s="1">
        <v>0.4</v>
      </c>
      <c r="I93">
        <v>1</v>
      </c>
      <c r="J93" s="1">
        <f t="shared" si="22"/>
        <v>1.472012035271687E-11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 s="13">
        <v>1.1000000000000001E-3</v>
      </c>
      <c r="F94" s="1">
        <v>2</v>
      </c>
      <c r="G94" s="1">
        <f t="shared" si="21"/>
        <v>1.7361111111111034E-3</v>
      </c>
      <c r="H94" s="1">
        <v>0.4</v>
      </c>
      <c r="I94" s="13">
        <v>1</v>
      </c>
      <c r="J94" s="1">
        <f t="shared" si="22"/>
        <v>1.5828980642940366E-11</v>
      </c>
    </row>
    <row r="96" spans="1:10" x14ac:dyDescent="0.25">
      <c r="A96" s="9" t="s">
        <v>39</v>
      </c>
      <c r="B96" s="2" t="s">
        <v>221</v>
      </c>
      <c r="C96" s="2" t="s">
        <v>220</v>
      </c>
      <c r="D96" s="2" t="s">
        <v>58</v>
      </c>
      <c r="E96" s="2" t="s">
        <v>59</v>
      </c>
      <c r="F96" s="2" t="s">
        <v>60</v>
      </c>
      <c r="G96" s="2" t="s">
        <v>61</v>
      </c>
      <c r="H96" s="2" t="s">
        <v>62</v>
      </c>
      <c r="I96" s="2" t="s">
        <v>63</v>
      </c>
      <c r="J96" s="2" t="s">
        <v>64</v>
      </c>
    </row>
    <row r="97" spans="1:10" x14ac:dyDescent="0.25">
      <c r="B97" s="1">
        <v>138.44155844155841</v>
      </c>
      <c r="C97" s="1">
        <v>0</v>
      </c>
      <c r="D97" s="1">
        <v>2.3999999999999998E-3</v>
      </c>
      <c r="E97">
        <v>-1.1000000000000001E-3</v>
      </c>
      <c r="F97" s="1">
        <v>2</v>
      </c>
      <c r="G97" s="1">
        <f>(0.5-E97/D97)^F97</f>
        <v>0.91840277777777801</v>
      </c>
      <c r="H97" s="1">
        <v>0.4</v>
      </c>
      <c r="I97">
        <v>1</v>
      </c>
      <c r="J97" s="1">
        <f>(C97-B97)*G97+B97-(B97+C97)*(H97/2)*I97</f>
        <v>-16.391865079365118</v>
      </c>
    </row>
    <row r="98" spans="1:10" x14ac:dyDescent="0.25">
      <c r="B98" s="1">
        <v>138.44155844155841</v>
      </c>
      <c r="C98" s="1">
        <v>0</v>
      </c>
      <c r="D98" s="1">
        <v>2.3999999999999998E-3</v>
      </c>
      <c r="E98">
        <f>-0.001+0.0001</f>
        <v>-8.9999999999999998E-4</v>
      </c>
      <c r="F98" s="1">
        <v>2</v>
      </c>
      <c r="G98" s="1">
        <f t="shared" ref="G98:G108" si="24">(0.5-E98/D98)^F98</f>
        <v>0.765625</v>
      </c>
      <c r="H98" s="1">
        <v>0.4</v>
      </c>
      <c r="I98">
        <v>1</v>
      </c>
      <c r="J98" s="1">
        <f t="shared" ref="J98:J108" si="25">(C98-B98)*G98+B98-(B98+C98)*(H98/2)*I98</f>
        <v>4.7589285714285694</v>
      </c>
    </row>
    <row r="99" spans="1:10" x14ac:dyDescent="0.25">
      <c r="B99" s="1">
        <v>138.44155844155841</v>
      </c>
      <c r="C99" s="1">
        <v>0</v>
      </c>
      <c r="D99" s="1">
        <v>2.3999999999999998E-3</v>
      </c>
      <c r="E99">
        <f>E98+0.0002</f>
        <v>-6.9999999999999999E-4</v>
      </c>
      <c r="F99" s="1">
        <v>2</v>
      </c>
      <c r="G99" s="1">
        <f t="shared" si="24"/>
        <v>0.62673611111111127</v>
      </c>
      <c r="H99" s="1">
        <v>0.4</v>
      </c>
      <c r="I99">
        <v>1</v>
      </c>
      <c r="J99" s="1">
        <f t="shared" si="25"/>
        <v>23.986922799422771</v>
      </c>
    </row>
    <row r="100" spans="1:10" x14ac:dyDescent="0.25">
      <c r="B100" s="1">
        <v>138.44155844155841</v>
      </c>
      <c r="C100" s="1">
        <v>0</v>
      </c>
      <c r="D100" s="1">
        <v>2.3999999999999998E-3</v>
      </c>
      <c r="E100">
        <f t="shared" ref="E100:E107" si="26">E99+0.0002</f>
        <v>-5.0000000000000001E-4</v>
      </c>
      <c r="F100" s="1">
        <v>2</v>
      </c>
      <c r="G100" s="1">
        <f t="shared" si="24"/>
        <v>0.50173611111111116</v>
      </c>
      <c r="H100" s="1">
        <v>0.4</v>
      </c>
      <c r="I100">
        <v>1</v>
      </c>
      <c r="J100" s="1">
        <f t="shared" si="25"/>
        <v>41.292117604617587</v>
      </c>
    </row>
    <row r="101" spans="1:10" x14ac:dyDescent="0.25">
      <c r="B101" s="1">
        <v>138.44155844155841</v>
      </c>
      <c r="C101" s="1">
        <v>0</v>
      </c>
      <c r="D101" s="1">
        <v>2.3999999999999998E-3</v>
      </c>
      <c r="E101">
        <f t="shared" si="26"/>
        <v>-3.0000000000000003E-4</v>
      </c>
      <c r="F101" s="1">
        <v>2</v>
      </c>
      <c r="G101" s="1">
        <f t="shared" si="24"/>
        <v>0.390625</v>
      </c>
      <c r="H101" s="1">
        <v>0.4</v>
      </c>
      <c r="I101">
        <v>1</v>
      </c>
      <c r="J101" s="1">
        <f t="shared" si="25"/>
        <v>56.674512987012974</v>
      </c>
    </row>
    <row r="102" spans="1:10" x14ac:dyDescent="0.25">
      <c r="B102" s="1">
        <v>138.44155844155841</v>
      </c>
      <c r="C102" s="1">
        <v>0</v>
      </c>
      <c r="D102" s="1">
        <v>2.3999999999999998E-3</v>
      </c>
      <c r="E102">
        <f t="shared" si="26"/>
        <v>-1.0000000000000002E-4</v>
      </c>
      <c r="F102" s="1">
        <v>2</v>
      </c>
      <c r="G102" s="1">
        <f t="shared" si="24"/>
        <v>0.29340277777777773</v>
      </c>
      <c r="H102" s="1">
        <v>0.4</v>
      </c>
      <c r="I102">
        <v>1</v>
      </c>
      <c r="J102" s="1">
        <f t="shared" si="25"/>
        <v>70.134108946608933</v>
      </c>
    </row>
    <row r="103" spans="1:10" x14ac:dyDescent="0.25">
      <c r="B103" s="1">
        <v>138.44155844155841</v>
      </c>
      <c r="C103" s="1">
        <v>0</v>
      </c>
      <c r="D103" s="1">
        <v>2.3999999999999998E-3</v>
      </c>
      <c r="E103">
        <f t="shared" si="26"/>
        <v>9.9999999999999991E-5</v>
      </c>
      <c r="F103" s="1">
        <v>2</v>
      </c>
      <c r="G103" s="1">
        <f t="shared" si="24"/>
        <v>0.21006944444444442</v>
      </c>
      <c r="H103" s="1">
        <v>0.4</v>
      </c>
      <c r="I103">
        <v>1</v>
      </c>
      <c r="J103" s="1">
        <f t="shared" si="25"/>
        <v>81.670905483405463</v>
      </c>
    </row>
    <row r="104" spans="1:10" x14ac:dyDescent="0.25">
      <c r="B104" s="1">
        <v>138.44155844155841</v>
      </c>
      <c r="C104" s="1">
        <v>0</v>
      </c>
      <c r="D104" s="1">
        <v>2.3999999999999998E-3</v>
      </c>
      <c r="E104">
        <f t="shared" si="26"/>
        <v>3.0000000000000003E-4</v>
      </c>
      <c r="F104" s="1">
        <v>2</v>
      </c>
      <c r="G104" s="1">
        <f t="shared" si="24"/>
        <v>0.140625</v>
      </c>
      <c r="H104" s="1">
        <v>0.4</v>
      </c>
      <c r="I104">
        <v>1</v>
      </c>
      <c r="J104" s="1">
        <f t="shared" si="25"/>
        <v>91.284902597402578</v>
      </c>
    </row>
    <row r="105" spans="1:10" x14ac:dyDescent="0.25">
      <c r="B105" s="1">
        <v>138.44155844155841</v>
      </c>
      <c r="C105" s="1">
        <v>0</v>
      </c>
      <c r="D105" s="1">
        <v>2.3999999999999998E-3</v>
      </c>
      <c r="E105">
        <f t="shared" si="26"/>
        <v>5.0000000000000001E-4</v>
      </c>
      <c r="F105" s="1">
        <v>2</v>
      </c>
      <c r="G105" s="1">
        <f t="shared" si="24"/>
        <v>8.506944444444442E-2</v>
      </c>
      <c r="H105" s="1">
        <v>0.4</v>
      </c>
      <c r="I105">
        <v>1</v>
      </c>
      <c r="J105" s="1">
        <f t="shared" si="25"/>
        <v>98.976100288600264</v>
      </c>
    </row>
    <row r="106" spans="1:10" x14ac:dyDescent="0.25">
      <c r="B106" s="1">
        <v>138.44155844155841</v>
      </c>
      <c r="C106" s="1">
        <v>0</v>
      </c>
      <c r="D106" s="1">
        <v>2.3999999999999998E-3</v>
      </c>
      <c r="E106">
        <f t="shared" si="26"/>
        <v>6.9999999999999999E-4</v>
      </c>
      <c r="F106" s="1">
        <v>2</v>
      </c>
      <c r="G106" s="1">
        <f t="shared" si="24"/>
        <v>4.3402777777777769E-2</v>
      </c>
      <c r="H106" s="1">
        <v>0.4</v>
      </c>
      <c r="I106">
        <v>1</v>
      </c>
      <c r="J106" s="1">
        <f t="shared" si="25"/>
        <v>104.74449855699852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f t="shared" si="26"/>
        <v>8.9999999999999998E-4</v>
      </c>
      <c r="F107" s="1">
        <v>2</v>
      </c>
      <c r="G107" s="1">
        <f t="shared" si="24"/>
        <v>1.5625E-2</v>
      </c>
      <c r="H107" s="1">
        <v>0.4</v>
      </c>
      <c r="I107">
        <v>1</v>
      </c>
      <c r="J107" s="1">
        <f t="shared" si="25"/>
        <v>108.59009740259738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 s="13">
        <v>1.1000000000000001E-3</v>
      </c>
      <c r="F108" s="1">
        <v>2</v>
      </c>
      <c r="G108" s="1">
        <f t="shared" si="24"/>
        <v>1.7361111111111034E-3</v>
      </c>
      <c r="H108" s="1">
        <v>0.4</v>
      </c>
      <c r="I108" s="13">
        <v>1</v>
      </c>
      <c r="J108" s="1">
        <f t="shared" si="25"/>
        <v>110.51289682539679</v>
      </c>
    </row>
    <row r="110" spans="1:10" x14ac:dyDescent="0.25">
      <c r="A110" s="9" t="s">
        <v>41</v>
      </c>
      <c r="B110" s="2" t="s">
        <v>221</v>
      </c>
      <c r="C110" s="2" t="s">
        <v>220</v>
      </c>
      <c r="D110" s="2" t="s">
        <v>58</v>
      </c>
      <c r="E110" s="2" t="s">
        <v>59</v>
      </c>
      <c r="F110" s="2" t="s">
        <v>60</v>
      </c>
      <c r="G110" s="2" t="s">
        <v>61</v>
      </c>
      <c r="H110" s="2" t="s">
        <v>62</v>
      </c>
      <c r="I110" s="2" t="s">
        <v>63</v>
      </c>
      <c r="J110" s="2" t="s">
        <v>64</v>
      </c>
    </row>
    <row r="111" spans="1:10" x14ac:dyDescent="0.25">
      <c r="B111">
        <v>9.3000000000000002E-11</v>
      </c>
      <c r="C111">
        <v>1.4735555555555557E-8</v>
      </c>
      <c r="D111" s="1">
        <v>2.3999999999999998E-3</v>
      </c>
      <c r="E111">
        <v>-1.1000000000000001E-3</v>
      </c>
      <c r="F111" s="1">
        <v>2</v>
      </c>
      <c r="G111" s="1">
        <f>(0.5-E111/D111)^F111</f>
        <v>0.91840277777777801</v>
      </c>
      <c r="H111" s="1">
        <v>0.4</v>
      </c>
      <c r="I111">
        <v>1</v>
      </c>
      <c r="J111" s="1">
        <f>(C111-B111)*G111+B111-(B111+C111)*(H111/2)*I111</f>
        <v>1.0575052584876548E-8</v>
      </c>
    </row>
    <row r="112" spans="1:10" x14ac:dyDescent="0.25">
      <c r="B112">
        <v>9.3000000000000002E-11</v>
      </c>
      <c r="C112">
        <v>1.4735555555555557E-8</v>
      </c>
      <c r="D112" s="1">
        <v>2.3999999999999998E-3</v>
      </c>
      <c r="E112">
        <f>-0.001+0.0001</f>
        <v>-8.9999999999999998E-4</v>
      </c>
      <c r="F112" s="1">
        <v>2</v>
      </c>
      <c r="G112" s="1">
        <f t="shared" ref="G112:G122" si="27">(0.5-E112/D112)^F112</f>
        <v>0.765625</v>
      </c>
      <c r="H112" s="1">
        <v>0.4</v>
      </c>
      <c r="I112">
        <v>1</v>
      </c>
      <c r="J112" s="1">
        <f t="shared" ref="J112:J122" si="28">(C112-B112)*G112+B112-(B112+C112)*(H112/2)*I112</f>
        <v>8.3379954861111133E-9</v>
      </c>
    </row>
    <row r="113" spans="1:10" x14ac:dyDescent="0.25">
      <c r="B113">
        <v>9.3000000000000002E-11</v>
      </c>
      <c r="C113">
        <v>1.4735555555555557E-8</v>
      </c>
      <c r="D113" s="1">
        <v>2.3999999999999998E-3</v>
      </c>
      <c r="E113">
        <f>E112+0.0002</f>
        <v>-6.9999999999999999E-4</v>
      </c>
      <c r="F113" s="1">
        <v>2</v>
      </c>
      <c r="G113" s="1">
        <f t="shared" si="27"/>
        <v>0.62673611111111127</v>
      </c>
      <c r="H113" s="1">
        <v>0.4</v>
      </c>
      <c r="I113">
        <v>1</v>
      </c>
      <c r="J113" s="1">
        <f t="shared" si="28"/>
        <v>6.3043072145061763E-9</v>
      </c>
    </row>
    <row r="114" spans="1:10" x14ac:dyDescent="0.25">
      <c r="B114">
        <v>9.3000000000000002E-11</v>
      </c>
      <c r="C114">
        <v>1.4735555555555557E-8</v>
      </c>
      <c r="D114" s="1">
        <v>2.3999999999999998E-3</v>
      </c>
      <c r="E114">
        <f t="shared" ref="E114:E121" si="29">E113+0.0002</f>
        <v>-5.0000000000000001E-4</v>
      </c>
      <c r="F114" s="1">
        <v>2</v>
      </c>
      <c r="G114" s="1">
        <f t="shared" si="27"/>
        <v>0.50173611111111116</v>
      </c>
      <c r="H114" s="1">
        <v>0.4</v>
      </c>
      <c r="I114">
        <v>1</v>
      </c>
      <c r="J114" s="1">
        <f t="shared" si="28"/>
        <v>4.47398777006173E-9</v>
      </c>
    </row>
    <row r="115" spans="1:10" x14ac:dyDescent="0.25">
      <c r="B115">
        <v>9.3000000000000002E-11</v>
      </c>
      <c r="C115">
        <v>1.4735555555555557E-8</v>
      </c>
      <c r="D115" s="1">
        <v>2.3999999999999998E-3</v>
      </c>
      <c r="E115">
        <f t="shared" si="29"/>
        <v>-3.0000000000000003E-4</v>
      </c>
      <c r="F115" s="1">
        <v>2</v>
      </c>
      <c r="G115" s="1">
        <f t="shared" si="27"/>
        <v>0.390625</v>
      </c>
      <c r="H115" s="1">
        <v>0.4</v>
      </c>
      <c r="I115">
        <v>1</v>
      </c>
      <c r="J115" s="1">
        <f t="shared" si="28"/>
        <v>2.8470371527777784E-9</v>
      </c>
    </row>
    <row r="116" spans="1:10" x14ac:dyDescent="0.25">
      <c r="B116">
        <v>9.3000000000000002E-11</v>
      </c>
      <c r="C116">
        <v>1.4735555555555557E-8</v>
      </c>
      <c r="D116" s="1">
        <v>2.3999999999999998E-3</v>
      </c>
      <c r="E116">
        <f t="shared" si="29"/>
        <v>-1.0000000000000002E-4</v>
      </c>
      <c r="F116" s="1">
        <v>2</v>
      </c>
      <c r="G116" s="1">
        <f t="shared" si="27"/>
        <v>0.29340277777777773</v>
      </c>
      <c r="H116" s="1">
        <v>0.4</v>
      </c>
      <c r="I116">
        <v>1</v>
      </c>
      <c r="J116" s="1">
        <f t="shared" si="28"/>
        <v>1.4234553626543208E-9</v>
      </c>
    </row>
    <row r="117" spans="1:10" x14ac:dyDescent="0.25">
      <c r="B117">
        <v>9.3000000000000002E-11</v>
      </c>
      <c r="C117">
        <v>1.4735555555555557E-8</v>
      </c>
      <c r="D117" s="1">
        <v>2.3999999999999998E-3</v>
      </c>
      <c r="E117">
        <f t="shared" si="29"/>
        <v>9.9999999999999991E-5</v>
      </c>
      <c r="F117" s="1">
        <v>2</v>
      </c>
      <c r="G117" s="1">
        <f t="shared" si="27"/>
        <v>0.21006944444444442</v>
      </c>
      <c r="H117" s="1">
        <v>0.4</v>
      </c>
      <c r="I117">
        <v>1</v>
      </c>
      <c r="J117" s="1">
        <f t="shared" si="28"/>
        <v>2.0324239969135757E-10</v>
      </c>
    </row>
    <row r="118" spans="1:10" x14ac:dyDescent="0.25">
      <c r="B118">
        <v>9.3000000000000002E-11</v>
      </c>
      <c r="C118">
        <v>1.4735555555555557E-8</v>
      </c>
      <c r="D118" s="1">
        <v>2.3999999999999998E-3</v>
      </c>
      <c r="E118">
        <f t="shared" si="29"/>
        <v>3.0000000000000003E-4</v>
      </c>
      <c r="F118" s="1">
        <v>2</v>
      </c>
      <c r="G118" s="1">
        <f t="shared" si="27"/>
        <v>0.140625</v>
      </c>
      <c r="H118" s="1">
        <v>0.4</v>
      </c>
      <c r="I118">
        <v>1</v>
      </c>
      <c r="J118" s="1">
        <f t="shared" si="28"/>
        <v>-8.1360173611111133E-10</v>
      </c>
    </row>
    <row r="119" spans="1:10" x14ac:dyDescent="0.25">
      <c r="B119">
        <v>9.3000000000000002E-11</v>
      </c>
      <c r="C119">
        <v>1.4735555555555557E-8</v>
      </c>
      <c r="D119" s="1">
        <v>2.3999999999999998E-3</v>
      </c>
      <c r="E119">
        <f t="shared" si="29"/>
        <v>5.0000000000000001E-4</v>
      </c>
      <c r="F119" s="1">
        <v>2</v>
      </c>
      <c r="G119" s="1">
        <f t="shared" si="27"/>
        <v>8.506944444444442E-2</v>
      </c>
      <c r="H119" s="1">
        <v>0.4</v>
      </c>
      <c r="I119">
        <v>1</v>
      </c>
      <c r="J119" s="1">
        <f t="shared" si="28"/>
        <v>-1.6270770447530869E-9</v>
      </c>
    </row>
    <row r="120" spans="1:10" x14ac:dyDescent="0.25">
      <c r="B120">
        <v>9.3000000000000002E-11</v>
      </c>
      <c r="C120">
        <v>1.4735555555555557E-8</v>
      </c>
      <c r="D120" s="1">
        <v>2.3999999999999998E-3</v>
      </c>
      <c r="E120">
        <f t="shared" si="29"/>
        <v>6.9999999999999999E-4</v>
      </c>
      <c r="F120" s="1">
        <v>2</v>
      </c>
      <c r="G120" s="1">
        <f t="shared" si="27"/>
        <v>4.3402777777777769E-2</v>
      </c>
      <c r="H120" s="1">
        <v>0.4</v>
      </c>
      <c r="I120">
        <v>1</v>
      </c>
      <c r="J120" s="1">
        <f t="shared" si="28"/>
        <v>-2.2371835262345685E-9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f t="shared" si="29"/>
        <v>8.9999999999999998E-4</v>
      </c>
      <c r="F121" s="1">
        <v>2</v>
      </c>
      <c r="G121" s="1">
        <f t="shared" si="27"/>
        <v>1.5625E-2</v>
      </c>
      <c r="H121" s="1">
        <v>0.4</v>
      </c>
      <c r="I121">
        <v>1</v>
      </c>
      <c r="J121" s="1">
        <f t="shared" si="28"/>
        <v>-2.643921180555556E-9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 s="13">
        <v>1.1000000000000001E-3</v>
      </c>
      <c r="F122" s="1">
        <v>2</v>
      </c>
      <c r="G122" s="1">
        <f t="shared" si="27"/>
        <v>1.7361111111111034E-3</v>
      </c>
      <c r="H122" s="1">
        <v>0.4</v>
      </c>
      <c r="I122" s="13">
        <v>1</v>
      </c>
      <c r="J122" s="1">
        <f t="shared" si="28"/>
        <v>-2.8472900077160499E-9</v>
      </c>
    </row>
    <row r="123" spans="1:10" x14ac:dyDescent="0.25">
      <c r="A123" s="9" t="s">
        <v>43</v>
      </c>
      <c r="B123" s="2" t="s">
        <v>221</v>
      </c>
      <c r="C123" s="2" t="s">
        <v>220</v>
      </c>
      <c r="D123" s="2" t="s">
        <v>58</v>
      </c>
      <c r="E123" s="2" t="s">
        <v>59</v>
      </c>
      <c r="F123" s="2" t="s">
        <v>60</v>
      </c>
      <c r="G123" s="2" t="s">
        <v>61</v>
      </c>
      <c r="H123" s="2" t="s">
        <v>62</v>
      </c>
      <c r="I123" s="2" t="s">
        <v>63</v>
      </c>
      <c r="J123" s="2" t="s">
        <v>64</v>
      </c>
    </row>
    <row r="124" spans="1:10" x14ac:dyDescent="0.25">
      <c r="B124" s="1">
        <v>1.5699999999999999E-4</v>
      </c>
      <c r="C124" s="1">
        <v>1.0000000000000001E-5</v>
      </c>
      <c r="D124" s="1">
        <v>2.3999999999999998E-3</v>
      </c>
      <c r="E124">
        <v>-1.1000000000000001E-3</v>
      </c>
      <c r="F124" s="1">
        <v>2</v>
      </c>
      <c r="G124" s="1">
        <f>(0.5-E124/D124)^F124</f>
        <v>0.91840277777777801</v>
      </c>
      <c r="H124" s="1">
        <v>0.4</v>
      </c>
      <c r="I124">
        <v>1</v>
      </c>
      <c r="J124" s="1">
        <f>(C124-B124)*G124+B124-(B124+C124)*(H124/2)*I124</f>
        <v>-1.1405208333333363E-5</v>
      </c>
    </row>
    <row r="125" spans="1:10" x14ac:dyDescent="0.25">
      <c r="B125" s="1">
        <v>1.5699999999999999E-4</v>
      </c>
      <c r="C125" s="1">
        <v>1.0000000000000001E-5</v>
      </c>
      <c r="D125" s="1">
        <v>2.3999999999999998E-3</v>
      </c>
      <c r="E125">
        <f>-0.001+0.0001</f>
        <v>-8.9999999999999998E-4</v>
      </c>
      <c r="F125" s="1">
        <v>2</v>
      </c>
      <c r="G125" s="1">
        <f t="shared" ref="G125:G135" si="30">(0.5-E125/D125)^F125</f>
        <v>0.765625</v>
      </c>
      <c r="H125" s="1">
        <v>0.4</v>
      </c>
      <c r="I125">
        <v>1</v>
      </c>
      <c r="J125" s="1">
        <f t="shared" ref="J125:J135" si="31">(C125-B125)*G125+B125-(B125+C125)*(H125/2)*I125</f>
        <v>1.1053125000000006E-5</v>
      </c>
    </row>
    <row r="126" spans="1:10" x14ac:dyDescent="0.25">
      <c r="B126" s="1">
        <v>1.5699999999999999E-4</v>
      </c>
      <c r="C126" s="1">
        <v>1.0000000000000001E-5</v>
      </c>
      <c r="D126" s="1">
        <v>2.3999999999999998E-3</v>
      </c>
      <c r="E126">
        <f>E125+0.0002</f>
        <v>-6.9999999999999999E-4</v>
      </c>
      <c r="F126" s="1">
        <v>2</v>
      </c>
      <c r="G126" s="1">
        <f t="shared" si="30"/>
        <v>0.62673611111111127</v>
      </c>
      <c r="H126" s="1">
        <v>0.4</v>
      </c>
      <c r="I126">
        <v>1</v>
      </c>
      <c r="J126" s="1">
        <f t="shared" si="31"/>
        <v>3.1469791666666636E-5</v>
      </c>
    </row>
    <row r="127" spans="1:10" x14ac:dyDescent="0.25">
      <c r="B127" s="1">
        <v>1.5699999999999999E-4</v>
      </c>
      <c r="C127" s="1">
        <v>1.0000000000000001E-5</v>
      </c>
      <c r="D127" s="1">
        <v>2.3999999999999998E-3</v>
      </c>
      <c r="E127">
        <f t="shared" ref="E127:E134" si="32">E126+0.0002</f>
        <v>-5.0000000000000001E-4</v>
      </c>
      <c r="F127" s="1">
        <v>2</v>
      </c>
      <c r="G127" s="1">
        <f t="shared" si="30"/>
        <v>0.50173611111111116</v>
      </c>
      <c r="H127" s="1">
        <v>0.4</v>
      </c>
      <c r="I127">
        <v>1</v>
      </c>
      <c r="J127" s="1">
        <f t="shared" si="31"/>
        <v>4.9844791666666662E-5</v>
      </c>
    </row>
    <row r="128" spans="1:10" x14ac:dyDescent="0.25">
      <c r="B128" s="1">
        <v>1.5699999999999999E-4</v>
      </c>
      <c r="C128" s="1">
        <v>1.0000000000000001E-5</v>
      </c>
      <c r="D128" s="1">
        <v>2.3999999999999998E-3</v>
      </c>
      <c r="E128">
        <f t="shared" si="32"/>
        <v>-3.0000000000000003E-4</v>
      </c>
      <c r="F128" s="1">
        <v>2</v>
      </c>
      <c r="G128" s="1">
        <f t="shared" si="30"/>
        <v>0.390625</v>
      </c>
      <c r="H128" s="1">
        <v>0.4</v>
      </c>
      <c r="I128">
        <v>1</v>
      </c>
      <c r="J128" s="1">
        <f t="shared" si="31"/>
        <v>6.6178125000000004E-5</v>
      </c>
    </row>
    <row r="129" spans="1:10" x14ac:dyDescent="0.25">
      <c r="B129" s="1">
        <v>1.5699999999999999E-4</v>
      </c>
      <c r="C129" s="1">
        <v>1.0000000000000001E-5</v>
      </c>
      <c r="D129" s="1">
        <v>2.3999999999999998E-3</v>
      </c>
      <c r="E129">
        <f t="shared" si="32"/>
        <v>-1.0000000000000002E-4</v>
      </c>
      <c r="F129" s="1">
        <v>2</v>
      </c>
      <c r="G129" s="1">
        <f t="shared" si="30"/>
        <v>0.29340277777777773</v>
      </c>
      <c r="H129" s="1">
        <v>0.4</v>
      </c>
      <c r="I129">
        <v>1</v>
      </c>
      <c r="J129" s="1">
        <f t="shared" si="31"/>
        <v>8.0469791666666661E-5</v>
      </c>
    </row>
    <row r="130" spans="1:10" x14ac:dyDescent="0.25">
      <c r="B130" s="1">
        <v>1.5699999999999999E-4</v>
      </c>
      <c r="C130" s="1">
        <v>1.0000000000000001E-5</v>
      </c>
      <c r="D130" s="1">
        <v>2.3999999999999998E-3</v>
      </c>
      <c r="E130">
        <f t="shared" si="32"/>
        <v>9.9999999999999991E-5</v>
      </c>
      <c r="F130" s="1">
        <v>2</v>
      </c>
      <c r="G130" s="1">
        <f t="shared" si="30"/>
        <v>0.21006944444444442</v>
      </c>
      <c r="H130" s="1">
        <v>0.4</v>
      </c>
      <c r="I130">
        <v>1</v>
      </c>
      <c r="J130" s="1">
        <f t="shared" si="31"/>
        <v>9.2719791666666661E-5</v>
      </c>
    </row>
    <row r="131" spans="1:10" x14ac:dyDescent="0.25">
      <c r="B131" s="1">
        <v>1.5699999999999999E-4</v>
      </c>
      <c r="C131" s="1">
        <v>1.0000000000000001E-5</v>
      </c>
      <c r="D131" s="1">
        <v>2.3999999999999998E-3</v>
      </c>
      <c r="E131">
        <f t="shared" si="32"/>
        <v>3.0000000000000003E-4</v>
      </c>
      <c r="F131" s="1">
        <v>2</v>
      </c>
      <c r="G131" s="1">
        <f t="shared" si="30"/>
        <v>0.140625</v>
      </c>
      <c r="H131" s="1">
        <v>0.4</v>
      </c>
      <c r="I131">
        <v>1</v>
      </c>
      <c r="J131" s="1">
        <f t="shared" si="31"/>
        <v>1.02928125E-4</v>
      </c>
    </row>
    <row r="132" spans="1:10" x14ac:dyDescent="0.25">
      <c r="B132" s="1">
        <v>1.5699999999999999E-4</v>
      </c>
      <c r="C132" s="1">
        <v>1.0000000000000001E-5</v>
      </c>
      <c r="D132" s="1">
        <v>2.3999999999999998E-3</v>
      </c>
      <c r="E132">
        <f t="shared" si="32"/>
        <v>5.0000000000000001E-4</v>
      </c>
      <c r="F132" s="1">
        <v>2</v>
      </c>
      <c r="G132" s="1">
        <f t="shared" si="30"/>
        <v>8.506944444444442E-2</v>
      </c>
      <c r="H132" s="1">
        <v>0.4</v>
      </c>
      <c r="I132">
        <v>1</v>
      </c>
      <c r="J132" s="1">
        <f t="shared" si="31"/>
        <v>1.1109479166666666E-4</v>
      </c>
    </row>
    <row r="133" spans="1:10" x14ac:dyDescent="0.25">
      <c r="B133" s="1">
        <v>1.5699999999999999E-4</v>
      </c>
      <c r="C133" s="1">
        <v>1.0000000000000001E-5</v>
      </c>
      <c r="D133" s="1">
        <v>2.3999999999999998E-3</v>
      </c>
      <c r="E133">
        <f t="shared" si="32"/>
        <v>6.9999999999999999E-4</v>
      </c>
      <c r="F133" s="1">
        <v>2</v>
      </c>
      <c r="G133" s="1">
        <f t="shared" si="30"/>
        <v>4.3402777777777769E-2</v>
      </c>
      <c r="H133" s="1">
        <v>0.4</v>
      </c>
      <c r="I133">
        <v>1</v>
      </c>
      <c r="J133" s="1">
        <f t="shared" si="31"/>
        <v>1.1721979166666666E-4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f t="shared" si="32"/>
        <v>8.9999999999999998E-4</v>
      </c>
      <c r="F134" s="1">
        <v>2</v>
      </c>
      <c r="G134" s="1">
        <f t="shared" si="30"/>
        <v>1.5625E-2</v>
      </c>
      <c r="H134" s="1">
        <v>0.4</v>
      </c>
      <c r="I134">
        <v>1</v>
      </c>
      <c r="J134" s="1">
        <f t="shared" si="31"/>
        <v>1.21303125E-4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 s="13">
        <v>1.1000000000000001E-3</v>
      </c>
      <c r="F135" s="1">
        <v>2</v>
      </c>
      <c r="G135" s="1">
        <f t="shared" si="30"/>
        <v>1.7361111111111034E-3</v>
      </c>
      <c r="H135" s="1">
        <v>0.4</v>
      </c>
      <c r="I135" s="13">
        <v>1</v>
      </c>
      <c r="J135" s="1">
        <f t="shared" si="31"/>
        <v>1.2334479166666666E-4</v>
      </c>
    </row>
    <row r="136" spans="1:10" x14ac:dyDescent="0.25">
      <c r="A136" s="9" t="s">
        <v>44</v>
      </c>
      <c r="B136" s="2" t="s">
        <v>221</v>
      </c>
      <c r="C136" s="2" t="s">
        <v>220</v>
      </c>
      <c r="D136" s="2" t="s">
        <v>58</v>
      </c>
      <c r="E136" s="2" t="s">
        <v>59</v>
      </c>
      <c r="F136" s="2" t="s">
        <v>60</v>
      </c>
      <c r="G136" s="2" t="s">
        <v>61</v>
      </c>
      <c r="H136" s="2" t="s">
        <v>62</v>
      </c>
      <c r="I136" s="2" t="s">
        <v>63</v>
      </c>
      <c r="J136" s="2" t="s">
        <v>64</v>
      </c>
    </row>
    <row r="137" spans="1:10" x14ac:dyDescent="0.25">
      <c r="B137" s="1">
        <v>1.0000000000000001E-5</v>
      </c>
      <c r="C137" s="1">
        <v>1.5699999999999999E-5</v>
      </c>
      <c r="D137" s="1">
        <v>2.3999999999999998E-3</v>
      </c>
      <c r="E137">
        <v>-1.1000000000000001E-3</v>
      </c>
      <c r="F137" s="1">
        <v>2</v>
      </c>
      <c r="G137" s="1">
        <f>(0.5-E137/D137)^F137</f>
        <v>0.91840277777777801</v>
      </c>
      <c r="H137" s="1">
        <v>0.4</v>
      </c>
      <c r="I137">
        <v>1</v>
      </c>
      <c r="J137" s="1">
        <f>(C137-B137)*G137+B137-(B137+C137)*(H137/2)*I137</f>
        <v>1.0094895833333331E-5</v>
      </c>
    </row>
    <row r="138" spans="1:10" x14ac:dyDescent="0.25">
      <c r="B138" s="1">
        <v>1.0000000000000001E-5</v>
      </c>
      <c r="C138" s="1">
        <v>1.5699999999999999E-5</v>
      </c>
      <c r="D138" s="1">
        <v>2.3999999999999998E-3</v>
      </c>
      <c r="E138">
        <f>-0.001+0.0001</f>
        <v>-8.9999999999999998E-4</v>
      </c>
      <c r="F138" s="1">
        <v>2</v>
      </c>
      <c r="G138" s="1">
        <f t="shared" ref="G138:G148" si="33">(0.5-E138/D138)^F138</f>
        <v>0.765625</v>
      </c>
      <c r="H138" s="1">
        <v>0.4</v>
      </c>
      <c r="I138">
        <v>1</v>
      </c>
      <c r="J138" s="1">
        <f t="shared" ref="J138:J148" si="34">(C138-B138)*G138+B138-(B138+C138)*(H138/2)*I138</f>
        <v>9.2240624999999994E-6</v>
      </c>
    </row>
    <row r="139" spans="1:10" x14ac:dyDescent="0.25">
      <c r="B139" s="1">
        <v>1.0000000000000001E-5</v>
      </c>
      <c r="C139" s="1">
        <v>1.5699999999999999E-5</v>
      </c>
      <c r="D139" s="1">
        <v>2.3999999999999998E-3</v>
      </c>
      <c r="E139">
        <f>E138+0.0002</f>
        <v>-6.9999999999999999E-4</v>
      </c>
      <c r="F139" s="1">
        <v>2</v>
      </c>
      <c r="G139" s="1">
        <f t="shared" si="33"/>
        <v>0.62673611111111127</v>
      </c>
      <c r="H139" s="1">
        <v>0.4</v>
      </c>
      <c r="I139">
        <v>1</v>
      </c>
      <c r="J139" s="1">
        <f t="shared" si="34"/>
        <v>8.4323958333333316E-6</v>
      </c>
    </row>
    <row r="140" spans="1:10" x14ac:dyDescent="0.25">
      <c r="B140" s="1">
        <v>1.0000000000000001E-5</v>
      </c>
      <c r="C140" s="1">
        <v>1.5699999999999999E-5</v>
      </c>
      <c r="D140" s="1">
        <v>2.3999999999999998E-3</v>
      </c>
      <c r="E140">
        <f t="shared" ref="E140:E147" si="35">E139+0.0002</f>
        <v>-5.0000000000000001E-4</v>
      </c>
      <c r="F140" s="1">
        <v>2</v>
      </c>
      <c r="G140" s="1">
        <f t="shared" si="33"/>
        <v>0.50173611111111116</v>
      </c>
      <c r="H140" s="1">
        <v>0.4</v>
      </c>
      <c r="I140">
        <v>1</v>
      </c>
      <c r="J140" s="1">
        <f t="shared" si="34"/>
        <v>7.7198958333333312E-6</v>
      </c>
    </row>
    <row r="141" spans="1:10" x14ac:dyDescent="0.25">
      <c r="B141" s="1">
        <v>1.0000000000000001E-5</v>
      </c>
      <c r="C141" s="1">
        <v>1.5699999999999999E-5</v>
      </c>
      <c r="D141" s="1">
        <v>2.3999999999999998E-3</v>
      </c>
      <c r="E141">
        <f t="shared" si="35"/>
        <v>-3.0000000000000003E-4</v>
      </c>
      <c r="F141" s="1">
        <v>2</v>
      </c>
      <c r="G141" s="1">
        <f t="shared" si="33"/>
        <v>0.390625</v>
      </c>
      <c r="H141" s="1">
        <v>0.4</v>
      </c>
      <c r="I141">
        <v>1</v>
      </c>
      <c r="J141" s="1">
        <f t="shared" si="34"/>
        <v>7.0865624999999991E-6</v>
      </c>
    </row>
    <row r="142" spans="1:10" x14ac:dyDescent="0.25">
      <c r="B142" s="1">
        <v>1.0000000000000001E-5</v>
      </c>
      <c r="C142" s="1">
        <v>1.5699999999999999E-5</v>
      </c>
      <c r="D142" s="1">
        <v>2.3999999999999998E-3</v>
      </c>
      <c r="E142">
        <f t="shared" si="35"/>
        <v>-1.0000000000000002E-4</v>
      </c>
      <c r="F142" s="1">
        <v>2</v>
      </c>
      <c r="G142" s="1">
        <f t="shared" si="33"/>
        <v>0.29340277777777773</v>
      </c>
      <c r="H142" s="1">
        <v>0.4</v>
      </c>
      <c r="I142">
        <v>1</v>
      </c>
      <c r="J142" s="1">
        <f t="shared" si="34"/>
        <v>6.532395833333332E-6</v>
      </c>
    </row>
    <row r="143" spans="1:10" x14ac:dyDescent="0.25">
      <c r="B143" s="1">
        <v>1.0000000000000001E-5</v>
      </c>
      <c r="C143" s="1">
        <v>1.5699999999999999E-5</v>
      </c>
      <c r="D143" s="1">
        <v>2.3999999999999998E-3</v>
      </c>
      <c r="E143">
        <f t="shared" si="35"/>
        <v>9.9999999999999991E-5</v>
      </c>
      <c r="F143" s="1">
        <v>2</v>
      </c>
      <c r="G143" s="1">
        <f t="shared" si="33"/>
        <v>0.21006944444444442</v>
      </c>
      <c r="H143" s="1">
        <v>0.4</v>
      </c>
      <c r="I143">
        <v>1</v>
      </c>
      <c r="J143" s="1">
        <f t="shared" si="34"/>
        <v>6.0573958333333323E-6</v>
      </c>
    </row>
    <row r="144" spans="1:10" x14ac:dyDescent="0.25">
      <c r="B144" s="1">
        <v>1.0000000000000001E-5</v>
      </c>
      <c r="C144" s="1">
        <v>1.5699999999999999E-5</v>
      </c>
      <c r="D144" s="1">
        <v>2.3999999999999998E-3</v>
      </c>
      <c r="E144">
        <f t="shared" si="35"/>
        <v>3.0000000000000003E-4</v>
      </c>
      <c r="F144" s="1">
        <v>2</v>
      </c>
      <c r="G144" s="1">
        <f t="shared" si="33"/>
        <v>0.140625</v>
      </c>
      <c r="H144" s="1">
        <v>0.4</v>
      </c>
      <c r="I144">
        <v>1</v>
      </c>
      <c r="J144" s="1">
        <f t="shared" si="34"/>
        <v>5.6615625000000001E-6</v>
      </c>
    </row>
    <row r="145" spans="1:11" x14ac:dyDescent="0.25">
      <c r="B145" s="1">
        <v>1.0000000000000001E-5</v>
      </c>
      <c r="C145" s="1">
        <v>1.5699999999999999E-5</v>
      </c>
      <c r="D145" s="1">
        <v>2.3999999999999998E-3</v>
      </c>
      <c r="E145">
        <f t="shared" si="35"/>
        <v>5.0000000000000001E-4</v>
      </c>
      <c r="F145" s="1">
        <v>2</v>
      </c>
      <c r="G145" s="1">
        <f t="shared" si="33"/>
        <v>8.506944444444442E-2</v>
      </c>
      <c r="H145" s="1">
        <v>0.4</v>
      </c>
      <c r="I145">
        <v>1</v>
      </c>
      <c r="J145" s="1">
        <f t="shared" si="34"/>
        <v>5.3448958333333336E-6</v>
      </c>
    </row>
    <row r="146" spans="1:11" x14ac:dyDescent="0.25">
      <c r="B146" s="1">
        <v>1.0000000000000001E-5</v>
      </c>
      <c r="C146" s="1">
        <v>1.5699999999999999E-5</v>
      </c>
      <c r="D146" s="1">
        <v>2.3999999999999998E-3</v>
      </c>
      <c r="E146">
        <f t="shared" si="35"/>
        <v>6.9999999999999999E-4</v>
      </c>
      <c r="F146" s="1">
        <v>2</v>
      </c>
      <c r="G146" s="1">
        <f t="shared" si="33"/>
        <v>4.3402777777777769E-2</v>
      </c>
      <c r="H146" s="1">
        <v>0.4</v>
      </c>
      <c r="I146">
        <v>1</v>
      </c>
      <c r="J146" s="1">
        <f t="shared" si="34"/>
        <v>5.1073958333333329E-6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f t="shared" si="35"/>
        <v>8.9999999999999998E-4</v>
      </c>
      <c r="F147" s="1">
        <v>2</v>
      </c>
      <c r="G147" s="1">
        <f t="shared" si="33"/>
        <v>1.5625E-2</v>
      </c>
      <c r="H147" s="1">
        <v>0.4</v>
      </c>
      <c r="I147">
        <v>1</v>
      </c>
      <c r="J147" s="1">
        <f t="shared" si="34"/>
        <v>4.9490624999999997E-6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 s="13">
        <v>1.1000000000000001E-3</v>
      </c>
      <c r="F148" s="1">
        <v>2</v>
      </c>
      <c r="G148" s="1">
        <f t="shared" si="33"/>
        <v>1.7361111111111034E-3</v>
      </c>
      <c r="H148" s="1">
        <v>0.4</v>
      </c>
      <c r="I148" s="13">
        <v>1</v>
      </c>
      <c r="J148" s="1">
        <f t="shared" si="34"/>
        <v>4.8698958333333339E-6</v>
      </c>
    </row>
    <row r="149" spans="1:11" x14ac:dyDescent="0.25">
      <c r="A149" s="9" t="s">
        <v>48</v>
      </c>
      <c r="B149" s="2" t="s">
        <v>221</v>
      </c>
      <c r="C149" s="2" t="s">
        <v>220</v>
      </c>
      <c r="D149" s="2" t="s">
        <v>58</v>
      </c>
      <c r="E149" s="2" t="s">
        <v>59</v>
      </c>
      <c r="F149" s="2" t="s">
        <v>60</v>
      </c>
      <c r="G149" s="2" t="s">
        <v>61</v>
      </c>
      <c r="H149" s="2" t="s">
        <v>62</v>
      </c>
      <c r="I149" s="2" t="s">
        <v>63</v>
      </c>
      <c r="J149" s="2" t="s">
        <v>64</v>
      </c>
      <c r="K149" s="2" t="s">
        <v>67</v>
      </c>
    </row>
    <row r="150" spans="1:11" x14ac:dyDescent="0.25">
      <c r="B150" s="1">
        <v>2.5</v>
      </c>
      <c r="C150" s="1">
        <v>3.2</v>
      </c>
      <c r="D150" s="1">
        <v>2.3999999999999998E-3</v>
      </c>
      <c r="E150">
        <v>-1.1000000000000001E-3</v>
      </c>
      <c r="F150" s="1">
        <v>2</v>
      </c>
      <c r="G150" s="1">
        <f>(0.5-E150/D150)^F150</f>
        <v>0.91840277777777801</v>
      </c>
      <c r="H150" s="1">
        <v>0.4</v>
      </c>
      <c r="I150">
        <v>1</v>
      </c>
      <c r="J150" s="1">
        <f>(C150-B150)*G150+B150-(B150+C150)*(H150/2)*I150</f>
        <v>2.0028819444444448</v>
      </c>
      <c r="K150" s="1">
        <f>1/J150</f>
        <v>0.49928055059549598</v>
      </c>
    </row>
    <row r="151" spans="1:11" x14ac:dyDescent="0.25">
      <c r="B151" s="1">
        <v>2.5</v>
      </c>
      <c r="C151" s="1">
        <v>3.2</v>
      </c>
      <c r="D151" s="1">
        <v>2.3999999999999998E-3</v>
      </c>
      <c r="E151">
        <f>-0.001+0.0001</f>
        <v>-8.9999999999999998E-4</v>
      </c>
      <c r="F151" s="1">
        <v>2</v>
      </c>
      <c r="G151" s="1">
        <f t="shared" ref="G151:G161" si="36">(0.5-E151/D151)^F151</f>
        <v>0.765625</v>
      </c>
      <c r="H151" s="1">
        <v>0.4</v>
      </c>
      <c r="I151">
        <v>1</v>
      </c>
      <c r="J151" s="1">
        <f t="shared" ref="J151:J161" si="37">(C151-B151)*G151+B151-(B151+C151)*(H151/2)*I151</f>
        <v>1.8959375000000001</v>
      </c>
      <c r="K151" s="1">
        <f t="shared" ref="K151:K161" si="38">1/J151</f>
        <v>0.5274435470578539</v>
      </c>
    </row>
    <row r="152" spans="1:11" x14ac:dyDescent="0.25">
      <c r="B152" s="1">
        <v>2.5</v>
      </c>
      <c r="C152" s="1">
        <v>3.2</v>
      </c>
      <c r="D152" s="1">
        <v>2.3999999999999998E-3</v>
      </c>
      <c r="E152">
        <f>E151+0.0002</f>
        <v>-6.9999999999999999E-4</v>
      </c>
      <c r="F152" s="1">
        <v>2</v>
      </c>
      <c r="G152" s="1">
        <f t="shared" si="36"/>
        <v>0.62673611111111127</v>
      </c>
      <c r="H152" s="1">
        <v>0.4</v>
      </c>
      <c r="I152">
        <v>1</v>
      </c>
      <c r="J152" s="1">
        <f t="shared" si="37"/>
        <v>1.7987152777777777</v>
      </c>
      <c r="K152" s="1">
        <f t="shared" si="38"/>
        <v>0.55595235797154607</v>
      </c>
    </row>
    <row r="153" spans="1:11" x14ac:dyDescent="0.25">
      <c r="B153" s="1">
        <v>2.5</v>
      </c>
      <c r="C153" s="1">
        <v>3.2</v>
      </c>
      <c r="D153" s="1">
        <v>2.3999999999999998E-3</v>
      </c>
      <c r="E153">
        <f t="shared" ref="E153:E160" si="39">E152+0.0002</f>
        <v>-5.0000000000000001E-4</v>
      </c>
      <c r="F153" s="1">
        <v>2</v>
      </c>
      <c r="G153" s="1">
        <f t="shared" si="36"/>
        <v>0.50173611111111116</v>
      </c>
      <c r="H153" s="1">
        <v>0.4</v>
      </c>
      <c r="I153">
        <v>1</v>
      </c>
      <c r="J153" s="1">
        <f t="shared" si="37"/>
        <v>1.7112152777777778</v>
      </c>
      <c r="K153" s="1">
        <f t="shared" si="38"/>
        <v>0.58438000933384737</v>
      </c>
    </row>
    <row r="154" spans="1:11" x14ac:dyDescent="0.25">
      <c r="B154" s="1">
        <v>2.5</v>
      </c>
      <c r="C154" s="1">
        <v>3.2</v>
      </c>
      <c r="D154" s="1">
        <v>2.3999999999999998E-3</v>
      </c>
      <c r="E154">
        <f t="shared" si="39"/>
        <v>-3.0000000000000003E-4</v>
      </c>
      <c r="F154" s="1">
        <v>2</v>
      </c>
      <c r="G154" s="1">
        <f t="shared" si="36"/>
        <v>0.390625</v>
      </c>
      <c r="H154" s="1">
        <v>0.4</v>
      </c>
      <c r="I154">
        <v>1</v>
      </c>
      <c r="J154" s="1">
        <f t="shared" si="37"/>
        <v>1.6334374999999999</v>
      </c>
      <c r="K154" s="1">
        <f t="shared" si="38"/>
        <v>0.61220585421848106</v>
      </c>
    </row>
    <row r="155" spans="1:11" x14ac:dyDescent="0.25">
      <c r="B155" s="1">
        <v>2.5</v>
      </c>
      <c r="C155" s="1">
        <v>3.2</v>
      </c>
      <c r="D155" s="1">
        <v>2.3999999999999998E-3</v>
      </c>
      <c r="E155">
        <f t="shared" si="39"/>
        <v>-1.0000000000000002E-4</v>
      </c>
      <c r="F155" s="1">
        <v>2</v>
      </c>
      <c r="G155" s="1">
        <f t="shared" si="36"/>
        <v>0.29340277777777773</v>
      </c>
      <c r="H155" s="1">
        <v>0.4</v>
      </c>
      <c r="I155">
        <v>1</v>
      </c>
      <c r="J155" s="1">
        <f t="shared" si="37"/>
        <v>1.5653819444444443</v>
      </c>
      <c r="K155" s="1">
        <f t="shared" si="38"/>
        <v>0.63882172881130361</v>
      </c>
    </row>
    <row r="156" spans="1:11" x14ac:dyDescent="0.25">
      <c r="B156" s="1">
        <v>2.5</v>
      </c>
      <c r="C156" s="1">
        <v>3.2</v>
      </c>
      <c r="D156" s="1">
        <v>2.3999999999999998E-3</v>
      </c>
      <c r="E156">
        <f t="shared" si="39"/>
        <v>9.9999999999999991E-5</v>
      </c>
      <c r="F156" s="1">
        <v>2</v>
      </c>
      <c r="G156" s="1">
        <f t="shared" si="36"/>
        <v>0.21006944444444442</v>
      </c>
      <c r="H156" s="1">
        <v>0.4</v>
      </c>
      <c r="I156">
        <v>1</v>
      </c>
      <c r="J156" s="1">
        <f t="shared" si="37"/>
        <v>1.5070486111111112</v>
      </c>
      <c r="K156" s="1">
        <f t="shared" si="38"/>
        <v>0.66354860263115445</v>
      </c>
    </row>
    <row r="157" spans="1:11" x14ac:dyDescent="0.25">
      <c r="B157" s="1">
        <v>2.5</v>
      </c>
      <c r="C157" s="1">
        <v>3.2</v>
      </c>
      <c r="D157" s="1">
        <v>2.3999999999999998E-3</v>
      </c>
      <c r="E157">
        <f t="shared" si="39"/>
        <v>3.0000000000000003E-4</v>
      </c>
      <c r="F157" s="1">
        <v>2</v>
      </c>
      <c r="G157" s="1">
        <f t="shared" si="36"/>
        <v>0.140625</v>
      </c>
      <c r="H157" s="1">
        <v>0.4</v>
      </c>
      <c r="I157">
        <v>1</v>
      </c>
      <c r="J157" s="1">
        <f t="shared" si="37"/>
        <v>1.4584375000000001</v>
      </c>
      <c r="K157" s="1">
        <f t="shared" si="38"/>
        <v>0.68566530962074135</v>
      </c>
    </row>
    <row r="158" spans="1:11" x14ac:dyDescent="0.25">
      <c r="B158" s="1">
        <v>2.5</v>
      </c>
      <c r="C158" s="1">
        <v>3.2</v>
      </c>
      <c r="D158" s="1">
        <v>2.3999999999999998E-3</v>
      </c>
      <c r="E158">
        <f t="shared" si="39"/>
        <v>5.0000000000000001E-4</v>
      </c>
      <c r="F158" s="1">
        <v>2</v>
      </c>
      <c r="G158" s="1">
        <f t="shared" si="36"/>
        <v>8.506944444444442E-2</v>
      </c>
      <c r="H158" s="1">
        <v>0.4</v>
      </c>
      <c r="I158">
        <v>1</v>
      </c>
      <c r="J158" s="1">
        <f t="shared" si="37"/>
        <v>1.4195486111111109</v>
      </c>
      <c r="K158" s="1">
        <f t="shared" si="38"/>
        <v>0.70444928209769353</v>
      </c>
    </row>
    <row r="159" spans="1:11" x14ac:dyDescent="0.25">
      <c r="B159" s="1">
        <v>2.5</v>
      </c>
      <c r="C159" s="1">
        <v>3.2</v>
      </c>
      <c r="D159" s="1">
        <v>2.3999999999999998E-3</v>
      </c>
      <c r="E159">
        <f t="shared" si="39"/>
        <v>6.9999999999999999E-4</v>
      </c>
      <c r="F159" s="1">
        <v>2</v>
      </c>
      <c r="G159" s="1">
        <f t="shared" si="36"/>
        <v>4.3402777777777769E-2</v>
      </c>
      <c r="H159" s="1">
        <v>0.4</v>
      </c>
      <c r="I159">
        <v>1</v>
      </c>
      <c r="J159" s="1">
        <f t="shared" si="37"/>
        <v>1.3903819444444445</v>
      </c>
      <c r="K159" s="1">
        <f t="shared" si="38"/>
        <v>0.71922683115650676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f t="shared" si="39"/>
        <v>8.9999999999999998E-4</v>
      </c>
      <c r="F160" s="1">
        <v>2</v>
      </c>
      <c r="G160" s="1">
        <f t="shared" si="36"/>
        <v>1.5625E-2</v>
      </c>
      <c r="H160" s="1">
        <v>0.4</v>
      </c>
      <c r="I160">
        <v>1</v>
      </c>
      <c r="J160" s="1">
        <f t="shared" si="37"/>
        <v>1.3709374999999997</v>
      </c>
      <c r="K160" s="1">
        <f t="shared" si="38"/>
        <v>0.72942785502621399</v>
      </c>
    </row>
    <row r="161" spans="1:11" x14ac:dyDescent="0.25">
      <c r="B161" s="1">
        <v>2.5</v>
      </c>
      <c r="C161" s="1">
        <v>3.2</v>
      </c>
      <c r="D161" s="1">
        <v>2.3999999999999998E-3</v>
      </c>
      <c r="E161" s="13">
        <v>1.1000000000000001E-3</v>
      </c>
      <c r="F161" s="1">
        <v>2</v>
      </c>
      <c r="G161" s="1">
        <f t="shared" si="36"/>
        <v>1.7361111111111034E-3</v>
      </c>
      <c r="H161" s="1">
        <v>0.4</v>
      </c>
      <c r="I161" s="13">
        <v>1</v>
      </c>
      <c r="J161" s="1">
        <f t="shared" si="37"/>
        <v>1.3612152777777777</v>
      </c>
      <c r="K161" s="1">
        <f t="shared" si="38"/>
        <v>0.73463765528148361</v>
      </c>
    </row>
    <row r="163" spans="1:11" x14ac:dyDescent="0.25">
      <c r="A163" s="9" t="s">
        <v>49</v>
      </c>
      <c r="B163" s="2" t="s">
        <v>221</v>
      </c>
      <c r="C163" s="2" t="s">
        <v>220</v>
      </c>
      <c r="D163" s="2" t="s">
        <v>68</v>
      </c>
      <c r="E163" s="2" t="s">
        <v>69</v>
      </c>
      <c r="F163" s="2" t="s">
        <v>70</v>
      </c>
      <c r="G163" s="2" t="s">
        <v>71</v>
      </c>
      <c r="H163" s="2" t="s">
        <v>72</v>
      </c>
      <c r="I163" s="2" t="s">
        <v>73</v>
      </c>
      <c r="J163" s="2" t="s">
        <v>74</v>
      </c>
    </row>
    <row r="164" spans="1:11" x14ac:dyDescent="0.25">
      <c r="B164" s="1">
        <v>5300</v>
      </c>
      <c r="C164" s="1">
        <v>5800</v>
      </c>
      <c r="D164" s="1">
        <v>2.3999999999999998E-3</v>
      </c>
      <c r="E164">
        <v>-1.1000000000000001E-3</v>
      </c>
      <c r="F164" s="1">
        <v>2</v>
      </c>
      <c r="G164" s="1">
        <f>(0.5-E164/D164)^F164</f>
        <v>0.91840277777777801</v>
      </c>
      <c r="H164" s="1">
        <v>0.4</v>
      </c>
      <c r="I164">
        <v>1</v>
      </c>
      <c r="J164" s="1">
        <f>(C164-B164)*G164+B164-(B164+C164)*(H164/2)*I164</f>
        <v>3539.2013888888887</v>
      </c>
    </row>
    <row r="165" spans="1:11" x14ac:dyDescent="0.25">
      <c r="A165">
        <v>1</v>
      </c>
      <c r="B165" s="1">
        <v>5300</v>
      </c>
      <c r="C165" s="1">
        <v>5800</v>
      </c>
      <c r="D165" s="1">
        <v>2.3999999999999998E-3</v>
      </c>
      <c r="E165">
        <f>-0.001+0.0001</f>
        <v>-8.9999999999999998E-4</v>
      </c>
      <c r="F165" s="1">
        <v>2</v>
      </c>
      <c r="G165" s="1">
        <f t="shared" ref="G165:G175" si="40">(0.5-E165/D165)^F165</f>
        <v>0.765625</v>
      </c>
      <c r="H165" s="1">
        <v>0.4</v>
      </c>
      <c r="I165">
        <v>1</v>
      </c>
      <c r="J165" s="1">
        <f t="shared" ref="J165:J175" si="41">(C165-B165)*G165+B165-(B165+C165)*(H165/2)*I165</f>
        <v>3462.8125</v>
      </c>
    </row>
    <row r="166" spans="1:11" x14ac:dyDescent="0.25">
      <c r="A166">
        <v>2</v>
      </c>
      <c r="B166" s="1">
        <v>5300</v>
      </c>
      <c r="C166" s="1">
        <v>5800</v>
      </c>
      <c r="D166" s="1">
        <v>2.3999999999999998E-3</v>
      </c>
      <c r="E166">
        <f>E165+0.0002</f>
        <v>-6.9999999999999999E-4</v>
      </c>
      <c r="F166" s="1">
        <v>2</v>
      </c>
      <c r="G166" s="1">
        <f t="shared" si="40"/>
        <v>0.62673611111111127</v>
      </c>
      <c r="H166" s="1">
        <v>0.4</v>
      </c>
      <c r="I166">
        <v>1</v>
      </c>
      <c r="J166" s="1">
        <f t="shared" si="41"/>
        <v>3393.3680555555557</v>
      </c>
    </row>
    <row r="167" spans="1:11" x14ac:dyDescent="0.25">
      <c r="A167">
        <v>3</v>
      </c>
      <c r="B167" s="1">
        <v>5300</v>
      </c>
      <c r="C167" s="1">
        <v>5800</v>
      </c>
      <c r="D167" s="1">
        <v>2.3999999999999998E-3</v>
      </c>
      <c r="E167">
        <f t="shared" ref="E167:E174" si="42">E166+0.0002</f>
        <v>-5.0000000000000001E-4</v>
      </c>
      <c r="F167" s="1">
        <v>2</v>
      </c>
      <c r="G167" s="1">
        <f t="shared" si="40"/>
        <v>0.50173611111111116</v>
      </c>
      <c r="H167" s="1">
        <v>0.4</v>
      </c>
      <c r="I167">
        <v>1</v>
      </c>
      <c r="J167" s="1">
        <f t="shared" si="41"/>
        <v>3330.8680555555557</v>
      </c>
    </row>
    <row r="168" spans="1:11" x14ac:dyDescent="0.25">
      <c r="A168">
        <v>4</v>
      </c>
      <c r="B168" s="1">
        <v>5300</v>
      </c>
      <c r="C168" s="1">
        <v>5800</v>
      </c>
      <c r="D168" s="1">
        <v>2.3999999999999998E-3</v>
      </c>
      <c r="E168">
        <f t="shared" si="42"/>
        <v>-3.0000000000000003E-4</v>
      </c>
      <c r="F168" s="1">
        <v>2</v>
      </c>
      <c r="G168" s="1">
        <f t="shared" si="40"/>
        <v>0.390625</v>
      </c>
      <c r="H168" s="1">
        <v>0.4</v>
      </c>
      <c r="I168">
        <v>1</v>
      </c>
      <c r="J168" s="1">
        <f t="shared" si="41"/>
        <v>3275.3125</v>
      </c>
    </row>
    <row r="169" spans="1:11" x14ac:dyDescent="0.25">
      <c r="A169">
        <v>5</v>
      </c>
      <c r="B169" s="1">
        <v>5300</v>
      </c>
      <c r="C169" s="1">
        <v>5800</v>
      </c>
      <c r="D169" s="1">
        <v>2.3999999999999998E-3</v>
      </c>
      <c r="E169">
        <f t="shared" si="42"/>
        <v>-1.0000000000000002E-4</v>
      </c>
      <c r="F169" s="1">
        <v>2</v>
      </c>
      <c r="G169" s="1">
        <f t="shared" si="40"/>
        <v>0.29340277777777773</v>
      </c>
      <c r="H169" s="1">
        <v>0.4</v>
      </c>
      <c r="I169">
        <v>1</v>
      </c>
      <c r="J169" s="1">
        <f t="shared" si="41"/>
        <v>3226.7013888888887</v>
      </c>
    </row>
    <row r="170" spans="1:11" x14ac:dyDescent="0.25">
      <c r="A170">
        <v>6</v>
      </c>
      <c r="B170" s="1">
        <v>5300</v>
      </c>
      <c r="C170" s="1">
        <v>5800</v>
      </c>
      <c r="D170" s="1">
        <v>2.3999999999999998E-3</v>
      </c>
      <c r="E170">
        <f t="shared" si="42"/>
        <v>9.9999999999999991E-5</v>
      </c>
      <c r="F170" s="1">
        <v>2</v>
      </c>
      <c r="G170" s="1">
        <f t="shared" si="40"/>
        <v>0.21006944444444442</v>
      </c>
      <c r="H170" s="1">
        <v>0.4</v>
      </c>
      <c r="I170">
        <v>1</v>
      </c>
      <c r="J170" s="1">
        <f t="shared" si="41"/>
        <v>3185.0347222222226</v>
      </c>
    </row>
    <row r="171" spans="1:11" x14ac:dyDescent="0.25">
      <c r="A171">
        <v>7</v>
      </c>
      <c r="B171" s="1">
        <v>5300</v>
      </c>
      <c r="C171" s="1">
        <v>5800</v>
      </c>
      <c r="D171" s="1">
        <v>2.3999999999999998E-3</v>
      </c>
      <c r="E171">
        <f t="shared" si="42"/>
        <v>3.0000000000000003E-4</v>
      </c>
      <c r="F171" s="1">
        <v>2</v>
      </c>
      <c r="G171" s="1">
        <f t="shared" si="40"/>
        <v>0.140625</v>
      </c>
      <c r="H171" s="1">
        <v>0.4</v>
      </c>
      <c r="I171">
        <v>1</v>
      </c>
      <c r="J171" s="1">
        <f t="shared" si="41"/>
        <v>3150.3125</v>
      </c>
    </row>
    <row r="172" spans="1:11" x14ac:dyDescent="0.25">
      <c r="A172">
        <v>8</v>
      </c>
      <c r="B172" s="1">
        <v>5300</v>
      </c>
      <c r="C172" s="1">
        <v>5800</v>
      </c>
      <c r="D172" s="1">
        <v>2.3999999999999998E-3</v>
      </c>
      <c r="E172">
        <f t="shared" si="42"/>
        <v>5.0000000000000001E-4</v>
      </c>
      <c r="F172" s="1">
        <v>2</v>
      </c>
      <c r="G172" s="1">
        <f t="shared" si="40"/>
        <v>8.506944444444442E-2</v>
      </c>
      <c r="H172" s="1">
        <v>0.4</v>
      </c>
      <c r="I172">
        <v>1</v>
      </c>
      <c r="J172" s="1">
        <f t="shared" si="41"/>
        <v>3122.5347222222226</v>
      </c>
    </row>
    <row r="173" spans="1:11" x14ac:dyDescent="0.25">
      <c r="A173">
        <v>9</v>
      </c>
      <c r="B173" s="1">
        <v>5300</v>
      </c>
      <c r="C173" s="1">
        <v>5800</v>
      </c>
      <c r="D173" s="1">
        <v>2.3999999999999998E-3</v>
      </c>
      <c r="E173">
        <f t="shared" si="42"/>
        <v>6.9999999999999999E-4</v>
      </c>
      <c r="F173" s="1">
        <v>2</v>
      </c>
      <c r="G173" s="1">
        <f t="shared" si="40"/>
        <v>4.3402777777777769E-2</v>
      </c>
      <c r="H173" s="1">
        <v>0.4</v>
      </c>
      <c r="I173">
        <v>1</v>
      </c>
      <c r="J173" s="1">
        <f t="shared" si="41"/>
        <v>3101.7013888888887</v>
      </c>
    </row>
    <row r="174" spans="1:11" x14ac:dyDescent="0.25">
      <c r="A174">
        <v>10</v>
      </c>
      <c r="B174" s="1">
        <v>5300</v>
      </c>
      <c r="C174" s="1">
        <v>5800</v>
      </c>
      <c r="D174" s="1">
        <v>2.3999999999999998E-3</v>
      </c>
      <c r="E174">
        <f t="shared" si="42"/>
        <v>8.9999999999999998E-4</v>
      </c>
      <c r="F174" s="1">
        <v>2</v>
      </c>
      <c r="G174" s="1">
        <f t="shared" si="40"/>
        <v>1.5625E-2</v>
      </c>
      <c r="H174" s="1">
        <v>0.4</v>
      </c>
      <c r="I174">
        <v>1</v>
      </c>
      <c r="J174" s="1">
        <f t="shared" si="41"/>
        <v>3087.8125</v>
      </c>
    </row>
    <row r="175" spans="1:11" x14ac:dyDescent="0.25">
      <c r="B175" s="1">
        <v>5300</v>
      </c>
      <c r="C175" s="1">
        <v>5800</v>
      </c>
      <c r="D175" s="1">
        <v>2.3999999999999998E-3</v>
      </c>
      <c r="E175" s="13">
        <v>1.1000000000000001E-3</v>
      </c>
      <c r="F175" s="1">
        <v>2</v>
      </c>
      <c r="G175" s="1">
        <f t="shared" si="40"/>
        <v>1.7361111111111034E-3</v>
      </c>
      <c r="H175" s="1">
        <v>0.4</v>
      </c>
      <c r="I175" s="13">
        <v>1</v>
      </c>
      <c r="J175" s="1">
        <f t="shared" si="41"/>
        <v>3080.8680555555557</v>
      </c>
    </row>
    <row r="177" spans="1:28" x14ac:dyDescent="0.25">
      <c r="A177" t="s">
        <v>227</v>
      </c>
      <c r="G177" s="4"/>
    </row>
    <row r="178" spans="1:28" x14ac:dyDescent="0.25">
      <c r="A178" t="s">
        <v>227</v>
      </c>
      <c r="G178" s="4"/>
    </row>
    <row r="179" spans="1:28" x14ac:dyDescent="0.25">
      <c r="A179" t="s">
        <v>227</v>
      </c>
      <c r="G179" s="4"/>
    </row>
    <row r="180" spans="1:28" x14ac:dyDescent="0.25">
      <c r="A180" t="s">
        <v>227</v>
      </c>
      <c r="H180" t="s">
        <v>227</v>
      </c>
      <c r="O180" t="s">
        <v>227</v>
      </c>
    </row>
    <row r="181" spans="1:28" x14ac:dyDescent="0.25">
      <c r="A181" t="s">
        <v>227</v>
      </c>
      <c r="H181" t="s">
        <v>227</v>
      </c>
      <c r="O181" t="s">
        <v>227</v>
      </c>
    </row>
    <row r="182" spans="1:28" x14ac:dyDescent="0.25">
      <c r="A182" t="s">
        <v>227</v>
      </c>
      <c r="H182" t="s">
        <v>227</v>
      </c>
      <c r="O182" t="s">
        <v>227</v>
      </c>
    </row>
    <row r="183" spans="1:28" x14ac:dyDescent="0.25">
      <c r="A183" t="s">
        <v>227</v>
      </c>
      <c r="H183" t="s">
        <v>227</v>
      </c>
      <c r="O183" t="s">
        <v>227</v>
      </c>
    </row>
    <row r="184" spans="1:28" x14ac:dyDescent="0.25">
      <c r="A184" t="s">
        <v>227</v>
      </c>
      <c r="H184" t="s">
        <v>227</v>
      </c>
      <c r="O184" t="s">
        <v>227</v>
      </c>
    </row>
    <row r="185" spans="1:28" x14ac:dyDescent="0.25">
      <c r="A185" t="s">
        <v>227</v>
      </c>
      <c r="H185" t="s">
        <v>227</v>
      </c>
      <c r="O185" t="s">
        <v>227</v>
      </c>
    </row>
    <row r="186" spans="1:28" x14ac:dyDescent="0.25">
      <c r="A186" t="s">
        <v>227</v>
      </c>
      <c r="H186" t="s">
        <v>227</v>
      </c>
      <c r="O186" t="s">
        <v>227</v>
      </c>
    </row>
    <row r="188" spans="1:28" x14ac:dyDescent="0.25">
      <c r="A188" s="14" t="s">
        <v>228</v>
      </c>
      <c r="C188" s="9" t="s">
        <v>27</v>
      </c>
      <c r="D188" s="9" t="s">
        <v>28</v>
      </c>
      <c r="E188" s="9" t="s">
        <v>29</v>
      </c>
      <c r="F188" s="9" t="s">
        <v>30</v>
      </c>
      <c r="G188" s="9" t="s">
        <v>31</v>
      </c>
      <c r="H188" s="9" t="s">
        <v>229</v>
      </c>
      <c r="I188" s="9" t="s">
        <v>33</v>
      </c>
      <c r="J188" s="9" t="s">
        <v>34</v>
      </c>
      <c r="K188" s="9" t="s">
        <v>35</v>
      </c>
      <c r="L188" s="9" t="s">
        <v>36</v>
      </c>
      <c r="M188" s="9" t="s">
        <v>37</v>
      </c>
      <c r="N188" s="9" t="s">
        <v>38</v>
      </c>
      <c r="O188" s="9" t="s">
        <v>39</v>
      </c>
      <c r="P188" s="9" t="s">
        <v>40</v>
      </c>
      <c r="Q188" s="9" t="s">
        <v>41</v>
      </c>
      <c r="R188" s="9" t="s">
        <v>42</v>
      </c>
      <c r="S188" s="9" t="s">
        <v>43</v>
      </c>
      <c r="T188" s="9" t="s">
        <v>230</v>
      </c>
      <c r="U188" s="9" t="s">
        <v>231</v>
      </c>
      <c r="V188" s="9" t="s">
        <v>232</v>
      </c>
      <c r="W188" s="9" t="s">
        <v>233</v>
      </c>
      <c r="X188" s="9" t="s">
        <v>234</v>
      </c>
      <c r="Y188" s="9" t="s">
        <v>49</v>
      </c>
      <c r="Z188" s="9" t="s">
        <v>50</v>
      </c>
      <c r="AA188" s="9" t="s">
        <v>51</v>
      </c>
      <c r="AB188" s="9" t="s">
        <v>52</v>
      </c>
    </row>
    <row r="189" spans="1:28" x14ac:dyDescent="0.25">
      <c r="A189" s="11" t="s">
        <v>235</v>
      </c>
      <c r="B189" t="s">
        <v>75</v>
      </c>
      <c r="C189" s="10">
        <v>1</v>
      </c>
      <c r="D189" s="4">
        <v>119451549066.13531</v>
      </c>
      <c r="E189" s="4">
        <v>119451549066.13531</v>
      </c>
      <c r="F189" s="4">
        <v>0.31205368721702659</v>
      </c>
      <c r="G189" s="4">
        <v>0</v>
      </c>
      <c r="H189" s="4">
        <v>45479166666.666664</v>
      </c>
      <c r="I189" s="4">
        <v>51648958333.333336</v>
      </c>
      <c r="J189" s="4">
        <v>51648958333.333336</v>
      </c>
      <c r="K189" s="4">
        <v>-7.3323386691028495E-11</v>
      </c>
      <c r="L189" s="4">
        <v>-7.3323386691028495E-11</v>
      </c>
      <c r="M189" s="4">
        <v>0</v>
      </c>
      <c r="N189" s="4">
        <v>2.0000000000000001E-4</v>
      </c>
      <c r="O189" s="4">
        <v>11.296446608946567</v>
      </c>
      <c r="P189" s="4">
        <v>11.296446608946567</v>
      </c>
      <c r="Q189" s="4">
        <v>1.3540763695987659E-8</v>
      </c>
      <c r="R189" s="4">
        <v>0</v>
      </c>
      <c r="S189" s="4">
        <v>2.1994791666666636E-5</v>
      </c>
      <c r="T189" s="4">
        <v>1.5234895833333333E-5</v>
      </c>
      <c r="U189" s="4">
        <v>1.5234895833333333E-5</v>
      </c>
      <c r="V189" s="4">
        <v>0</v>
      </c>
      <c r="W189" s="4">
        <v>0</v>
      </c>
      <c r="X189" s="4">
        <v>3.1428819444444449</v>
      </c>
      <c r="Y189" s="4">
        <v>5759.2013888888887</v>
      </c>
      <c r="Z189" s="4">
        <v>-1.1999999999999999E-3</v>
      </c>
      <c r="AA189" s="4">
        <v>-1E-3</v>
      </c>
      <c r="AB189" s="3">
        <v>2</v>
      </c>
    </row>
    <row r="190" spans="1:28" x14ac:dyDescent="0.25">
      <c r="C190" s="3">
        <v>2</v>
      </c>
      <c r="D190" s="4">
        <v>125293689672.03632</v>
      </c>
      <c r="E190" s="4">
        <v>125293689672.03632</v>
      </c>
      <c r="F190" s="4">
        <v>0.32134098555343393</v>
      </c>
      <c r="G190" s="4">
        <v>0</v>
      </c>
      <c r="H190" s="4">
        <v>47312500000</v>
      </c>
      <c r="I190" s="4">
        <v>51740625000</v>
      </c>
      <c r="J190" s="4">
        <v>51740625000</v>
      </c>
      <c r="K190" s="4">
        <v>-6.1125923498570052E-11</v>
      </c>
      <c r="L190" s="4">
        <v>-6.1125923498570052E-11</v>
      </c>
      <c r="M190" s="4">
        <v>0</v>
      </c>
      <c r="N190" s="4">
        <v>2.0000000000000001E-4</v>
      </c>
      <c r="O190" s="4">
        <v>32.447240259740255</v>
      </c>
      <c r="P190" s="4">
        <v>32.447240259740255</v>
      </c>
      <c r="Q190" s="4">
        <v>1.1303706597222224E-8</v>
      </c>
      <c r="R190" s="4">
        <v>0</v>
      </c>
      <c r="S190" s="4">
        <v>4.4453125000000005E-5</v>
      </c>
      <c r="T190" s="4">
        <v>1.4364062499999999E-5</v>
      </c>
      <c r="U190" s="4">
        <v>1.4364062499999999E-5</v>
      </c>
      <c r="V190" s="4">
        <v>0</v>
      </c>
      <c r="W190" s="4">
        <v>0</v>
      </c>
      <c r="X190" s="4">
        <v>3.0359375000000002</v>
      </c>
      <c r="Y190" s="4">
        <v>5682.8125</v>
      </c>
      <c r="Z190" s="4">
        <f t="shared" ref="Z190:AA190" si="43">Z189+0.0002</f>
        <v>-9.999999999999998E-4</v>
      </c>
      <c r="AA190" s="4">
        <f t="shared" si="43"/>
        <v>-8.0000000000000004E-4</v>
      </c>
      <c r="AB190" s="3">
        <v>2</v>
      </c>
    </row>
    <row r="191" spans="1:28" x14ac:dyDescent="0.25">
      <c r="C191" s="3">
        <v>3</v>
      </c>
      <c r="D191" s="4">
        <v>130604726586.49174</v>
      </c>
      <c r="E191" s="4">
        <v>130604726586.49174</v>
      </c>
      <c r="F191" s="4">
        <v>0.32978398404107689</v>
      </c>
      <c r="G191" s="4">
        <v>0</v>
      </c>
      <c r="H191" s="4">
        <v>48979166666.666664</v>
      </c>
      <c r="I191" s="4">
        <v>51823958333.333336</v>
      </c>
      <c r="J191" s="4">
        <v>51823958333.333336</v>
      </c>
      <c r="K191" s="4">
        <v>-5.0037320596335138E-11</v>
      </c>
      <c r="L191" s="4">
        <v>-5.0037320596335138E-11</v>
      </c>
      <c r="M191" s="4">
        <v>0</v>
      </c>
      <c r="N191" s="4">
        <v>2.0000000000000001E-4</v>
      </c>
      <c r="O191" s="4">
        <v>51.675234487734457</v>
      </c>
      <c r="P191" s="4">
        <v>51.675234487734457</v>
      </c>
      <c r="Q191" s="4">
        <v>9.2700183256172878E-9</v>
      </c>
      <c r="R191" s="4">
        <v>0</v>
      </c>
      <c r="S191" s="4">
        <v>6.4869791666666635E-5</v>
      </c>
      <c r="T191" s="4">
        <v>1.3572395833333333E-5</v>
      </c>
      <c r="U191" s="4">
        <v>1.3572395833333333E-5</v>
      </c>
      <c r="V191" s="4">
        <v>0</v>
      </c>
      <c r="W191" s="4">
        <v>0</v>
      </c>
      <c r="X191" s="4">
        <v>2.9387152777777779</v>
      </c>
      <c r="Y191" s="4">
        <v>5613.3680555555557</v>
      </c>
      <c r="Z191" s="4">
        <f t="shared" ref="Z191:AA191" si="44">Z190+0.0002</f>
        <v>-7.9999999999999982E-4</v>
      </c>
      <c r="AA191" s="4">
        <f t="shared" si="44"/>
        <v>-6.0000000000000006E-4</v>
      </c>
      <c r="AB191" s="3">
        <v>2</v>
      </c>
    </row>
    <row r="192" spans="1:28" x14ac:dyDescent="0.25">
      <c r="C192" s="3">
        <v>4</v>
      </c>
      <c r="D192" s="4">
        <v>135384659809.50165</v>
      </c>
      <c r="E192" s="4">
        <v>135384659809.50165</v>
      </c>
      <c r="F192" s="4">
        <v>0.33738268267995564</v>
      </c>
      <c r="G192" s="4">
        <v>0</v>
      </c>
      <c r="H192" s="4">
        <v>50479166666.666664</v>
      </c>
      <c r="I192" s="4">
        <v>51898958333.333336</v>
      </c>
      <c r="J192" s="4">
        <v>51898958333.333336</v>
      </c>
      <c r="K192" s="4">
        <v>-4.0057577984323686E-11</v>
      </c>
      <c r="L192" s="4">
        <v>-4.0057577984323686E-11</v>
      </c>
      <c r="M192" s="4">
        <v>0</v>
      </c>
      <c r="N192" s="4">
        <v>2.0000000000000001E-4</v>
      </c>
      <c r="O192" s="4">
        <v>68.980429292929273</v>
      </c>
      <c r="P192" s="4">
        <v>68.980429292929273</v>
      </c>
      <c r="Q192" s="4">
        <v>7.4396988811728414E-9</v>
      </c>
      <c r="R192" s="4">
        <v>0</v>
      </c>
      <c r="S192" s="4">
        <v>8.3244791666666661E-5</v>
      </c>
      <c r="T192" s="4">
        <v>1.2859895833333333E-5</v>
      </c>
      <c r="U192" s="4">
        <v>1.2859895833333333E-5</v>
      </c>
      <c r="V192" s="4">
        <v>0</v>
      </c>
      <c r="W192" s="4">
        <v>0</v>
      </c>
      <c r="X192" s="4">
        <v>2.8512152777777779</v>
      </c>
      <c r="Y192" s="4">
        <v>5550.8680555555557</v>
      </c>
      <c r="Z192" s="4">
        <f t="shared" ref="Z192:AA192" si="45">Z191+0.0002</f>
        <v>-5.9999999999999984E-4</v>
      </c>
      <c r="AA192" s="4">
        <f t="shared" si="45"/>
        <v>-4.0000000000000007E-4</v>
      </c>
      <c r="AB192" s="3">
        <v>2</v>
      </c>
    </row>
    <row r="193" spans="1:28" x14ac:dyDescent="0.25">
      <c r="C193" s="3">
        <v>5</v>
      </c>
      <c r="D193" s="4">
        <v>139633489341.06601</v>
      </c>
      <c r="E193" s="4">
        <v>139633489341.06601</v>
      </c>
      <c r="F193" s="4">
        <v>0.34413708147007005</v>
      </c>
      <c r="G193" s="4">
        <v>0</v>
      </c>
      <c r="H193" s="4">
        <v>51812500000</v>
      </c>
      <c r="I193" s="4">
        <v>51965625000</v>
      </c>
      <c r="J193" s="4">
        <v>51965625000</v>
      </c>
      <c r="K193" s="4">
        <v>-3.1186695662535743E-11</v>
      </c>
      <c r="L193" s="4">
        <v>-3.1186695662535743E-11</v>
      </c>
      <c r="M193" s="4">
        <v>0</v>
      </c>
      <c r="N193" s="4">
        <v>2.0000000000000001E-4</v>
      </c>
      <c r="O193" s="4">
        <v>84.36282467532466</v>
      </c>
      <c r="P193" s="4">
        <v>84.36282467532466</v>
      </c>
      <c r="Q193" s="4">
        <v>5.8127482638888899E-9</v>
      </c>
      <c r="R193" s="4">
        <v>0</v>
      </c>
      <c r="S193" s="4">
        <v>9.9578125000000003E-5</v>
      </c>
      <c r="T193" s="4">
        <v>1.22265625E-5</v>
      </c>
      <c r="U193" s="4">
        <v>1.22265625E-5</v>
      </c>
      <c r="V193" s="4">
        <v>0</v>
      </c>
      <c r="W193" s="4">
        <v>0</v>
      </c>
      <c r="X193" s="4">
        <v>2.7734375</v>
      </c>
      <c r="Y193" s="4">
        <v>5495.3125</v>
      </c>
      <c r="Z193" s="4">
        <f t="shared" ref="Z193:AA193" si="46">Z192+0.0002</f>
        <v>-3.9999999999999986E-4</v>
      </c>
      <c r="AA193" s="4">
        <f t="shared" si="46"/>
        <v>-2.0000000000000006E-4</v>
      </c>
      <c r="AB193" s="3">
        <v>2</v>
      </c>
    </row>
    <row r="194" spans="1:28" x14ac:dyDescent="0.25">
      <c r="C194" s="3">
        <v>6</v>
      </c>
      <c r="D194" s="4">
        <v>143351215181.18481</v>
      </c>
      <c r="E194" s="4">
        <v>143351215181.18481</v>
      </c>
      <c r="F194" s="4">
        <v>0.35004718041142019</v>
      </c>
      <c r="G194" s="4">
        <v>0</v>
      </c>
      <c r="H194" s="4">
        <v>52979166666.666664</v>
      </c>
      <c r="I194" s="4">
        <v>52023958333.333336</v>
      </c>
      <c r="J194" s="4">
        <v>52023958333.333336</v>
      </c>
      <c r="K194" s="4">
        <v>-2.3424673630971285E-11</v>
      </c>
      <c r="L194" s="4">
        <v>-2.3424673630971285E-11</v>
      </c>
      <c r="M194" s="4">
        <v>0</v>
      </c>
      <c r="N194" s="4">
        <v>2.0000000000000001E-4</v>
      </c>
      <c r="O194" s="4">
        <v>97.822420634920618</v>
      </c>
      <c r="P194" s="4">
        <v>97.822420634920618</v>
      </c>
      <c r="Q194" s="4">
        <v>4.3891664737654323E-9</v>
      </c>
      <c r="R194" s="4">
        <v>0</v>
      </c>
      <c r="S194" s="4">
        <v>1.1386979166666666E-4</v>
      </c>
      <c r="T194" s="4">
        <v>1.1672395833333333E-5</v>
      </c>
      <c r="U194" s="4">
        <v>1.1672395833333333E-5</v>
      </c>
      <c r="V194" s="4">
        <v>0</v>
      </c>
      <c r="W194" s="4">
        <v>0</v>
      </c>
      <c r="X194" s="4">
        <v>2.7053819444444445</v>
      </c>
      <c r="Y194" s="4">
        <v>5446.7013888888887</v>
      </c>
      <c r="Z194" s="4">
        <f t="shared" ref="Z194:AA194" si="47">Z193+0.0002</f>
        <v>-1.9999999999999985E-4</v>
      </c>
      <c r="AA194" s="4">
        <f t="shared" si="47"/>
        <v>0</v>
      </c>
      <c r="AB194" s="3">
        <v>2</v>
      </c>
    </row>
    <row r="195" spans="1:28" x14ac:dyDescent="0.25">
      <c r="C195" s="3">
        <v>7</v>
      </c>
      <c r="D195" s="4">
        <v>146537837329.85809</v>
      </c>
      <c r="E195" s="4">
        <v>146537837329.85809</v>
      </c>
      <c r="F195" s="4">
        <v>0.355112979504006</v>
      </c>
      <c r="G195" s="4">
        <v>0</v>
      </c>
      <c r="H195" s="4">
        <v>53979166666.666664</v>
      </c>
      <c r="I195" s="4">
        <v>52073958333.333336</v>
      </c>
      <c r="J195" s="4">
        <v>52073958333.333336</v>
      </c>
      <c r="K195" s="4">
        <v>-1.6771511889630329E-11</v>
      </c>
      <c r="L195" s="4">
        <v>-1.6771511889630329E-11</v>
      </c>
      <c r="M195" s="4">
        <v>0</v>
      </c>
      <c r="N195" s="4">
        <v>2.0000000000000001E-4</v>
      </c>
      <c r="O195" s="4">
        <v>109.35921717171715</v>
      </c>
      <c r="P195" s="4">
        <v>109.35921717171715</v>
      </c>
      <c r="Q195" s="4">
        <v>3.168953510802469E-9</v>
      </c>
      <c r="R195" s="4">
        <v>0</v>
      </c>
      <c r="S195" s="4">
        <v>1.2611979166666666E-4</v>
      </c>
      <c r="T195" s="4">
        <v>1.1197395833333333E-5</v>
      </c>
      <c r="U195" s="4">
        <v>1.1197395833333333E-5</v>
      </c>
      <c r="V195" s="4">
        <v>0</v>
      </c>
      <c r="W195" s="4">
        <v>0</v>
      </c>
      <c r="X195" s="4">
        <v>2.6470486111111113</v>
      </c>
      <c r="Y195" s="4">
        <v>5405.0347222222226</v>
      </c>
      <c r="Z195" s="4">
        <f t="shared" ref="Z195:AA195" si="48">Z194+0.0002</f>
        <v>0</v>
      </c>
      <c r="AA195" s="4">
        <f t="shared" si="48"/>
        <v>2.0000000000000001E-4</v>
      </c>
      <c r="AB195" s="3">
        <v>2</v>
      </c>
    </row>
    <row r="196" spans="1:28" x14ac:dyDescent="0.25">
      <c r="C196" s="3">
        <v>8</v>
      </c>
      <c r="D196" s="4">
        <v>149193355787.08582</v>
      </c>
      <c r="E196" s="4">
        <v>149193355787.08582</v>
      </c>
      <c r="F196" s="4">
        <v>0.35933447874782748</v>
      </c>
      <c r="G196" s="4">
        <v>0</v>
      </c>
      <c r="H196" s="4">
        <v>54812500000</v>
      </c>
      <c r="I196" s="4">
        <v>52115625000</v>
      </c>
      <c r="J196" s="4">
        <v>52115625000</v>
      </c>
      <c r="K196" s="4">
        <v>-1.1227210438512867E-11</v>
      </c>
      <c r="L196" s="4">
        <v>-1.1227210438512867E-11</v>
      </c>
      <c r="M196" s="4">
        <v>0</v>
      </c>
      <c r="N196" s="4">
        <v>2.0000000000000001E-4</v>
      </c>
      <c r="O196" s="4">
        <v>118.97321428571426</v>
      </c>
      <c r="P196" s="4">
        <v>118.97321428571426</v>
      </c>
      <c r="Q196" s="4">
        <v>2.1521093750000001E-9</v>
      </c>
      <c r="R196" s="4">
        <v>0</v>
      </c>
      <c r="S196" s="4">
        <v>1.36328125E-4</v>
      </c>
      <c r="T196" s="4">
        <v>1.0801562500000001E-5</v>
      </c>
      <c r="U196" s="4">
        <v>1.0801562500000001E-5</v>
      </c>
      <c r="V196" s="4">
        <v>0</v>
      </c>
      <c r="W196" s="4">
        <v>0</v>
      </c>
      <c r="X196" s="4">
        <v>2.5984375000000002</v>
      </c>
      <c r="Y196" s="4">
        <v>5370.3125</v>
      </c>
      <c r="Z196" s="4">
        <f t="shared" ref="Z196:AA196" si="49">Z195+0.0002</f>
        <v>2.0000000000000001E-4</v>
      </c>
      <c r="AA196" s="4">
        <f t="shared" si="49"/>
        <v>4.0000000000000002E-4</v>
      </c>
      <c r="AB196" s="3">
        <v>2</v>
      </c>
    </row>
    <row r="197" spans="1:28" x14ac:dyDescent="0.25">
      <c r="C197" s="3">
        <v>9</v>
      </c>
      <c r="D197" s="4">
        <v>151317770552.86798</v>
      </c>
      <c r="E197" s="4">
        <v>151317770552.86798</v>
      </c>
      <c r="F197" s="4">
        <v>0.36271167814288469</v>
      </c>
      <c r="G197" s="4">
        <v>0</v>
      </c>
      <c r="H197" s="4">
        <v>55479166666.666664</v>
      </c>
      <c r="I197" s="4">
        <v>52148958333.333336</v>
      </c>
      <c r="J197" s="4">
        <v>52148958333.333336</v>
      </c>
      <c r="K197" s="4">
        <v>-6.7917692776188928E-12</v>
      </c>
      <c r="L197" s="4">
        <v>-6.7917692776188928E-12</v>
      </c>
      <c r="M197" s="4">
        <v>0</v>
      </c>
      <c r="N197" s="4">
        <v>2.0000000000000001E-4</v>
      </c>
      <c r="O197" s="4">
        <v>126.66441197691195</v>
      </c>
      <c r="P197" s="4">
        <v>126.66441197691195</v>
      </c>
      <c r="Q197" s="4">
        <v>1.3386340663580246E-9</v>
      </c>
      <c r="R197" s="4">
        <v>0</v>
      </c>
      <c r="S197" s="4">
        <v>1.4449479166666666E-4</v>
      </c>
      <c r="T197" s="4">
        <v>1.0484895833333334E-5</v>
      </c>
      <c r="U197" s="4">
        <v>1.0484895833333334E-5</v>
      </c>
      <c r="V197" s="4">
        <v>0</v>
      </c>
      <c r="W197" s="4">
        <v>0</v>
      </c>
      <c r="X197" s="4">
        <v>2.559548611111111</v>
      </c>
      <c r="Y197" s="4">
        <v>5342.5347222222226</v>
      </c>
      <c r="Z197" s="4">
        <f t="shared" ref="Z197:AA197" si="50">Z196+0.0002</f>
        <v>4.0000000000000002E-4</v>
      </c>
      <c r="AA197" s="4">
        <f t="shared" si="50"/>
        <v>6.0000000000000006E-4</v>
      </c>
      <c r="AB197" s="3">
        <v>2</v>
      </c>
    </row>
    <row r="198" spans="1:28" x14ac:dyDescent="0.25">
      <c r="C198" s="3">
        <v>10</v>
      </c>
      <c r="D198" s="4">
        <v>152911081627.20462</v>
      </c>
      <c r="E198" s="4">
        <v>152911081627.20462</v>
      </c>
      <c r="F198" s="4">
        <v>0.36524457768917762</v>
      </c>
      <c r="G198" s="4">
        <v>0</v>
      </c>
      <c r="H198" s="4">
        <v>55979166666.666664</v>
      </c>
      <c r="I198" s="4">
        <v>52173958333.333336</v>
      </c>
      <c r="J198" s="4">
        <v>52173958333.333336</v>
      </c>
      <c r="K198" s="4">
        <v>-3.4651884069484149E-12</v>
      </c>
      <c r="L198" s="4">
        <v>-3.4651884069484149E-12</v>
      </c>
      <c r="M198" s="4">
        <v>0</v>
      </c>
      <c r="N198" s="4">
        <v>2.0000000000000001E-4</v>
      </c>
      <c r="O198" s="4">
        <v>132.43281024531021</v>
      </c>
      <c r="P198" s="4">
        <v>132.43281024531021</v>
      </c>
      <c r="Q198" s="4">
        <v>7.2852758487654315E-10</v>
      </c>
      <c r="R198" s="4">
        <v>0</v>
      </c>
      <c r="S198" s="4">
        <v>1.5061979166666666E-4</v>
      </c>
      <c r="T198" s="4">
        <v>1.0247395833333334E-5</v>
      </c>
      <c r="U198" s="4">
        <v>1.0247395833333334E-5</v>
      </c>
      <c r="V198" s="4">
        <v>0</v>
      </c>
      <c r="W198" s="4">
        <v>0</v>
      </c>
      <c r="X198" s="4">
        <v>2.5303819444444446</v>
      </c>
      <c r="Y198" s="4">
        <v>5321.7013888888887</v>
      </c>
      <c r="Z198" s="4">
        <f t="shared" ref="Z198:AA198" si="51">Z197+0.0002</f>
        <v>6.0000000000000006E-4</v>
      </c>
      <c r="AA198" s="4">
        <f t="shared" si="51"/>
        <v>8.0000000000000004E-4</v>
      </c>
      <c r="AB198" s="3">
        <v>2</v>
      </c>
    </row>
    <row r="199" spans="1:28" x14ac:dyDescent="0.25">
      <c r="C199" s="3">
        <v>11</v>
      </c>
      <c r="D199" s="4">
        <v>153973289010.0957</v>
      </c>
      <c r="E199" s="4">
        <v>153973289010.0957</v>
      </c>
      <c r="F199" s="4">
        <v>0.36693317738670622</v>
      </c>
      <c r="G199" s="4">
        <v>0</v>
      </c>
      <c r="H199" s="4">
        <v>56312500000</v>
      </c>
      <c r="I199" s="4">
        <v>52190625000</v>
      </c>
      <c r="J199" s="4">
        <v>52190625000</v>
      </c>
      <c r="K199" s="4">
        <v>-1.2474678265014296E-12</v>
      </c>
      <c r="L199" s="4">
        <v>-1.2474678265014296E-12</v>
      </c>
      <c r="M199" s="4">
        <v>0</v>
      </c>
      <c r="N199" s="4">
        <v>2.0000000000000001E-4</v>
      </c>
      <c r="O199" s="4">
        <v>136.27840909090907</v>
      </c>
      <c r="P199" s="4">
        <v>136.27840909090907</v>
      </c>
      <c r="Q199" s="4">
        <v>3.2178993055555557E-10</v>
      </c>
      <c r="R199" s="4">
        <v>0</v>
      </c>
      <c r="S199" s="4">
        <v>1.54703125E-4</v>
      </c>
      <c r="T199" s="4">
        <v>1.00890625E-5</v>
      </c>
      <c r="U199" s="4">
        <v>1.00890625E-5</v>
      </c>
      <c r="V199" s="4">
        <v>0</v>
      </c>
      <c r="W199" s="4">
        <v>0</v>
      </c>
      <c r="X199" s="4">
        <v>2.5109374999999998</v>
      </c>
      <c r="Y199" s="4">
        <v>5307.8125</v>
      </c>
      <c r="Z199" s="4">
        <f t="shared" ref="Z199:AA199" si="52">Z198+0.0002</f>
        <v>8.0000000000000004E-4</v>
      </c>
      <c r="AA199" s="4">
        <f t="shared" si="52"/>
        <v>1E-3</v>
      </c>
      <c r="AB199" s="3">
        <v>2</v>
      </c>
    </row>
    <row r="200" spans="1:28" x14ac:dyDescent="0.25">
      <c r="B200" t="s">
        <v>240</v>
      </c>
      <c r="C200" s="10">
        <v>12</v>
      </c>
      <c r="D200" s="4">
        <v>154504392701.54129</v>
      </c>
      <c r="E200" s="4">
        <v>154504392701.54129</v>
      </c>
      <c r="F200" s="4">
        <v>0.3677774772354705</v>
      </c>
      <c r="G200" s="4">
        <v>0</v>
      </c>
      <c r="H200" s="4">
        <v>56479166666.666664</v>
      </c>
      <c r="I200" s="4">
        <v>52198958333.333336</v>
      </c>
      <c r="J200" s="4">
        <v>52198958333.333336</v>
      </c>
      <c r="K200" s="4">
        <v>-1.3860753627793601E-13</v>
      </c>
      <c r="L200" s="4">
        <v>-1.3860753627793601E-13</v>
      </c>
      <c r="M200" s="4">
        <v>0</v>
      </c>
      <c r="N200" s="4">
        <v>2.0000000000000001E-4</v>
      </c>
      <c r="O200" s="4">
        <v>138.20120851370848</v>
      </c>
      <c r="P200" s="4">
        <v>138.20120851370848</v>
      </c>
      <c r="Q200" s="4">
        <v>1.1842110339506163E-10</v>
      </c>
      <c r="R200" s="4">
        <v>0</v>
      </c>
      <c r="S200" s="4">
        <v>1.5674479166666666E-4</v>
      </c>
      <c r="T200" s="4">
        <v>1.0009895833333335E-5</v>
      </c>
      <c r="U200" s="4">
        <v>1.0009895833333335E-5</v>
      </c>
      <c r="V200" s="4">
        <v>0</v>
      </c>
      <c r="W200" s="4">
        <v>0</v>
      </c>
      <c r="X200" s="4">
        <v>2.5012152777777779</v>
      </c>
      <c r="Y200" s="4">
        <v>5300.8680555555557</v>
      </c>
      <c r="Z200" s="4">
        <f t="shared" ref="Z200:AA200" si="53">Z199+0.0002</f>
        <v>1E-3</v>
      </c>
      <c r="AA200" s="4">
        <f t="shared" si="53"/>
        <v>1.2000000000000001E-3</v>
      </c>
      <c r="AB200" s="3">
        <v>2</v>
      </c>
    </row>
    <row r="201" spans="1:28" x14ac:dyDescent="0.25">
      <c r="C201" s="10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3"/>
    </row>
    <row r="202" spans="1:28" x14ac:dyDescent="0.25"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3"/>
    </row>
    <row r="203" spans="1:28" x14ac:dyDescent="0.25">
      <c r="A203" t="s">
        <v>227</v>
      </c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"/>
    </row>
    <row r="204" spans="1:28" x14ac:dyDescent="0.25">
      <c r="A204" t="s">
        <v>227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3"/>
    </row>
    <row r="205" spans="1:28" x14ac:dyDescent="0.25">
      <c r="A205" t="s">
        <v>227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"/>
    </row>
    <row r="206" spans="1:28" x14ac:dyDescent="0.25">
      <c r="A206" s="14" t="s">
        <v>236</v>
      </c>
      <c r="C206" s="9" t="s">
        <v>27</v>
      </c>
      <c r="D206" s="9" t="s">
        <v>28</v>
      </c>
      <c r="E206" s="9" t="s">
        <v>29</v>
      </c>
      <c r="F206" s="9" t="s">
        <v>30</v>
      </c>
      <c r="G206" s="9" t="s">
        <v>31</v>
      </c>
      <c r="H206" s="9" t="s">
        <v>229</v>
      </c>
      <c r="I206" s="9" t="s">
        <v>33</v>
      </c>
      <c r="J206" s="9" t="s">
        <v>34</v>
      </c>
      <c r="K206" s="9" t="s">
        <v>35</v>
      </c>
      <c r="L206" s="9" t="s">
        <v>36</v>
      </c>
      <c r="M206" s="9" t="s">
        <v>37</v>
      </c>
      <c r="N206" s="9" t="s">
        <v>38</v>
      </c>
      <c r="O206" s="9" t="s">
        <v>39</v>
      </c>
      <c r="P206" s="9" t="s">
        <v>40</v>
      </c>
      <c r="Q206" s="9" t="s">
        <v>41</v>
      </c>
      <c r="R206" s="9" t="s">
        <v>42</v>
      </c>
      <c r="S206" s="9" t="s">
        <v>43</v>
      </c>
      <c r="T206" s="9" t="s">
        <v>230</v>
      </c>
      <c r="U206" s="9" t="s">
        <v>231</v>
      </c>
      <c r="V206" s="9" t="s">
        <v>232</v>
      </c>
      <c r="W206" s="9" t="s">
        <v>233</v>
      </c>
      <c r="X206" s="9" t="s">
        <v>234</v>
      </c>
      <c r="Y206" s="9" t="s">
        <v>49</v>
      </c>
      <c r="Z206" s="9" t="s">
        <v>50</v>
      </c>
      <c r="AA206" s="9" t="s">
        <v>51</v>
      </c>
      <c r="AB206" s="9" t="s">
        <v>52</v>
      </c>
    </row>
    <row r="207" spans="1:28" x14ac:dyDescent="0.25">
      <c r="A207" s="11" t="s">
        <v>235</v>
      </c>
      <c r="B207" t="s">
        <v>75</v>
      </c>
      <c r="C207" s="10">
        <v>1</v>
      </c>
      <c r="D207" s="4">
        <v>105906444289.04208</v>
      </c>
      <c r="E207" s="4">
        <v>105906444289.04208</v>
      </c>
      <c r="F207" s="4">
        <v>0.27830486520092146</v>
      </c>
      <c r="G207" s="4">
        <v>0</v>
      </c>
      <c r="H207" s="4">
        <v>40429166666.666664</v>
      </c>
      <c r="I207" s="4">
        <v>46458958333.333336</v>
      </c>
      <c r="J207" s="4">
        <v>46458958333.333336</v>
      </c>
      <c r="K207" s="4">
        <v>-6.9331489646223914E-11</v>
      </c>
      <c r="L207" s="4">
        <v>-6.9331489646223914E-11</v>
      </c>
      <c r="M207" s="4">
        <v>0</v>
      </c>
      <c r="N207" s="4">
        <v>2.0000000000000001E-4</v>
      </c>
      <c r="O207" s="4">
        <v>4.374368686868646</v>
      </c>
      <c r="P207" s="4">
        <v>4.374368686868646</v>
      </c>
      <c r="Q207" s="4">
        <v>1.279933591820988E-8</v>
      </c>
      <c r="R207" s="4">
        <v>0</v>
      </c>
      <c r="S207" s="4">
        <v>1.3644791666666636E-5</v>
      </c>
      <c r="T207" s="4">
        <v>1.3949895833333333E-5</v>
      </c>
      <c r="U207" s="4">
        <v>1.3949895833333333E-5</v>
      </c>
      <c r="V207" s="4">
        <v>0</v>
      </c>
      <c r="W207" s="4">
        <v>0</v>
      </c>
      <c r="X207" s="4">
        <v>2.8578819444444448</v>
      </c>
      <c r="Y207" s="4">
        <v>5204.2013888888887</v>
      </c>
      <c r="Z207" s="4">
        <v>-1.1999999999999999E-3</v>
      </c>
      <c r="AA207" s="4">
        <v>-1E-3</v>
      </c>
      <c r="AB207" s="3">
        <v>2</v>
      </c>
    </row>
    <row r="208" spans="1:28" x14ac:dyDescent="0.25">
      <c r="C208" s="3">
        <v>2</v>
      </c>
      <c r="D208" s="4">
        <v>111748584894.94308</v>
      </c>
      <c r="E208" s="4">
        <v>111748584894.94308</v>
      </c>
      <c r="F208" s="4">
        <v>0.2875921635373288</v>
      </c>
      <c r="G208" s="4">
        <v>0</v>
      </c>
      <c r="H208" s="4">
        <v>42262500000</v>
      </c>
      <c r="I208" s="4">
        <v>46550625000</v>
      </c>
      <c r="J208" s="4">
        <v>46550625000</v>
      </c>
      <c r="K208" s="4">
        <v>-5.7134026453765478E-11</v>
      </c>
      <c r="L208" s="4">
        <v>-5.7134026453765478E-11</v>
      </c>
      <c r="M208" s="4">
        <v>0</v>
      </c>
      <c r="N208" s="4">
        <v>2.0000000000000001E-4</v>
      </c>
      <c r="O208" s="4">
        <v>25.525162337662334</v>
      </c>
      <c r="P208" s="4">
        <v>25.525162337662334</v>
      </c>
      <c r="Q208" s="4">
        <v>1.0562278819444445E-8</v>
      </c>
      <c r="R208" s="4">
        <v>0</v>
      </c>
      <c r="S208" s="4">
        <v>3.6103125000000005E-5</v>
      </c>
      <c r="T208" s="4">
        <v>1.3079062499999999E-5</v>
      </c>
      <c r="U208" s="4">
        <v>1.3079062499999999E-5</v>
      </c>
      <c r="V208" s="4">
        <v>0</v>
      </c>
      <c r="W208" s="4">
        <v>0</v>
      </c>
      <c r="X208" s="4">
        <v>2.7509375</v>
      </c>
      <c r="Y208" s="4">
        <v>5127.8125</v>
      </c>
      <c r="Z208" s="4">
        <f t="shared" ref="Z208:AA208" si="54">Z207+0.0002</f>
        <v>-9.999999999999998E-4</v>
      </c>
      <c r="AA208" s="4">
        <f t="shared" si="54"/>
        <v>-8.0000000000000004E-4</v>
      </c>
      <c r="AB208" s="3">
        <v>2</v>
      </c>
    </row>
    <row r="209" spans="1:28" x14ac:dyDescent="0.25">
      <c r="C209" s="3">
        <v>3</v>
      </c>
      <c r="D209" s="4">
        <v>117059621809.39851</v>
      </c>
      <c r="E209" s="4">
        <v>117059621809.39851</v>
      </c>
      <c r="F209" s="4">
        <v>0.29603516202497177</v>
      </c>
      <c r="G209" s="4">
        <v>0</v>
      </c>
      <c r="H209" s="4">
        <v>43929166666.666664</v>
      </c>
      <c r="I209" s="4">
        <v>46633958333.333336</v>
      </c>
      <c r="J209" s="4">
        <v>46633958333.333336</v>
      </c>
      <c r="K209" s="4">
        <v>-4.6045423551530564E-11</v>
      </c>
      <c r="L209" s="4">
        <v>-4.6045423551530564E-11</v>
      </c>
      <c r="M209" s="4">
        <v>0</v>
      </c>
      <c r="N209" s="4">
        <v>2.0000000000000001E-4</v>
      </c>
      <c r="O209" s="4">
        <v>44.753156565656539</v>
      </c>
      <c r="P209" s="4">
        <v>44.753156565656539</v>
      </c>
      <c r="Q209" s="4">
        <v>8.5285905478395093E-9</v>
      </c>
      <c r="R209" s="4">
        <v>0</v>
      </c>
      <c r="S209" s="4">
        <v>5.6519791666666635E-5</v>
      </c>
      <c r="T209" s="4">
        <v>1.2287395833333333E-5</v>
      </c>
      <c r="U209" s="4">
        <v>1.2287395833333333E-5</v>
      </c>
      <c r="V209" s="4">
        <v>0</v>
      </c>
      <c r="W209" s="4">
        <v>0</v>
      </c>
      <c r="X209" s="4">
        <v>2.6537152777777777</v>
      </c>
      <c r="Y209" s="4">
        <v>5058.3680555555557</v>
      </c>
      <c r="Z209" s="4">
        <f t="shared" ref="Z209:AA209" si="55">Z208+0.0002</f>
        <v>-7.9999999999999982E-4</v>
      </c>
      <c r="AA209" s="4">
        <f t="shared" si="55"/>
        <v>-6.0000000000000006E-4</v>
      </c>
      <c r="AB209" s="3">
        <v>2</v>
      </c>
    </row>
    <row r="210" spans="1:28" x14ac:dyDescent="0.25">
      <c r="C210" s="3">
        <v>4</v>
      </c>
      <c r="D210" s="4">
        <v>121839555032.40842</v>
      </c>
      <c r="E210" s="4">
        <v>121839555032.40842</v>
      </c>
      <c r="F210" s="4">
        <v>0.30363386066385051</v>
      </c>
      <c r="G210" s="4">
        <v>0</v>
      </c>
      <c r="H210" s="4">
        <v>45429166666.666664</v>
      </c>
      <c r="I210" s="4">
        <v>46708958333.333336</v>
      </c>
      <c r="J210" s="4">
        <v>46708958333.333336</v>
      </c>
      <c r="K210" s="4">
        <v>-3.6065680939519112E-11</v>
      </c>
      <c r="L210" s="4">
        <v>-3.6065680939519112E-11</v>
      </c>
      <c r="M210" s="4">
        <v>0</v>
      </c>
      <c r="N210" s="4">
        <v>2.0000000000000001E-4</v>
      </c>
      <c r="O210" s="4">
        <v>62.058351370851355</v>
      </c>
      <c r="P210" s="4">
        <v>62.058351370851355</v>
      </c>
      <c r="Q210" s="4">
        <v>6.6982711033950638E-9</v>
      </c>
      <c r="R210" s="4">
        <v>0</v>
      </c>
      <c r="S210" s="4">
        <v>7.4894791666666661E-5</v>
      </c>
      <c r="T210" s="4">
        <v>1.1574895833333332E-5</v>
      </c>
      <c r="U210" s="4">
        <v>1.1574895833333332E-5</v>
      </c>
      <c r="V210" s="4">
        <v>0</v>
      </c>
      <c r="W210" s="4">
        <v>0</v>
      </c>
      <c r="X210" s="4">
        <v>2.5662152777777778</v>
      </c>
      <c r="Y210" s="4">
        <v>4995.8680555555557</v>
      </c>
      <c r="Z210" s="4">
        <f t="shared" ref="Z210:AA210" si="56">Z209+0.0002</f>
        <v>-5.9999999999999984E-4</v>
      </c>
      <c r="AA210" s="4">
        <f t="shared" si="56"/>
        <v>-4.0000000000000007E-4</v>
      </c>
      <c r="AB210" s="3">
        <v>2</v>
      </c>
    </row>
    <row r="211" spans="1:28" x14ac:dyDescent="0.25">
      <c r="C211" s="3">
        <v>5</v>
      </c>
      <c r="D211" s="4">
        <v>126088384563.97278</v>
      </c>
      <c r="E211" s="4">
        <v>126088384563.97278</v>
      </c>
      <c r="F211" s="4">
        <v>0.31038825945396492</v>
      </c>
      <c r="G211" s="4">
        <v>0</v>
      </c>
      <c r="H211" s="4">
        <v>46762500000</v>
      </c>
      <c r="I211" s="4">
        <v>46775625000</v>
      </c>
      <c r="J211" s="4">
        <v>46775625000</v>
      </c>
      <c r="K211" s="4">
        <v>-2.7194798617731169E-11</v>
      </c>
      <c r="L211" s="4">
        <v>-2.7194798617731169E-11</v>
      </c>
      <c r="M211" s="4">
        <v>0</v>
      </c>
      <c r="N211" s="4">
        <v>2.0000000000000001E-4</v>
      </c>
      <c r="O211" s="4">
        <v>77.440746753246742</v>
      </c>
      <c r="P211" s="4">
        <v>77.440746753246742</v>
      </c>
      <c r="Q211" s="4">
        <v>5.0713204861111122E-9</v>
      </c>
      <c r="R211" s="4">
        <v>0</v>
      </c>
      <c r="S211" s="4">
        <v>9.1228125000000003E-5</v>
      </c>
      <c r="T211" s="4">
        <v>1.0941562499999999E-5</v>
      </c>
      <c r="U211" s="4">
        <v>1.0941562499999999E-5</v>
      </c>
      <c r="V211" s="4">
        <v>0</v>
      </c>
      <c r="W211" s="4">
        <v>0</v>
      </c>
      <c r="X211" s="4">
        <v>2.4884374999999999</v>
      </c>
      <c r="Y211" s="4">
        <v>4940.3125</v>
      </c>
      <c r="Z211" s="4">
        <f t="shared" ref="Z211:AA211" si="57">Z210+0.0002</f>
        <v>-3.9999999999999986E-4</v>
      </c>
      <c r="AA211" s="4">
        <f t="shared" si="57"/>
        <v>-2.0000000000000006E-4</v>
      </c>
      <c r="AB211" s="3">
        <v>2</v>
      </c>
    </row>
    <row r="212" spans="1:28" x14ac:dyDescent="0.25">
      <c r="C212" s="3">
        <v>6</v>
      </c>
      <c r="D212" s="4">
        <v>129806110404.09158</v>
      </c>
      <c r="E212" s="4">
        <v>129806110404.09158</v>
      </c>
      <c r="F212" s="4">
        <v>0.31629835839531506</v>
      </c>
      <c r="G212" s="4">
        <v>0</v>
      </c>
      <c r="H212" s="4">
        <v>47929166666.666664</v>
      </c>
      <c r="I212" s="4">
        <v>46833958333.333336</v>
      </c>
      <c r="J212" s="4">
        <v>46833958333.333336</v>
      </c>
      <c r="K212" s="4">
        <v>-1.9432776586166711E-11</v>
      </c>
      <c r="L212" s="4">
        <v>-1.9432776586166711E-11</v>
      </c>
      <c r="M212" s="4">
        <v>0</v>
      </c>
      <c r="N212" s="4">
        <v>2.0000000000000001E-4</v>
      </c>
      <c r="O212" s="4">
        <v>90.900342712842701</v>
      </c>
      <c r="P212" s="4">
        <v>90.900342712842701</v>
      </c>
      <c r="Q212" s="4">
        <v>3.6477386959876546E-9</v>
      </c>
      <c r="R212" s="4">
        <v>0</v>
      </c>
      <c r="S212" s="4">
        <v>1.0551979166666666E-4</v>
      </c>
      <c r="T212" s="4">
        <v>1.0387395833333332E-5</v>
      </c>
      <c r="U212" s="4">
        <v>1.0387395833333332E-5</v>
      </c>
      <c r="V212" s="4">
        <v>0</v>
      </c>
      <c r="W212" s="4">
        <v>0</v>
      </c>
      <c r="X212" s="4">
        <v>2.4203819444444443</v>
      </c>
      <c r="Y212" s="4">
        <v>4891.7013888888887</v>
      </c>
      <c r="Z212" s="4">
        <f t="shared" ref="Z212:AA212" si="58">Z211+0.0002</f>
        <v>-1.9999999999999985E-4</v>
      </c>
      <c r="AA212" s="4">
        <f t="shared" si="58"/>
        <v>0</v>
      </c>
      <c r="AB212" s="3">
        <v>2</v>
      </c>
    </row>
    <row r="213" spans="1:28" x14ac:dyDescent="0.25">
      <c r="C213" s="3">
        <v>7</v>
      </c>
      <c r="D213" s="4">
        <v>132992732552.76486</v>
      </c>
      <c r="E213" s="4">
        <v>132992732552.76486</v>
      </c>
      <c r="F213" s="4">
        <v>0.32136415748790087</v>
      </c>
      <c r="G213" s="4">
        <v>0</v>
      </c>
      <c r="H213" s="4">
        <v>48929166666.666664</v>
      </c>
      <c r="I213" s="4">
        <v>46883958333.333336</v>
      </c>
      <c r="J213" s="4">
        <v>46883958333.333336</v>
      </c>
      <c r="K213" s="4">
        <v>-1.2779614844825755E-11</v>
      </c>
      <c r="L213" s="4">
        <v>-1.2779614844825755E-11</v>
      </c>
      <c r="M213" s="4">
        <v>0</v>
      </c>
      <c r="N213" s="4">
        <v>2.0000000000000001E-4</v>
      </c>
      <c r="O213" s="4">
        <v>102.43713924963923</v>
      </c>
      <c r="P213" s="4">
        <v>102.43713924963923</v>
      </c>
      <c r="Q213" s="4">
        <v>2.427525733024691E-9</v>
      </c>
      <c r="R213" s="4">
        <v>0</v>
      </c>
      <c r="S213" s="4">
        <v>1.1776979166666666E-4</v>
      </c>
      <c r="T213" s="4">
        <v>9.9123958333333326E-6</v>
      </c>
      <c r="U213" s="4">
        <v>9.9123958333333326E-6</v>
      </c>
      <c r="V213" s="4">
        <v>0</v>
      </c>
      <c r="W213" s="4">
        <v>0</v>
      </c>
      <c r="X213" s="4">
        <v>2.3620486111111112</v>
      </c>
      <c r="Y213" s="4">
        <v>4850.0347222222226</v>
      </c>
      <c r="Z213" s="4">
        <f t="shared" ref="Z213:AA213" si="59">Z212+0.0002</f>
        <v>0</v>
      </c>
      <c r="AA213" s="4">
        <f t="shared" si="59"/>
        <v>2.0000000000000001E-4</v>
      </c>
      <c r="AB213" s="3">
        <v>2</v>
      </c>
    </row>
    <row r="214" spans="1:28" x14ac:dyDescent="0.25">
      <c r="C214" s="3">
        <v>8</v>
      </c>
      <c r="D214" s="4">
        <v>135648251009.99258</v>
      </c>
      <c r="E214" s="4">
        <v>135648251009.99258</v>
      </c>
      <c r="F214" s="4">
        <v>0.32558565673172235</v>
      </c>
      <c r="G214" s="4">
        <v>0</v>
      </c>
      <c r="H214" s="4">
        <v>49762500000</v>
      </c>
      <c r="I214" s="4">
        <v>46925625000</v>
      </c>
      <c r="J214" s="4">
        <v>46925625000</v>
      </c>
      <c r="K214" s="4">
        <v>-7.2353133937082919E-12</v>
      </c>
      <c r="L214" s="4">
        <v>-7.2353133937082919E-12</v>
      </c>
      <c r="M214" s="4">
        <v>0</v>
      </c>
      <c r="N214" s="4">
        <v>2.0000000000000001E-4</v>
      </c>
      <c r="O214" s="4">
        <v>112.05113636363635</v>
      </c>
      <c r="P214" s="4">
        <v>112.05113636363635</v>
      </c>
      <c r="Q214" s="4">
        <v>1.4106815972222223E-9</v>
      </c>
      <c r="R214" s="4">
        <v>0</v>
      </c>
      <c r="S214" s="4">
        <v>1.2797812499999999E-4</v>
      </c>
      <c r="T214" s="4">
        <v>9.5165625000000004E-6</v>
      </c>
      <c r="U214" s="4">
        <v>9.5165625000000004E-6</v>
      </c>
      <c r="V214" s="4">
        <v>0</v>
      </c>
      <c r="W214" s="4">
        <v>0</v>
      </c>
      <c r="X214" s="4">
        <v>2.3134375</v>
      </c>
      <c r="Y214" s="4">
        <v>4815.3125</v>
      </c>
      <c r="Z214" s="4">
        <f t="shared" ref="Z214:AA214" si="60">Z213+0.0002</f>
        <v>2.0000000000000001E-4</v>
      </c>
      <c r="AA214" s="4">
        <f t="shared" si="60"/>
        <v>4.0000000000000002E-4</v>
      </c>
      <c r="AB214" s="3">
        <v>2</v>
      </c>
    </row>
    <row r="215" spans="1:28" x14ac:dyDescent="0.25">
      <c r="C215" s="3">
        <v>9</v>
      </c>
      <c r="D215" s="4">
        <v>137772665775.77475</v>
      </c>
      <c r="E215" s="4">
        <v>137772665775.77475</v>
      </c>
      <c r="F215" s="4">
        <v>0.32896285612677956</v>
      </c>
      <c r="G215" s="4">
        <v>0</v>
      </c>
      <c r="H215" s="4">
        <v>50429166666.666664</v>
      </c>
      <c r="I215" s="4">
        <v>46958958333.333336</v>
      </c>
      <c r="J215" s="4">
        <v>46958958333.333336</v>
      </c>
      <c r="K215" s="4">
        <v>-2.7998722328143178E-12</v>
      </c>
      <c r="L215" s="4">
        <v>-2.7998722328143178E-12</v>
      </c>
      <c r="M215" s="4">
        <v>0</v>
      </c>
      <c r="N215" s="4">
        <v>2.0000000000000001E-4</v>
      </c>
      <c r="O215" s="4">
        <v>119.74233405483403</v>
      </c>
      <c r="P215" s="4">
        <v>119.74233405483403</v>
      </c>
      <c r="Q215" s="4">
        <v>5.972062885802467E-10</v>
      </c>
      <c r="R215" s="4">
        <v>0</v>
      </c>
      <c r="S215" s="4">
        <v>1.3614479166666667E-4</v>
      </c>
      <c r="T215" s="4">
        <v>9.199895833333334E-6</v>
      </c>
      <c r="U215" s="4">
        <v>9.199895833333334E-6</v>
      </c>
      <c r="V215" s="4">
        <v>0</v>
      </c>
      <c r="W215" s="4">
        <v>0</v>
      </c>
      <c r="X215" s="4">
        <v>2.2745486111111108</v>
      </c>
      <c r="Y215" s="4">
        <v>4787.5347222222226</v>
      </c>
      <c r="Z215" s="4">
        <f t="shared" ref="Z215:AA215" si="61">Z214+0.0002</f>
        <v>4.0000000000000002E-4</v>
      </c>
      <c r="AA215" s="4">
        <f t="shared" si="61"/>
        <v>6.0000000000000006E-4</v>
      </c>
      <c r="AB215" s="3">
        <v>2</v>
      </c>
    </row>
    <row r="216" spans="1:28" x14ac:dyDescent="0.25">
      <c r="C216" s="3">
        <v>10</v>
      </c>
      <c r="D216" s="4">
        <v>139365976850.11139</v>
      </c>
      <c r="E216" s="4">
        <v>139365976850.11139</v>
      </c>
      <c r="F216" s="4">
        <v>0.33149575567307249</v>
      </c>
      <c r="G216" s="4">
        <v>0</v>
      </c>
      <c r="H216" s="4">
        <v>50929166666.666664</v>
      </c>
      <c r="I216" s="4">
        <v>46983958333.333336</v>
      </c>
      <c r="J216" s="4">
        <v>46983958333.333336</v>
      </c>
      <c r="K216" s="4">
        <v>5.2670863785616013E-13</v>
      </c>
      <c r="L216" s="4">
        <v>5.2670863785616013E-13</v>
      </c>
      <c r="M216" s="4">
        <v>0</v>
      </c>
      <c r="N216" s="4">
        <v>2.0000000000000001E-4</v>
      </c>
      <c r="O216" s="4">
        <v>125.51073232323229</v>
      </c>
      <c r="P216" s="4">
        <v>125.51073232323229</v>
      </c>
      <c r="Q216" s="4">
        <v>-1.2900192901234716E-11</v>
      </c>
      <c r="R216" s="4">
        <v>0</v>
      </c>
      <c r="S216" s="4">
        <v>1.4226979166666667E-4</v>
      </c>
      <c r="T216" s="4">
        <v>8.9623958333333333E-6</v>
      </c>
      <c r="U216" s="4">
        <v>8.9623958333333333E-6</v>
      </c>
      <c r="V216" s="4">
        <v>0</v>
      </c>
      <c r="W216" s="4">
        <v>0</v>
      </c>
      <c r="X216" s="4">
        <v>2.2453819444444445</v>
      </c>
      <c r="Y216" s="4">
        <v>4766.7013888888887</v>
      </c>
      <c r="Z216" s="4">
        <f t="shared" ref="Z216:AA216" si="62">Z215+0.0002</f>
        <v>6.0000000000000006E-4</v>
      </c>
      <c r="AA216" s="4">
        <f t="shared" si="62"/>
        <v>8.0000000000000004E-4</v>
      </c>
      <c r="AB216" s="3">
        <v>2</v>
      </c>
    </row>
    <row r="217" spans="1:28" x14ac:dyDescent="0.25">
      <c r="C217" s="3">
        <v>11</v>
      </c>
      <c r="D217" s="4">
        <v>140428184233.00247</v>
      </c>
      <c r="E217" s="4">
        <v>140428184233.00247</v>
      </c>
      <c r="F217" s="4">
        <v>0.33318435537060109</v>
      </c>
      <c r="G217" s="4">
        <v>0</v>
      </c>
      <c r="H217" s="4">
        <v>51262500000</v>
      </c>
      <c r="I217" s="4">
        <v>47000625000</v>
      </c>
      <c r="J217" s="4">
        <v>47000625000</v>
      </c>
      <c r="K217" s="4">
        <v>2.7444292183031452E-12</v>
      </c>
      <c r="L217" s="4">
        <v>2.7444292183031452E-12</v>
      </c>
      <c r="M217" s="4">
        <v>0</v>
      </c>
      <c r="N217" s="4">
        <v>2.0000000000000001E-4</v>
      </c>
      <c r="O217" s="4">
        <v>129.35633116883113</v>
      </c>
      <c r="P217" s="4">
        <v>129.35633116883113</v>
      </c>
      <c r="Q217" s="4">
        <v>-4.1963784722222229E-10</v>
      </c>
      <c r="R217" s="4">
        <v>0</v>
      </c>
      <c r="S217" s="4">
        <v>1.4635312499999999E-4</v>
      </c>
      <c r="T217" s="4">
        <v>8.8040625E-6</v>
      </c>
      <c r="U217" s="4">
        <v>8.8040625E-6</v>
      </c>
      <c r="V217" s="4">
        <v>0</v>
      </c>
      <c r="W217" s="4">
        <v>0</v>
      </c>
      <c r="X217" s="4">
        <v>2.2259374999999997</v>
      </c>
      <c r="Y217" s="4">
        <v>4752.8125</v>
      </c>
      <c r="Z217" s="4">
        <f t="shared" ref="Z217:AA217" si="63">Z216+0.0002</f>
        <v>8.0000000000000004E-4</v>
      </c>
      <c r="AA217" s="4">
        <f t="shared" si="63"/>
        <v>1E-3</v>
      </c>
      <c r="AB217" s="3">
        <v>2</v>
      </c>
    </row>
    <row r="218" spans="1:28" x14ac:dyDescent="0.25">
      <c r="B218" t="s">
        <v>240</v>
      </c>
      <c r="C218" s="10">
        <v>12</v>
      </c>
      <c r="D218" s="4">
        <v>140959287924.44806</v>
      </c>
      <c r="E218" s="4">
        <v>140959287924.44806</v>
      </c>
      <c r="F218" s="4">
        <v>0.33402865521936537</v>
      </c>
      <c r="G218" s="4">
        <v>0</v>
      </c>
      <c r="H218" s="4">
        <v>51429166666.666664</v>
      </c>
      <c r="I218" s="4">
        <v>47008958333.333336</v>
      </c>
      <c r="J218" s="4">
        <v>47008958333.333336</v>
      </c>
      <c r="K218" s="4">
        <v>3.8532895085266389E-12</v>
      </c>
      <c r="L218" s="4">
        <v>3.8532895085266389E-12</v>
      </c>
      <c r="M218" s="4">
        <v>0</v>
      </c>
      <c r="N218" s="4">
        <v>2.0000000000000001E-4</v>
      </c>
      <c r="O218" s="4">
        <v>131.27913059163055</v>
      </c>
      <c r="P218" s="4">
        <v>131.27913059163055</v>
      </c>
      <c r="Q218" s="4">
        <v>-6.2300667438271624E-10</v>
      </c>
      <c r="R218" s="4">
        <v>0</v>
      </c>
      <c r="S218" s="4">
        <v>1.4839479166666667E-4</v>
      </c>
      <c r="T218" s="4">
        <v>8.7248958333333343E-6</v>
      </c>
      <c r="U218" s="4">
        <v>8.7248958333333343E-6</v>
      </c>
      <c r="V218" s="4">
        <v>0</v>
      </c>
      <c r="W218" s="4">
        <v>0</v>
      </c>
      <c r="X218" s="4">
        <v>2.2162152777777777</v>
      </c>
      <c r="Y218" s="4">
        <v>4745.8680555555557</v>
      </c>
      <c r="Z218" s="4">
        <f t="shared" ref="Z218:AA218" si="64">Z217+0.0002</f>
        <v>1E-3</v>
      </c>
      <c r="AA218" s="4">
        <f t="shared" si="64"/>
        <v>1.2000000000000001E-3</v>
      </c>
      <c r="AB218" s="3">
        <v>2</v>
      </c>
    </row>
    <row r="219" spans="1:28" x14ac:dyDescent="0.25">
      <c r="C219" s="10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3"/>
    </row>
    <row r="220" spans="1:28" x14ac:dyDescent="0.25"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3"/>
    </row>
    <row r="221" spans="1:28" x14ac:dyDescent="0.25"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3"/>
    </row>
    <row r="222" spans="1:28" x14ac:dyDescent="0.25">
      <c r="A222" s="14" t="s">
        <v>237</v>
      </c>
      <c r="C222" s="9" t="s">
        <v>27</v>
      </c>
      <c r="D222" s="9" t="s">
        <v>28</v>
      </c>
      <c r="E222" s="9" t="s">
        <v>29</v>
      </c>
      <c r="F222" s="9" t="s">
        <v>30</v>
      </c>
      <c r="G222" s="9" t="s">
        <v>31</v>
      </c>
      <c r="H222" s="9" t="s">
        <v>229</v>
      </c>
      <c r="I222" s="9" t="s">
        <v>33</v>
      </c>
      <c r="J222" s="9" t="s">
        <v>34</v>
      </c>
      <c r="K222" s="9" t="s">
        <v>35</v>
      </c>
      <c r="L222" s="9" t="s">
        <v>36</v>
      </c>
      <c r="M222" s="9" t="s">
        <v>37</v>
      </c>
      <c r="N222" s="9" t="s">
        <v>38</v>
      </c>
      <c r="O222" s="9" t="s">
        <v>39</v>
      </c>
      <c r="P222" s="9" t="s">
        <v>40</v>
      </c>
      <c r="Q222" s="9" t="s">
        <v>41</v>
      </c>
      <c r="R222" s="9" t="s">
        <v>42</v>
      </c>
      <c r="S222" s="9" t="s">
        <v>43</v>
      </c>
      <c r="T222" s="9" t="s">
        <v>230</v>
      </c>
      <c r="U222" s="9" t="s">
        <v>231</v>
      </c>
      <c r="V222" s="9" t="s">
        <v>232</v>
      </c>
      <c r="W222" s="9" t="s">
        <v>233</v>
      </c>
      <c r="X222" s="9" t="s">
        <v>234</v>
      </c>
      <c r="Y222" s="9" t="s">
        <v>49</v>
      </c>
      <c r="Z222" s="9" t="s">
        <v>50</v>
      </c>
      <c r="AA222" s="9" t="s">
        <v>51</v>
      </c>
      <c r="AB222" s="9" t="s">
        <v>52</v>
      </c>
    </row>
    <row r="223" spans="1:28" x14ac:dyDescent="0.25">
      <c r="A223" s="11" t="s">
        <v>235</v>
      </c>
      <c r="B223" t="s">
        <v>75</v>
      </c>
      <c r="C223" s="10">
        <v>1</v>
      </c>
      <c r="D223" s="4">
        <v>92361339511.948853</v>
      </c>
      <c r="E223" s="4">
        <v>92361339511.948853</v>
      </c>
      <c r="F223" s="4">
        <v>0.24455604318481633</v>
      </c>
      <c r="G223" s="4">
        <v>0</v>
      </c>
      <c r="H223" s="4">
        <v>35379166666.666664</v>
      </c>
      <c r="I223" s="4">
        <v>41268958333.333336</v>
      </c>
      <c r="J223" s="4">
        <v>41268958333.333336</v>
      </c>
      <c r="K223" s="4">
        <v>-6.5339592601419346E-11</v>
      </c>
      <c r="L223" s="4">
        <v>-6.5339592601419346E-11</v>
      </c>
      <c r="M223" s="4">
        <v>0</v>
      </c>
      <c r="N223" s="4">
        <v>2.0000000000000001E-4</v>
      </c>
      <c r="O223" s="4">
        <v>-2.5477092352092754</v>
      </c>
      <c r="P223" s="4">
        <v>-2.5477092352092754</v>
      </c>
      <c r="Q223" s="4">
        <v>1.2057908140432104E-8</v>
      </c>
      <c r="R223" s="4">
        <v>0</v>
      </c>
      <c r="S223" s="4">
        <v>5.2947916666666367E-6</v>
      </c>
      <c r="T223" s="4">
        <v>1.2664895833333332E-5</v>
      </c>
      <c r="U223" s="4">
        <v>1.2664895833333332E-5</v>
      </c>
      <c r="V223" s="4">
        <v>0</v>
      </c>
      <c r="W223" s="4">
        <v>0</v>
      </c>
      <c r="X223" s="4">
        <v>2.5728819444444451</v>
      </c>
      <c r="Y223" s="4">
        <v>4649.2013888888887</v>
      </c>
      <c r="Z223" s="4">
        <v>-1.1999999999999999E-3</v>
      </c>
      <c r="AA223" s="4">
        <v>-1E-3</v>
      </c>
      <c r="AB223" s="3">
        <v>2</v>
      </c>
    </row>
    <row r="224" spans="1:28" x14ac:dyDescent="0.25">
      <c r="C224" s="3">
        <v>2</v>
      </c>
      <c r="D224" s="4">
        <v>98203480117.849854</v>
      </c>
      <c r="E224" s="4">
        <v>98203480117.849854</v>
      </c>
      <c r="F224" s="4">
        <v>0.25384334152122368</v>
      </c>
      <c r="G224" s="4">
        <v>0</v>
      </c>
      <c r="H224" s="4">
        <v>37212500000</v>
      </c>
      <c r="I224" s="4">
        <v>41360625000</v>
      </c>
      <c r="J224" s="4">
        <v>41360625000</v>
      </c>
      <c r="K224" s="4">
        <v>-5.3142129408960904E-11</v>
      </c>
      <c r="L224" s="4">
        <v>-5.3142129408960904E-11</v>
      </c>
      <c r="M224" s="4">
        <v>0</v>
      </c>
      <c r="N224" s="4">
        <v>2.0000000000000001E-4</v>
      </c>
      <c r="O224" s="4">
        <v>18.603084415584412</v>
      </c>
      <c r="P224" s="4">
        <v>18.603084415584412</v>
      </c>
      <c r="Q224" s="4">
        <v>9.8208510416666686E-9</v>
      </c>
      <c r="R224" s="4">
        <v>0</v>
      </c>
      <c r="S224" s="4">
        <v>2.7753125000000005E-5</v>
      </c>
      <c r="T224" s="4">
        <v>1.1794062499999999E-5</v>
      </c>
      <c r="U224" s="4">
        <v>1.1794062499999999E-5</v>
      </c>
      <c r="V224" s="4">
        <v>0</v>
      </c>
      <c r="W224" s="4">
        <v>0</v>
      </c>
      <c r="X224" s="4">
        <v>2.4659374999999999</v>
      </c>
      <c r="Y224" s="4">
        <v>4572.8125</v>
      </c>
      <c r="Z224" s="4">
        <f t="shared" ref="Z224:AA224" si="65">Z223+0.0002</f>
        <v>-9.999999999999998E-4</v>
      </c>
      <c r="AA224" s="4">
        <f t="shared" si="65"/>
        <v>-8.0000000000000004E-4</v>
      </c>
      <c r="AB224" s="3">
        <v>2</v>
      </c>
    </row>
    <row r="225" spans="1:28" x14ac:dyDescent="0.25">
      <c r="C225" s="3">
        <v>3</v>
      </c>
      <c r="D225" s="4">
        <v>103514517032.30527</v>
      </c>
      <c r="E225" s="4">
        <v>103514517032.30527</v>
      </c>
      <c r="F225" s="4">
        <v>0.26228634000886664</v>
      </c>
      <c r="G225" s="4">
        <v>0</v>
      </c>
      <c r="H225" s="4">
        <v>38879166666.666664</v>
      </c>
      <c r="I225" s="4">
        <v>41443958333.333336</v>
      </c>
      <c r="J225" s="4">
        <v>41443958333.333336</v>
      </c>
      <c r="K225" s="4">
        <v>-4.2053526506725989E-11</v>
      </c>
      <c r="L225" s="4">
        <v>-4.2053526506725989E-11</v>
      </c>
      <c r="M225" s="4">
        <v>0</v>
      </c>
      <c r="N225" s="4">
        <v>2.0000000000000001E-4</v>
      </c>
      <c r="O225" s="4">
        <v>37.831078643578614</v>
      </c>
      <c r="P225" s="4">
        <v>37.831078643578614</v>
      </c>
      <c r="Q225" s="4">
        <v>7.7871627700617324E-9</v>
      </c>
      <c r="R225" s="4">
        <v>0</v>
      </c>
      <c r="S225" s="4">
        <v>4.8169791666666635E-5</v>
      </c>
      <c r="T225" s="4">
        <v>1.1002395833333332E-5</v>
      </c>
      <c r="U225" s="4">
        <v>1.1002395833333332E-5</v>
      </c>
      <c r="V225" s="4">
        <v>0</v>
      </c>
      <c r="W225" s="4">
        <v>0</v>
      </c>
      <c r="X225" s="4">
        <v>2.3687152777777776</v>
      </c>
      <c r="Y225" s="4">
        <v>4503.3680555555557</v>
      </c>
      <c r="Z225" s="4">
        <f t="shared" ref="Z225:AA225" si="66">Z224+0.0002</f>
        <v>-7.9999999999999982E-4</v>
      </c>
      <c r="AA225" s="4">
        <f t="shared" si="66"/>
        <v>-6.0000000000000006E-4</v>
      </c>
      <c r="AB225" s="3">
        <v>2</v>
      </c>
    </row>
    <row r="226" spans="1:28" x14ac:dyDescent="0.25">
      <c r="C226" s="3">
        <v>4</v>
      </c>
      <c r="D226" s="4">
        <v>108294450255.31519</v>
      </c>
      <c r="E226" s="4">
        <v>108294450255.31519</v>
      </c>
      <c r="F226" s="4">
        <v>0.26988503864774538</v>
      </c>
      <c r="G226" s="4">
        <v>0</v>
      </c>
      <c r="H226" s="4">
        <v>40379166666.666664</v>
      </c>
      <c r="I226" s="4">
        <v>41518958333.333336</v>
      </c>
      <c r="J226" s="4">
        <v>41518958333.333336</v>
      </c>
      <c r="K226" s="4">
        <v>-3.2073783894714538E-11</v>
      </c>
      <c r="L226" s="4">
        <v>-3.2073783894714538E-11</v>
      </c>
      <c r="M226" s="4">
        <v>0</v>
      </c>
      <c r="N226" s="4">
        <v>2.0000000000000001E-4</v>
      </c>
      <c r="O226" s="4">
        <v>55.13627344877343</v>
      </c>
      <c r="P226" s="4">
        <v>55.13627344877343</v>
      </c>
      <c r="Q226" s="4">
        <v>5.9568433256172853E-9</v>
      </c>
      <c r="R226" s="4">
        <v>0</v>
      </c>
      <c r="S226" s="4">
        <v>6.6544791666666662E-5</v>
      </c>
      <c r="T226" s="4">
        <v>1.0289895833333332E-5</v>
      </c>
      <c r="U226" s="4">
        <v>1.0289895833333332E-5</v>
      </c>
      <c r="V226" s="4">
        <v>0</v>
      </c>
      <c r="W226" s="4">
        <v>0</v>
      </c>
      <c r="X226" s="4">
        <v>2.2812152777777781</v>
      </c>
      <c r="Y226" s="4">
        <v>4440.8680555555557</v>
      </c>
      <c r="Z226" s="4">
        <f t="shared" ref="Z226:AA226" si="67">Z225+0.0002</f>
        <v>-5.9999999999999984E-4</v>
      </c>
      <c r="AA226" s="4">
        <f t="shared" si="67"/>
        <v>-4.0000000000000007E-4</v>
      </c>
      <c r="AB226" s="3">
        <v>2</v>
      </c>
    </row>
    <row r="227" spans="1:28" x14ac:dyDescent="0.25">
      <c r="C227" s="3">
        <v>5</v>
      </c>
      <c r="D227" s="4">
        <v>112543279786.87955</v>
      </c>
      <c r="E227" s="4">
        <v>112543279786.87955</v>
      </c>
      <c r="F227" s="4">
        <v>0.27663943743785979</v>
      </c>
      <c r="G227" s="4">
        <v>0</v>
      </c>
      <c r="H227" s="4">
        <v>41712500000</v>
      </c>
      <c r="I227" s="4">
        <v>41585625000</v>
      </c>
      <c r="J227" s="4">
        <v>41585625000</v>
      </c>
      <c r="K227" s="4">
        <v>-2.3202901572926594E-11</v>
      </c>
      <c r="L227" s="4">
        <v>-2.3202901572926594E-11</v>
      </c>
      <c r="M227" s="4">
        <v>0</v>
      </c>
      <c r="N227" s="4">
        <v>2.0000000000000001E-4</v>
      </c>
      <c r="O227" s="4">
        <v>70.51866883116881</v>
      </c>
      <c r="P227" s="4">
        <v>70.51866883116881</v>
      </c>
      <c r="Q227" s="4">
        <v>4.3298927083333337E-9</v>
      </c>
      <c r="R227" s="4">
        <v>0</v>
      </c>
      <c r="S227" s="4">
        <v>8.2878125000000004E-5</v>
      </c>
      <c r="T227" s="4">
        <v>9.6565624999999991E-6</v>
      </c>
      <c r="U227" s="4">
        <v>9.6565624999999991E-6</v>
      </c>
      <c r="V227" s="4">
        <v>0</v>
      </c>
      <c r="W227" s="4">
        <v>0</v>
      </c>
      <c r="X227" s="4">
        <v>2.2034374999999997</v>
      </c>
      <c r="Y227" s="4">
        <v>4385.3125</v>
      </c>
      <c r="Z227" s="4">
        <f t="shared" ref="Z227:AA227" si="68">Z226+0.0002</f>
        <v>-3.9999999999999986E-4</v>
      </c>
      <c r="AA227" s="4">
        <f t="shared" si="68"/>
        <v>-2.0000000000000006E-4</v>
      </c>
      <c r="AB227" s="3">
        <v>2</v>
      </c>
    </row>
    <row r="228" spans="1:28" x14ac:dyDescent="0.25">
      <c r="C228" s="3">
        <v>6</v>
      </c>
      <c r="D228" s="4">
        <v>116261005626.99835</v>
      </c>
      <c r="E228" s="4">
        <v>116261005626.99835</v>
      </c>
      <c r="F228" s="4">
        <v>0.28254953637920993</v>
      </c>
      <c r="G228" s="4">
        <v>0</v>
      </c>
      <c r="H228" s="4">
        <v>42879166666.666664</v>
      </c>
      <c r="I228" s="4">
        <v>41643958333.333336</v>
      </c>
      <c r="J228" s="4">
        <v>41643958333.333336</v>
      </c>
      <c r="K228" s="4">
        <v>-1.5440879541362133E-11</v>
      </c>
      <c r="L228" s="4">
        <v>-1.5440879541362133E-11</v>
      </c>
      <c r="M228" s="4">
        <v>0</v>
      </c>
      <c r="N228" s="4">
        <v>2.0000000000000001E-4</v>
      </c>
      <c r="O228" s="4">
        <v>83.978264790764769</v>
      </c>
      <c r="P228" s="4">
        <v>83.978264790764769</v>
      </c>
      <c r="Q228" s="4">
        <v>2.9063109182098765E-9</v>
      </c>
      <c r="R228" s="4">
        <v>0</v>
      </c>
      <c r="S228" s="4">
        <v>9.7169791666666661E-5</v>
      </c>
      <c r="T228" s="4">
        <v>9.1023958333333319E-6</v>
      </c>
      <c r="U228" s="4">
        <v>9.1023958333333319E-6</v>
      </c>
      <c r="V228" s="4">
        <v>0</v>
      </c>
      <c r="W228" s="4">
        <v>0</v>
      </c>
      <c r="X228" s="4">
        <v>2.1353819444444442</v>
      </c>
      <c r="Y228" s="4">
        <v>4336.7013888888887</v>
      </c>
      <c r="Z228" s="4">
        <f t="shared" ref="Z228:AA228" si="69">Z227+0.0002</f>
        <v>-1.9999999999999985E-4</v>
      </c>
      <c r="AA228" s="4">
        <f t="shared" si="69"/>
        <v>0</v>
      </c>
      <c r="AB228" s="3">
        <v>2</v>
      </c>
    </row>
    <row r="229" spans="1:28" x14ac:dyDescent="0.25">
      <c r="C229" s="3">
        <v>7</v>
      </c>
      <c r="D229" s="4">
        <v>119447627775.67163</v>
      </c>
      <c r="E229" s="4">
        <v>119447627775.67163</v>
      </c>
      <c r="F229" s="4">
        <v>0.28761533547179574</v>
      </c>
      <c r="G229" s="4">
        <v>0</v>
      </c>
      <c r="H229" s="4">
        <v>43879166666.666664</v>
      </c>
      <c r="I229" s="4">
        <v>41693958333.333336</v>
      </c>
      <c r="J229" s="4">
        <v>41693958333.333336</v>
      </c>
      <c r="K229" s="4">
        <v>-8.7877178000211791E-12</v>
      </c>
      <c r="L229" s="4">
        <v>-8.7877178000211791E-12</v>
      </c>
      <c r="M229" s="4">
        <v>0</v>
      </c>
      <c r="N229" s="4">
        <v>2.0000000000000001E-4</v>
      </c>
      <c r="O229" s="4">
        <v>95.515061327561313</v>
      </c>
      <c r="P229" s="4">
        <v>95.515061327561313</v>
      </c>
      <c r="Q229" s="4">
        <v>1.6860979552469133E-9</v>
      </c>
      <c r="R229" s="4">
        <v>0</v>
      </c>
      <c r="S229" s="4">
        <v>1.0941979166666666E-4</v>
      </c>
      <c r="T229" s="4">
        <v>8.6273958333333322E-6</v>
      </c>
      <c r="U229" s="4">
        <v>8.6273958333333322E-6</v>
      </c>
      <c r="V229" s="4">
        <v>0</v>
      </c>
      <c r="W229" s="4">
        <v>0</v>
      </c>
      <c r="X229" s="4">
        <v>2.0770486111111115</v>
      </c>
      <c r="Y229" s="4">
        <v>4295.0347222222226</v>
      </c>
      <c r="Z229" s="4">
        <f t="shared" ref="Z229:AA229" si="70">Z228+0.0002</f>
        <v>0</v>
      </c>
      <c r="AA229" s="4">
        <f t="shared" si="70"/>
        <v>2.0000000000000001E-4</v>
      </c>
      <c r="AB229" s="3">
        <v>2</v>
      </c>
    </row>
    <row r="230" spans="1:28" x14ac:dyDescent="0.25">
      <c r="C230" s="3">
        <v>8</v>
      </c>
      <c r="D230" s="4">
        <v>122103146232.89935</v>
      </c>
      <c r="E230" s="4">
        <v>122103146232.89935</v>
      </c>
      <c r="F230" s="4">
        <v>0.29183683471561722</v>
      </c>
      <c r="G230" s="4">
        <v>0</v>
      </c>
      <c r="H230" s="4">
        <v>44712500000</v>
      </c>
      <c r="I230" s="4">
        <v>41735625000</v>
      </c>
      <c r="J230" s="4">
        <v>41735625000</v>
      </c>
      <c r="K230" s="4">
        <v>-3.2434163489037169E-12</v>
      </c>
      <c r="L230" s="4">
        <v>-3.2434163489037169E-12</v>
      </c>
      <c r="M230" s="4">
        <v>0</v>
      </c>
      <c r="N230" s="4">
        <v>2.0000000000000001E-4</v>
      </c>
      <c r="O230" s="4">
        <v>105.12905844155841</v>
      </c>
      <c r="P230" s="4">
        <v>105.12905844155841</v>
      </c>
      <c r="Q230" s="4">
        <v>6.692538194444444E-10</v>
      </c>
      <c r="R230" s="4">
        <v>0</v>
      </c>
      <c r="S230" s="4">
        <v>1.19628125E-4</v>
      </c>
      <c r="T230" s="4">
        <v>8.2315625E-6</v>
      </c>
      <c r="U230" s="4">
        <v>8.2315625E-6</v>
      </c>
      <c r="V230" s="4">
        <v>0</v>
      </c>
      <c r="W230" s="4">
        <v>0</v>
      </c>
      <c r="X230" s="4">
        <v>2.0284374999999999</v>
      </c>
      <c r="Y230" s="4">
        <v>4260.3125</v>
      </c>
      <c r="Z230" s="4">
        <f t="shared" ref="Z230:AA230" si="71">Z229+0.0002</f>
        <v>2.0000000000000001E-4</v>
      </c>
      <c r="AA230" s="4">
        <f t="shared" si="71"/>
        <v>4.0000000000000002E-4</v>
      </c>
      <c r="AB230" s="3">
        <v>2</v>
      </c>
    </row>
    <row r="231" spans="1:28" x14ac:dyDescent="0.25">
      <c r="C231" s="3">
        <v>9</v>
      </c>
      <c r="D231" s="4">
        <v>124227560998.68152</v>
      </c>
      <c r="E231" s="4">
        <v>124227560998.68152</v>
      </c>
      <c r="F231" s="4">
        <v>0.29521403411067443</v>
      </c>
      <c r="G231" s="4">
        <v>0</v>
      </c>
      <c r="H231" s="4">
        <v>45379166666.666664</v>
      </c>
      <c r="I231" s="4">
        <v>41768958333.333336</v>
      </c>
      <c r="J231" s="4">
        <v>41768958333.333336</v>
      </c>
      <c r="K231" s="4">
        <v>1.1920248119902572E-12</v>
      </c>
      <c r="L231" s="4">
        <v>1.1920248119902572E-12</v>
      </c>
      <c r="M231" s="4">
        <v>0</v>
      </c>
      <c r="N231" s="4">
        <v>2.0000000000000001E-4</v>
      </c>
      <c r="O231" s="4">
        <v>112.8202561327561</v>
      </c>
      <c r="P231" s="4">
        <v>112.8202561327561</v>
      </c>
      <c r="Q231" s="4">
        <v>-1.4422148919753116E-10</v>
      </c>
      <c r="R231" s="4">
        <v>0</v>
      </c>
      <c r="S231" s="4">
        <v>1.2779479166666666E-4</v>
      </c>
      <c r="T231" s="4">
        <v>7.9148958333333336E-6</v>
      </c>
      <c r="U231" s="4">
        <v>7.9148958333333336E-6</v>
      </c>
      <c r="V231" s="4">
        <v>0</v>
      </c>
      <c r="W231" s="4">
        <v>0</v>
      </c>
      <c r="X231" s="4">
        <v>1.9895486111111109</v>
      </c>
      <c r="Y231" s="4">
        <v>4232.5347222222226</v>
      </c>
      <c r="Z231" s="4">
        <f t="shared" ref="Z231:AA231" si="72">Z230+0.0002</f>
        <v>4.0000000000000002E-4</v>
      </c>
      <c r="AA231" s="4">
        <f t="shared" si="72"/>
        <v>6.0000000000000006E-4</v>
      </c>
      <c r="AB231" s="3">
        <v>2</v>
      </c>
    </row>
    <row r="232" spans="1:28" x14ac:dyDescent="0.25">
      <c r="C232" s="3">
        <v>10</v>
      </c>
      <c r="D232" s="4">
        <v>125820872073.01816</v>
      </c>
      <c r="E232" s="4">
        <v>125820872073.01816</v>
      </c>
      <c r="F232" s="4">
        <v>0.29774693365696736</v>
      </c>
      <c r="G232" s="4">
        <v>0</v>
      </c>
      <c r="H232" s="4">
        <v>45879166666.666664</v>
      </c>
      <c r="I232" s="4">
        <v>41793958333.333336</v>
      </c>
      <c r="J232" s="4">
        <v>41793958333.333336</v>
      </c>
      <c r="K232" s="4">
        <v>4.5186056826607351E-12</v>
      </c>
      <c r="L232" s="4">
        <v>4.5186056826607351E-12</v>
      </c>
      <c r="M232" s="4">
        <v>0</v>
      </c>
      <c r="N232" s="4">
        <v>2.0000000000000001E-4</v>
      </c>
      <c r="O232" s="4">
        <v>118.58865440115437</v>
      </c>
      <c r="P232" s="4">
        <v>118.58865440115437</v>
      </c>
      <c r="Q232" s="4">
        <v>-7.5432797067901258E-10</v>
      </c>
      <c r="R232" s="4">
        <v>0</v>
      </c>
      <c r="S232" s="4">
        <v>1.3391979166666666E-4</v>
      </c>
      <c r="T232" s="4">
        <v>7.6773958333333329E-6</v>
      </c>
      <c r="U232" s="4">
        <v>7.6773958333333329E-6</v>
      </c>
      <c r="V232" s="4">
        <v>0</v>
      </c>
      <c r="W232" s="4">
        <v>0</v>
      </c>
      <c r="X232" s="4">
        <v>1.9603819444444446</v>
      </c>
      <c r="Y232" s="4">
        <v>4211.7013888888887</v>
      </c>
      <c r="Z232" s="4">
        <f t="shared" ref="Z232:AA232" si="73">Z231+0.0002</f>
        <v>6.0000000000000006E-4</v>
      </c>
      <c r="AA232" s="4">
        <f t="shared" si="73"/>
        <v>8.0000000000000004E-4</v>
      </c>
      <c r="AB232" s="3">
        <v>2</v>
      </c>
    </row>
    <row r="233" spans="1:28" x14ac:dyDescent="0.25">
      <c r="C233" s="3">
        <v>11</v>
      </c>
      <c r="D233" s="4">
        <v>126883079455.90924</v>
      </c>
      <c r="E233" s="4">
        <v>126883079455.90924</v>
      </c>
      <c r="F233" s="4">
        <v>0.29943553335449596</v>
      </c>
      <c r="G233" s="4">
        <v>0</v>
      </c>
      <c r="H233" s="4">
        <v>46212500000</v>
      </c>
      <c r="I233" s="4">
        <v>41810625000</v>
      </c>
      <c r="J233" s="4">
        <v>41810625000</v>
      </c>
      <c r="K233" s="4">
        <v>6.7363262631077202E-12</v>
      </c>
      <c r="L233" s="4">
        <v>6.7363262631077202E-12</v>
      </c>
      <c r="M233" s="4">
        <v>0</v>
      </c>
      <c r="N233" s="4">
        <v>2.0000000000000001E-4</v>
      </c>
      <c r="O233" s="4">
        <v>122.43425324675323</v>
      </c>
      <c r="P233" s="4">
        <v>122.43425324675323</v>
      </c>
      <c r="Q233" s="4">
        <v>-1.1610656250000003E-9</v>
      </c>
      <c r="R233" s="4">
        <v>0</v>
      </c>
      <c r="S233" s="4">
        <v>1.38003125E-4</v>
      </c>
      <c r="T233" s="4">
        <v>7.5190624999999996E-6</v>
      </c>
      <c r="U233" s="4">
        <v>7.5190624999999996E-6</v>
      </c>
      <c r="V233" s="4">
        <v>0</v>
      </c>
      <c r="W233" s="4">
        <v>0</v>
      </c>
      <c r="X233" s="4">
        <v>1.9409374999999998</v>
      </c>
      <c r="Y233" s="4">
        <v>4197.8125</v>
      </c>
      <c r="Z233" s="4">
        <f t="shared" ref="Z233:AA233" si="74">Z232+0.0002</f>
        <v>8.0000000000000004E-4</v>
      </c>
      <c r="AA233" s="4">
        <f t="shared" si="74"/>
        <v>1E-3</v>
      </c>
      <c r="AB233" s="3">
        <v>2</v>
      </c>
    </row>
    <row r="234" spans="1:28" x14ac:dyDescent="0.25">
      <c r="B234" t="s">
        <v>240</v>
      </c>
      <c r="C234" s="10">
        <v>12</v>
      </c>
      <c r="D234" s="4">
        <v>127414183147.35481</v>
      </c>
      <c r="E234" s="4">
        <v>127414183147.35481</v>
      </c>
      <c r="F234" s="4">
        <v>0.30027983320326024</v>
      </c>
      <c r="G234" s="4">
        <v>0</v>
      </c>
      <c r="H234" s="4">
        <v>46379166666.666664</v>
      </c>
      <c r="I234" s="4">
        <v>41818958333.333336</v>
      </c>
      <c r="J234" s="4">
        <v>41818958333.333336</v>
      </c>
      <c r="K234" s="4">
        <v>7.8451865533312139E-12</v>
      </c>
      <c r="L234" s="4">
        <v>7.8451865533312139E-12</v>
      </c>
      <c r="M234" s="4">
        <v>0</v>
      </c>
      <c r="N234" s="4">
        <v>2.0000000000000001E-4</v>
      </c>
      <c r="O234" s="4">
        <v>124.35705266955264</v>
      </c>
      <c r="P234" s="4">
        <v>124.35705266955264</v>
      </c>
      <c r="Q234" s="4">
        <v>-1.3644344521604942E-9</v>
      </c>
      <c r="R234" s="4">
        <v>0</v>
      </c>
      <c r="S234" s="4">
        <v>1.4004479166666666E-4</v>
      </c>
      <c r="T234" s="4">
        <v>7.4398958333333339E-6</v>
      </c>
      <c r="U234" s="4">
        <v>7.4398958333333339E-6</v>
      </c>
      <c r="V234" s="4">
        <v>0</v>
      </c>
      <c r="W234" s="4">
        <v>0</v>
      </c>
      <c r="X234" s="4">
        <v>1.9312152777777778</v>
      </c>
      <c r="Y234" s="4">
        <v>4190.8680555555557</v>
      </c>
      <c r="Z234" s="4">
        <f t="shared" ref="Z234:AA234" si="75">Z233+0.0002</f>
        <v>1E-3</v>
      </c>
      <c r="AA234" s="4">
        <f t="shared" si="75"/>
        <v>1.2000000000000001E-3</v>
      </c>
      <c r="AB234" s="3">
        <v>2</v>
      </c>
    </row>
    <row r="238" spans="1:28" x14ac:dyDescent="0.25">
      <c r="A238" s="14" t="s">
        <v>238</v>
      </c>
      <c r="C238" s="9" t="s">
        <v>27</v>
      </c>
      <c r="D238" s="9" t="s">
        <v>28</v>
      </c>
      <c r="E238" s="9" t="s">
        <v>29</v>
      </c>
      <c r="F238" s="9" t="s">
        <v>30</v>
      </c>
      <c r="G238" s="9" t="s">
        <v>31</v>
      </c>
      <c r="H238" s="9" t="s">
        <v>229</v>
      </c>
      <c r="I238" s="9" t="s">
        <v>33</v>
      </c>
      <c r="J238" s="9" t="s">
        <v>34</v>
      </c>
      <c r="K238" s="9" t="s">
        <v>35</v>
      </c>
      <c r="L238" s="9" t="s">
        <v>36</v>
      </c>
      <c r="M238" s="9" t="s">
        <v>37</v>
      </c>
      <c r="N238" s="9" t="s">
        <v>38</v>
      </c>
      <c r="O238" s="9" t="s">
        <v>39</v>
      </c>
      <c r="P238" s="9" t="s">
        <v>40</v>
      </c>
      <c r="Q238" s="9" t="s">
        <v>41</v>
      </c>
      <c r="R238" s="9" t="s">
        <v>42</v>
      </c>
      <c r="S238" s="9" t="s">
        <v>43</v>
      </c>
      <c r="T238" s="9" t="s">
        <v>230</v>
      </c>
      <c r="U238" s="9" t="s">
        <v>231</v>
      </c>
      <c r="V238" s="9" t="s">
        <v>232</v>
      </c>
      <c r="W238" s="9" t="s">
        <v>233</v>
      </c>
      <c r="X238" s="9" t="s">
        <v>234</v>
      </c>
      <c r="Y238" s="9" t="s">
        <v>49</v>
      </c>
      <c r="Z238" s="9" t="s">
        <v>50</v>
      </c>
      <c r="AA238" s="9" t="s">
        <v>51</v>
      </c>
      <c r="AB238" s="9" t="s">
        <v>52</v>
      </c>
    </row>
    <row r="239" spans="1:28" x14ac:dyDescent="0.25">
      <c r="A239" s="11" t="s">
        <v>235</v>
      </c>
      <c r="B239" t="s">
        <v>75</v>
      </c>
      <c r="C239" s="10">
        <v>1</v>
      </c>
      <c r="D239" s="4">
        <v>78816234734.855621</v>
      </c>
      <c r="E239" s="4">
        <v>78816234734.855621</v>
      </c>
      <c r="F239" s="4">
        <v>0.21080722116871126</v>
      </c>
      <c r="G239" s="4">
        <v>0</v>
      </c>
      <c r="H239" s="4">
        <v>30329166666.666664</v>
      </c>
      <c r="I239" s="4">
        <v>36078958333.333336</v>
      </c>
      <c r="J239" s="4">
        <v>36078958333.333336</v>
      </c>
      <c r="K239" s="4">
        <v>-6.1347695556614766E-11</v>
      </c>
      <c r="L239" s="4">
        <v>-6.1347695556614766E-11</v>
      </c>
      <c r="M239" s="4">
        <v>0</v>
      </c>
      <c r="N239" s="4">
        <v>2.0000000000000001E-4</v>
      </c>
      <c r="O239" s="4">
        <v>-9.4697871572871932</v>
      </c>
      <c r="P239" s="4">
        <v>-9.4697871572871932</v>
      </c>
      <c r="Q239" s="4">
        <v>1.1316480362654325E-8</v>
      </c>
      <c r="R239" s="4">
        <v>0</v>
      </c>
      <c r="S239" s="4">
        <v>-3.055208333333363E-6</v>
      </c>
      <c r="T239" s="4">
        <v>1.1379895833333333E-5</v>
      </c>
      <c r="U239" s="4">
        <v>1.1379895833333333E-5</v>
      </c>
      <c r="V239" s="4">
        <v>0</v>
      </c>
      <c r="W239" s="4">
        <v>0</v>
      </c>
      <c r="X239" s="4">
        <v>2.2878819444444449</v>
      </c>
      <c r="Y239" s="4">
        <v>4094.2013888888887</v>
      </c>
      <c r="Z239" s="4">
        <v>-1.1999999999999999E-3</v>
      </c>
      <c r="AA239" s="4">
        <v>-1E-3</v>
      </c>
      <c r="AB239" s="3">
        <v>2</v>
      </c>
    </row>
    <row r="240" spans="1:28" x14ac:dyDescent="0.25">
      <c r="C240" s="3">
        <v>2</v>
      </c>
      <c r="D240" s="4">
        <v>84658375340.756622</v>
      </c>
      <c r="E240" s="4">
        <v>84658375340.756622</v>
      </c>
      <c r="F240" s="4">
        <v>0.2200945195051186</v>
      </c>
      <c r="G240" s="4">
        <v>0</v>
      </c>
      <c r="H240" s="4">
        <v>32162500000</v>
      </c>
      <c r="I240" s="4">
        <v>36170625000</v>
      </c>
      <c r="J240" s="4">
        <v>36170625000</v>
      </c>
      <c r="K240" s="4">
        <v>-4.915023236415633E-11</v>
      </c>
      <c r="L240" s="4">
        <v>-4.915023236415633E-11</v>
      </c>
      <c r="M240" s="4">
        <v>0</v>
      </c>
      <c r="N240" s="4">
        <v>2.0000000000000001E-4</v>
      </c>
      <c r="O240" s="4">
        <v>11.681006493506494</v>
      </c>
      <c r="P240" s="4">
        <v>11.681006493506494</v>
      </c>
      <c r="Q240" s="4">
        <v>9.0794232638888901E-9</v>
      </c>
      <c r="R240" s="4">
        <v>0</v>
      </c>
      <c r="S240" s="4">
        <v>1.9403125000000006E-5</v>
      </c>
      <c r="T240" s="4">
        <v>1.0509062499999998E-5</v>
      </c>
      <c r="U240" s="4">
        <v>1.0509062499999998E-5</v>
      </c>
      <c r="V240" s="4">
        <v>0</v>
      </c>
      <c r="W240" s="4">
        <v>0</v>
      </c>
      <c r="X240" s="4">
        <v>2.1809375000000002</v>
      </c>
      <c r="Y240" s="4">
        <v>4017.8125</v>
      </c>
      <c r="Z240" s="4">
        <f t="shared" ref="Z240:AA250" si="76">Z239+0.0002</f>
        <v>-9.999999999999998E-4</v>
      </c>
      <c r="AA240" s="4">
        <f t="shared" si="76"/>
        <v>-8.0000000000000004E-4</v>
      </c>
      <c r="AB240" s="3">
        <v>2</v>
      </c>
    </row>
    <row r="241" spans="1:28" x14ac:dyDescent="0.25">
      <c r="C241" s="3">
        <v>3</v>
      </c>
      <c r="D241" s="4">
        <v>89969412255.212036</v>
      </c>
      <c r="E241" s="4">
        <v>89969412255.212036</v>
      </c>
      <c r="F241" s="4">
        <v>0.22853751799276156</v>
      </c>
      <c r="G241" s="4">
        <v>0</v>
      </c>
      <c r="H241" s="4">
        <v>33829166666.666664</v>
      </c>
      <c r="I241" s="4">
        <v>36253958333.333336</v>
      </c>
      <c r="J241" s="4">
        <v>36253958333.333336</v>
      </c>
      <c r="K241" s="4">
        <v>-3.8061629461921415E-11</v>
      </c>
      <c r="L241" s="4">
        <v>-3.8061629461921415E-11</v>
      </c>
      <c r="M241" s="4">
        <v>0</v>
      </c>
      <c r="N241" s="4">
        <v>2.0000000000000001E-4</v>
      </c>
      <c r="O241" s="4">
        <v>30.909000721500696</v>
      </c>
      <c r="P241" s="4">
        <v>30.909000721500696</v>
      </c>
      <c r="Q241" s="4">
        <v>7.045734992283954E-9</v>
      </c>
      <c r="R241" s="4">
        <v>0</v>
      </c>
      <c r="S241" s="4">
        <v>3.9819791666666636E-5</v>
      </c>
      <c r="T241" s="4">
        <v>9.7173958333333337E-6</v>
      </c>
      <c r="U241" s="4">
        <v>9.7173958333333337E-6</v>
      </c>
      <c r="V241" s="4">
        <v>0</v>
      </c>
      <c r="W241" s="4">
        <v>0</v>
      </c>
      <c r="X241" s="4">
        <v>2.0837152777777779</v>
      </c>
      <c r="Y241" s="4">
        <v>3948.3680555555557</v>
      </c>
      <c r="Z241" s="4">
        <f t="shared" si="76"/>
        <v>-7.9999999999999982E-4</v>
      </c>
      <c r="AA241" s="4">
        <f t="shared" si="76"/>
        <v>-6.0000000000000006E-4</v>
      </c>
      <c r="AB241" s="3">
        <v>2</v>
      </c>
    </row>
    <row r="242" spans="1:28" x14ac:dyDescent="0.25">
      <c r="C242" s="3">
        <v>4</v>
      </c>
      <c r="D242" s="4">
        <v>94749345478.221954</v>
      </c>
      <c r="E242" s="4">
        <v>94749345478.221954</v>
      </c>
      <c r="F242" s="4">
        <v>0.23613621663164031</v>
      </c>
      <c r="G242" s="4">
        <v>0</v>
      </c>
      <c r="H242" s="4">
        <v>35329166666.666664</v>
      </c>
      <c r="I242" s="4">
        <v>36328958333.333336</v>
      </c>
      <c r="J242" s="4">
        <v>36328958333.333336</v>
      </c>
      <c r="K242" s="4">
        <v>-2.8081886849909964E-11</v>
      </c>
      <c r="L242" s="4">
        <v>-2.8081886849909964E-11</v>
      </c>
      <c r="M242" s="4">
        <v>0</v>
      </c>
      <c r="N242" s="4">
        <v>2.0000000000000001E-4</v>
      </c>
      <c r="O242" s="4">
        <v>48.214195526695512</v>
      </c>
      <c r="P242" s="4">
        <v>48.214195526695512</v>
      </c>
      <c r="Q242" s="4">
        <v>5.2154155478395085E-9</v>
      </c>
      <c r="R242" s="4">
        <v>0</v>
      </c>
      <c r="S242" s="4">
        <v>5.8194791666666662E-5</v>
      </c>
      <c r="T242" s="4">
        <v>9.0048958333333333E-6</v>
      </c>
      <c r="U242" s="4">
        <v>9.0048958333333333E-6</v>
      </c>
      <c r="V242" s="4">
        <v>0</v>
      </c>
      <c r="W242" s="4">
        <v>0</v>
      </c>
      <c r="X242" s="4">
        <v>1.996215277777778</v>
      </c>
      <c r="Y242" s="4">
        <v>3885.8680555555557</v>
      </c>
      <c r="Z242" s="4">
        <f t="shared" si="76"/>
        <v>-5.9999999999999984E-4</v>
      </c>
      <c r="AA242" s="4">
        <f t="shared" si="76"/>
        <v>-4.0000000000000007E-4</v>
      </c>
      <c r="AB242" s="3">
        <v>2</v>
      </c>
    </row>
    <row r="243" spans="1:28" x14ac:dyDescent="0.25">
      <c r="C243" s="3">
        <v>5</v>
      </c>
      <c r="D243" s="4">
        <v>98998175009.786316</v>
      </c>
      <c r="E243" s="4">
        <v>98998175009.786316</v>
      </c>
      <c r="F243" s="4">
        <v>0.24289061542175472</v>
      </c>
      <c r="G243" s="4">
        <v>0</v>
      </c>
      <c r="H243" s="4">
        <v>36662500000</v>
      </c>
      <c r="I243" s="4">
        <v>36395625000</v>
      </c>
      <c r="J243" s="4">
        <v>36395625000</v>
      </c>
      <c r="K243" s="4">
        <v>-1.921100452812202E-11</v>
      </c>
      <c r="L243" s="4">
        <v>-1.921100452812202E-11</v>
      </c>
      <c r="M243" s="4">
        <v>0</v>
      </c>
      <c r="N243" s="4">
        <v>2.0000000000000001E-4</v>
      </c>
      <c r="O243" s="4">
        <v>63.596590909090899</v>
      </c>
      <c r="P243" s="4">
        <v>63.596590909090899</v>
      </c>
      <c r="Q243" s="4">
        <v>3.5884649305555565E-9</v>
      </c>
      <c r="R243" s="4">
        <v>0</v>
      </c>
      <c r="S243" s="4">
        <v>7.4528125000000004E-5</v>
      </c>
      <c r="T243" s="4">
        <v>8.3715625000000004E-6</v>
      </c>
      <c r="U243" s="4">
        <v>8.3715625000000004E-6</v>
      </c>
      <c r="V243" s="4">
        <v>0</v>
      </c>
      <c r="W243" s="4">
        <v>0</v>
      </c>
      <c r="X243" s="4">
        <v>1.9184375</v>
      </c>
      <c r="Y243" s="4">
        <v>3830.3125</v>
      </c>
      <c r="Z243" s="4">
        <f t="shared" si="76"/>
        <v>-3.9999999999999986E-4</v>
      </c>
      <c r="AA243" s="4">
        <f t="shared" si="76"/>
        <v>-2.0000000000000006E-4</v>
      </c>
      <c r="AB243" s="3">
        <v>2</v>
      </c>
    </row>
    <row r="244" spans="1:28" x14ac:dyDescent="0.25">
      <c r="C244" s="3">
        <v>6</v>
      </c>
      <c r="D244" s="4">
        <v>102715900849.90512</v>
      </c>
      <c r="E244" s="4">
        <v>102715900849.90512</v>
      </c>
      <c r="F244" s="4">
        <v>0.24880071436310486</v>
      </c>
      <c r="G244" s="4">
        <v>0</v>
      </c>
      <c r="H244" s="4">
        <v>37829166666.666664</v>
      </c>
      <c r="I244" s="4">
        <v>36453958333.333336</v>
      </c>
      <c r="J244" s="4">
        <v>36453958333.333336</v>
      </c>
      <c r="K244" s="4">
        <v>-1.1448982496557561E-11</v>
      </c>
      <c r="L244" s="4">
        <v>-1.1448982496557561E-11</v>
      </c>
      <c r="M244" s="4">
        <v>0</v>
      </c>
      <c r="N244" s="4">
        <v>2.0000000000000001E-4</v>
      </c>
      <c r="O244" s="4">
        <v>77.056186868686865</v>
      </c>
      <c r="P244" s="4">
        <v>77.056186868686865</v>
      </c>
      <c r="Q244" s="4">
        <v>2.1648831404320989E-9</v>
      </c>
      <c r="R244" s="4">
        <v>0</v>
      </c>
      <c r="S244" s="4">
        <v>8.8819791666666661E-5</v>
      </c>
      <c r="T244" s="4">
        <v>7.8173958333333315E-6</v>
      </c>
      <c r="U244" s="4">
        <v>7.8173958333333315E-6</v>
      </c>
      <c r="V244" s="4">
        <v>0</v>
      </c>
      <c r="W244" s="4">
        <v>0</v>
      </c>
      <c r="X244" s="4">
        <v>1.8503819444444445</v>
      </c>
      <c r="Y244" s="4">
        <v>3781.7013888888887</v>
      </c>
      <c r="Z244" s="4">
        <f t="shared" si="76"/>
        <v>-1.9999999999999985E-4</v>
      </c>
      <c r="AA244" s="4">
        <f t="shared" si="76"/>
        <v>0</v>
      </c>
      <c r="AB244" s="3">
        <v>2</v>
      </c>
    </row>
    <row r="245" spans="1:28" x14ac:dyDescent="0.25">
      <c r="C245" s="3">
        <v>7</v>
      </c>
      <c r="D245" s="4">
        <v>105902522998.5784</v>
      </c>
      <c r="E245" s="4">
        <v>105902522998.5784</v>
      </c>
      <c r="F245" s="4">
        <v>0.25386651345569067</v>
      </c>
      <c r="G245" s="4">
        <v>0</v>
      </c>
      <c r="H245" s="4">
        <v>38829166666.666664</v>
      </c>
      <c r="I245" s="4">
        <v>36503958333.333336</v>
      </c>
      <c r="J245" s="4">
        <v>36503958333.333336</v>
      </c>
      <c r="K245" s="4">
        <v>-4.7958207552166049E-12</v>
      </c>
      <c r="L245" s="4">
        <v>-4.7958207552166049E-12</v>
      </c>
      <c r="M245" s="4">
        <v>0</v>
      </c>
      <c r="N245" s="4">
        <v>2.0000000000000001E-4</v>
      </c>
      <c r="O245" s="4">
        <v>88.59298340548338</v>
      </c>
      <c r="P245" s="4">
        <v>88.59298340548338</v>
      </c>
      <c r="Q245" s="4">
        <v>9.4467017746913564E-10</v>
      </c>
      <c r="R245" s="4">
        <v>0</v>
      </c>
      <c r="S245" s="4">
        <v>1.0106979166666666E-4</v>
      </c>
      <c r="T245" s="4">
        <v>7.3423958333333327E-6</v>
      </c>
      <c r="U245" s="4">
        <v>7.3423958333333327E-6</v>
      </c>
      <c r="V245" s="4">
        <v>0</v>
      </c>
      <c r="W245" s="4">
        <v>0</v>
      </c>
      <c r="X245" s="4">
        <v>1.7920486111111114</v>
      </c>
      <c r="Y245" s="4">
        <v>3740.0347222222226</v>
      </c>
      <c r="Z245" s="4">
        <f t="shared" si="76"/>
        <v>0</v>
      </c>
      <c r="AA245" s="4">
        <f t="shared" si="76"/>
        <v>2.0000000000000001E-4</v>
      </c>
      <c r="AB245" s="3">
        <v>2</v>
      </c>
    </row>
    <row r="246" spans="1:28" x14ac:dyDescent="0.25">
      <c r="C246" s="3">
        <v>8</v>
      </c>
      <c r="D246" s="4">
        <v>108558041455.80612</v>
      </c>
      <c r="E246" s="4">
        <v>108558041455.80612</v>
      </c>
      <c r="F246" s="4">
        <v>0.25808801269951215</v>
      </c>
      <c r="G246" s="4">
        <v>0</v>
      </c>
      <c r="H246" s="4">
        <v>39662500000</v>
      </c>
      <c r="I246" s="4">
        <v>36545625000</v>
      </c>
      <c r="J246" s="4">
        <v>36545625000</v>
      </c>
      <c r="K246" s="4">
        <v>7.4848069590085726E-13</v>
      </c>
      <c r="L246" s="4">
        <v>7.4848069590085726E-13</v>
      </c>
      <c r="M246" s="4">
        <v>0</v>
      </c>
      <c r="N246" s="4">
        <v>2.0000000000000001E-4</v>
      </c>
      <c r="O246" s="4">
        <v>98.20698051948051</v>
      </c>
      <c r="P246" s="4">
        <v>98.20698051948051</v>
      </c>
      <c r="Q246" s="4">
        <v>-7.2173958333333254E-11</v>
      </c>
      <c r="R246" s="4">
        <v>0</v>
      </c>
      <c r="S246" s="4">
        <v>1.11278125E-4</v>
      </c>
      <c r="T246" s="4">
        <v>6.9465625000000005E-6</v>
      </c>
      <c r="U246" s="4">
        <v>6.9465625000000005E-6</v>
      </c>
      <c r="V246" s="4">
        <v>0</v>
      </c>
      <c r="W246" s="4">
        <v>0</v>
      </c>
      <c r="X246" s="4">
        <v>1.7434375000000002</v>
      </c>
      <c r="Y246" s="4">
        <v>3705.3125</v>
      </c>
      <c r="Z246" s="4">
        <f t="shared" si="76"/>
        <v>2.0000000000000001E-4</v>
      </c>
      <c r="AA246" s="4">
        <f t="shared" si="76"/>
        <v>4.0000000000000002E-4</v>
      </c>
      <c r="AB246" s="3">
        <v>2</v>
      </c>
    </row>
    <row r="247" spans="1:28" x14ac:dyDescent="0.25">
      <c r="C247" s="3">
        <v>9</v>
      </c>
      <c r="D247" s="4">
        <v>110682456221.58829</v>
      </c>
      <c r="E247" s="4">
        <v>110682456221.58829</v>
      </c>
      <c r="F247" s="4">
        <v>0.26146521209456935</v>
      </c>
      <c r="G247" s="4">
        <v>0</v>
      </c>
      <c r="H247" s="4">
        <v>40329166666.666664</v>
      </c>
      <c r="I247" s="4">
        <v>36578958333.333336</v>
      </c>
      <c r="J247" s="4">
        <v>36578958333.333336</v>
      </c>
      <c r="K247" s="4">
        <v>5.1839218567948314E-12</v>
      </c>
      <c r="L247" s="4">
        <v>5.1839218567948314E-12</v>
      </c>
      <c r="M247" s="4">
        <v>0</v>
      </c>
      <c r="N247" s="4">
        <v>2.0000000000000001E-4</v>
      </c>
      <c r="O247" s="4">
        <v>105.8981782106782</v>
      </c>
      <c r="P247" s="4">
        <v>105.8981782106782</v>
      </c>
      <c r="Q247" s="4">
        <v>-8.8564926697530882E-10</v>
      </c>
      <c r="R247" s="4">
        <v>0</v>
      </c>
      <c r="S247" s="4">
        <v>1.1944479166666666E-4</v>
      </c>
      <c r="T247" s="4">
        <v>6.629895833333334E-6</v>
      </c>
      <c r="U247" s="4">
        <v>6.629895833333334E-6</v>
      </c>
      <c r="V247" s="4">
        <v>0</v>
      </c>
      <c r="W247" s="4">
        <v>0</v>
      </c>
      <c r="X247" s="4">
        <v>1.704548611111111</v>
      </c>
      <c r="Y247" s="4">
        <v>3677.5347222222226</v>
      </c>
      <c r="Z247" s="4">
        <f t="shared" si="76"/>
        <v>4.0000000000000002E-4</v>
      </c>
      <c r="AA247" s="4">
        <f t="shared" si="76"/>
        <v>6.0000000000000006E-4</v>
      </c>
      <c r="AB247" s="3">
        <v>2</v>
      </c>
    </row>
    <row r="248" spans="1:28" x14ac:dyDescent="0.25">
      <c r="C248" s="3">
        <v>10</v>
      </c>
      <c r="D248" s="4">
        <v>112275767295.92493</v>
      </c>
      <c r="E248" s="4">
        <v>112275767295.92493</v>
      </c>
      <c r="F248" s="4">
        <v>0.26399811164086229</v>
      </c>
      <c r="G248" s="4">
        <v>0</v>
      </c>
      <c r="H248" s="4">
        <v>40829166666.666664</v>
      </c>
      <c r="I248" s="4">
        <v>36603958333.333336</v>
      </c>
      <c r="J248" s="4">
        <v>36603958333.333336</v>
      </c>
      <c r="K248" s="4">
        <v>8.5105027274653085E-12</v>
      </c>
      <c r="L248" s="4">
        <v>8.5105027274653085E-12</v>
      </c>
      <c r="M248" s="4">
        <v>0</v>
      </c>
      <c r="N248" s="4">
        <v>2.0000000000000001E-4</v>
      </c>
      <c r="O248" s="4">
        <v>111.66657647907644</v>
      </c>
      <c r="P248" s="4">
        <v>111.66657647907644</v>
      </c>
      <c r="Q248" s="4">
        <v>-1.4957557484567902E-9</v>
      </c>
      <c r="R248" s="4">
        <v>0</v>
      </c>
      <c r="S248" s="4">
        <v>1.2556979166666665E-4</v>
      </c>
      <c r="T248" s="4">
        <v>6.3923958333333333E-6</v>
      </c>
      <c r="U248" s="4">
        <v>6.3923958333333333E-6</v>
      </c>
      <c r="V248" s="4">
        <v>0</v>
      </c>
      <c r="W248" s="4">
        <v>0</v>
      </c>
      <c r="X248" s="4">
        <v>1.6753819444444447</v>
      </c>
      <c r="Y248" s="4">
        <v>3656.7013888888887</v>
      </c>
      <c r="Z248" s="4">
        <f t="shared" si="76"/>
        <v>6.0000000000000006E-4</v>
      </c>
      <c r="AA248" s="4">
        <f t="shared" si="76"/>
        <v>8.0000000000000004E-4</v>
      </c>
      <c r="AB248" s="3">
        <v>2</v>
      </c>
    </row>
    <row r="249" spans="1:28" x14ac:dyDescent="0.25">
      <c r="C249" s="3">
        <v>11</v>
      </c>
      <c r="D249" s="4">
        <v>113337974678.81601</v>
      </c>
      <c r="E249" s="4">
        <v>113337974678.81601</v>
      </c>
      <c r="F249" s="4">
        <v>0.26568671133839089</v>
      </c>
      <c r="G249" s="4">
        <v>0</v>
      </c>
      <c r="H249" s="4">
        <v>41162500000</v>
      </c>
      <c r="I249" s="4">
        <v>36620625000</v>
      </c>
      <c r="J249" s="4">
        <v>36620625000</v>
      </c>
      <c r="K249" s="4">
        <v>1.0728223307912294E-11</v>
      </c>
      <c r="L249" s="4">
        <v>1.0728223307912294E-11</v>
      </c>
      <c r="M249" s="4">
        <v>0</v>
      </c>
      <c r="N249" s="4">
        <v>2.0000000000000001E-4</v>
      </c>
      <c r="O249" s="4">
        <v>115.5121753246753</v>
      </c>
      <c r="P249" s="4">
        <v>115.5121753246753</v>
      </c>
      <c r="Q249" s="4">
        <v>-1.9024934027777779E-9</v>
      </c>
      <c r="R249" s="4">
        <v>0</v>
      </c>
      <c r="S249" s="4">
        <v>1.2965312500000002E-4</v>
      </c>
      <c r="T249" s="4">
        <v>6.2340625000000001E-6</v>
      </c>
      <c r="U249" s="4">
        <v>6.2340625000000001E-6</v>
      </c>
      <c r="V249" s="4">
        <v>0</v>
      </c>
      <c r="W249" s="4">
        <v>0</v>
      </c>
      <c r="X249" s="4">
        <v>1.6559374999999998</v>
      </c>
      <c r="Y249" s="4">
        <v>3642.8125</v>
      </c>
      <c r="Z249" s="4">
        <f t="shared" si="76"/>
        <v>8.0000000000000004E-4</v>
      </c>
      <c r="AA249" s="4">
        <f t="shared" si="76"/>
        <v>1E-3</v>
      </c>
      <c r="AB249" s="3">
        <v>2</v>
      </c>
    </row>
    <row r="250" spans="1:28" x14ac:dyDescent="0.25">
      <c r="B250" t="s">
        <v>240</v>
      </c>
      <c r="C250" s="10">
        <v>12</v>
      </c>
      <c r="D250" s="4">
        <v>113869078370.26158</v>
      </c>
      <c r="E250" s="4">
        <v>113869078370.26158</v>
      </c>
      <c r="F250" s="4">
        <v>0.26653101118715516</v>
      </c>
      <c r="G250" s="4">
        <v>0</v>
      </c>
      <c r="H250" s="4">
        <v>41329166666.666664</v>
      </c>
      <c r="I250" s="4">
        <v>36628958333.333336</v>
      </c>
      <c r="J250" s="4">
        <v>36628958333.333336</v>
      </c>
      <c r="K250" s="4">
        <v>1.1837083598135788E-11</v>
      </c>
      <c r="L250" s="4">
        <v>1.1837083598135788E-11</v>
      </c>
      <c r="M250" s="4">
        <v>0</v>
      </c>
      <c r="N250" s="4">
        <v>2.0000000000000001E-4</v>
      </c>
      <c r="O250" s="4">
        <v>117.43497474747471</v>
      </c>
      <c r="P250" s="4">
        <v>117.43497474747471</v>
      </c>
      <c r="Q250" s="4">
        <v>-2.1058622299382719E-9</v>
      </c>
      <c r="R250" s="4">
        <v>0</v>
      </c>
      <c r="S250" s="4">
        <v>1.3169479166666665E-4</v>
      </c>
      <c r="T250" s="4">
        <v>6.1548958333333343E-6</v>
      </c>
      <c r="U250" s="4">
        <v>6.1548958333333343E-6</v>
      </c>
      <c r="V250" s="4">
        <v>0</v>
      </c>
      <c r="W250" s="4">
        <v>0</v>
      </c>
      <c r="X250" s="4">
        <v>1.6462152777777779</v>
      </c>
      <c r="Y250" s="4">
        <v>3635.8680555555557</v>
      </c>
      <c r="Z250" s="4">
        <f t="shared" si="76"/>
        <v>1E-3</v>
      </c>
      <c r="AA250" s="4">
        <f t="shared" si="76"/>
        <v>1.2000000000000001E-3</v>
      </c>
      <c r="AB250" s="3">
        <v>2</v>
      </c>
    </row>
    <row r="251" spans="1:28" x14ac:dyDescent="0.25">
      <c r="C251" s="10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3"/>
    </row>
    <row r="252" spans="1:28" x14ac:dyDescent="0.25"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3"/>
    </row>
    <row r="253" spans="1:28" x14ac:dyDescent="0.25">
      <c r="A253" s="14" t="s">
        <v>239</v>
      </c>
      <c r="C253" s="9" t="s">
        <v>27</v>
      </c>
      <c r="D253" s="9" t="s">
        <v>28</v>
      </c>
      <c r="E253" s="9" t="s">
        <v>29</v>
      </c>
      <c r="F253" s="9" t="s">
        <v>30</v>
      </c>
      <c r="G253" s="9" t="s">
        <v>31</v>
      </c>
      <c r="H253" s="9" t="s">
        <v>229</v>
      </c>
      <c r="I253" s="9" t="s">
        <v>33</v>
      </c>
      <c r="J253" s="9" t="s">
        <v>34</v>
      </c>
      <c r="K253" s="9" t="s">
        <v>35</v>
      </c>
      <c r="L253" s="9" t="s">
        <v>36</v>
      </c>
      <c r="M253" s="9" t="s">
        <v>37</v>
      </c>
      <c r="N253" s="9" t="s">
        <v>38</v>
      </c>
      <c r="O253" s="9" t="s">
        <v>39</v>
      </c>
      <c r="P253" s="9" t="s">
        <v>40</v>
      </c>
      <c r="Q253" s="9" t="s">
        <v>41</v>
      </c>
      <c r="R253" s="9" t="s">
        <v>42</v>
      </c>
      <c r="S253" s="9" t="s">
        <v>43</v>
      </c>
      <c r="T253" s="9" t="s">
        <v>230</v>
      </c>
      <c r="U253" s="9" t="s">
        <v>231</v>
      </c>
      <c r="V253" s="9" t="s">
        <v>232</v>
      </c>
      <c r="W253" s="9" t="s">
        <v>233</v>
      </c>
      <c r="X253" s="9" t="s">
        <v>234</v>
      </c>
      <c r="Y253" s="9" t="s">
        <v>49</v>
      </c>
      <c r="Z253" s="9" t="s">
        <v>50</v>
      </c>
      <c r="AA253" s="9" t="s">
        <v>51</v>
      </c>
      <c r="AB253" s="9" t="s">
        <v>52</v>
      </c>
    </row>
    <row r="254" spans="1:28" x14ac:dyDescent="0.25">
      <c r="A254" s="11" t="s">
        <v>235</v>
      </c>
      <c r="B254" t="s">
        <v>75</v>
      </c>
      <c r="C254" s="10">
        <v>1</v>
      </c>
      <c r="D254" s="4">
        <v>65271129957.762375</v>
      </c>
      <c r="E254" s="4">
        <v>65271129957.762375</v>
      </c>
      <c r="F254" s="4">
        <v>0.1770583991526061</v>
      </c>
      <c r="G254" s="4">
        <v>0</v>
      </c>
      <c r="H254" s="4">
        <v>25279166666.666664</v>
      </c>
      <c r="I254" s="4">
        <v>30888958333.333336</v>
      </c>
      <c r="J254" s="4">
        <v>30888958333.333336</v>
      </c>
      <c r="K254" s="4">
        <v>-5.7355798511810198E-11</v>
      </c>
      <c r="L254" s="4">
        <v>-5.7355798511810198E-11</v>
      </c>
      <c r="M254" s="4">
        <v>0</v>
      </c>
      <c r="N254" s="4">
        <v>2.0000000000000001E-4</v>
      </c>
      <c r="O254" s="4">
        <v>-16.391865079365118</v>
      </c>
      <c r="P254" s="4">
        <v>-16.391865079365118</v>
      </c>
      <c r="Q254" s="4">
        <v>1.0575052584876548E-8</v>
      </c>
      <c r="R254" s="4">
        <v>0</v>
      </c>
      <c r="S254" s="4">
        <v>-1.1405208333333363E-5</v>
      </c>
      <c r="T254" s="4">
        <v>1.0094895833333331E-5</v>
      </c>
      <c r="U254" s="4">
        <v>1.0094895833333331E-5</v>
      </c>
      <c r="V254" s="4">
        <v>0</v>
      </c>
      <c r="W254" s="4">
        <v>0</v>
      </c>
      <c r="X254" s="4">
        <v>2.0028819444444448</v>
      </c>
      <c r="Y254" s="4">
        <v>3539.2013888888887</v>
      </c>
      <c r="Z254" s="4">
        <v>-1.1999999999999999E-3</v>
      </c>
      <c r="AA254" s="4">
        <v>-1E-3</v>
      </c>
      <c r="AB254" s="3">
        <v>2</v>
      </c>
    </row>
    <row r="255" spans="1:28" x14ac:dyDescent="0.25">
      <c r="C255" s="3">
        <v>2</v>
      </c>
      <c r="D255" s="4">
        <v>71113270563.663376</v>
      </c>
      <c r="E255" s="4">
        <v>71113270563.663376</v>
      </c>
      <c r="F255" s="4">
        <v>0.18634569748901345</v>
      </c>
      <c r="G255" s="4">
        <v>0</v>
      </c>
      <c r="H255" s="4">
        <v>27112500000</v>
      </c>
      <c r="I255" s="4">
        <v>30980625000</v>
      </c>
      <c r="J255" s="4">
        <v>30980625000</v>
      </c>
      <c r="K255" s="4">
        <v>-4.5158335319351756E-11</v>
      </c>
      <c r="L255" s="4">
        <v>-4.5158335319351756E-11</v>
      </c>
      <c r="M255" s="4">
        <v>0</v>
      </c>
      <c r="N255" s="4">
        <v>2.0000000000000001E-4</v>
      </c>
      <c r="O255" s="4">
        <v>4.7589285714285694</v>
      </c>
      <c r="P255" s="4">
        <v>4.7589285714285694</v>
      </c>
      <c r="Q255" s="4">
        <v>8.3379954861111133E-9</v>
      </c>
      <c r="R255" s="4">
        <v>0</v>
      </c>
      <c r="S255" s="4">
        <v>1.1053125000000006E-5</v>
      </c>
      <c r="T255" s="4">
        <v>9.2240624999999994E-6</v>
      </c>
      <c r="U255" s="4">
        <v>9.2240624999999994E-6</v>
      </c>
      <c r="V255" s="4">
        <v>0</v>
      </c>
      <c r="W255" s="4">
        <v>0</v>
      </c>
      <c r="X255" s="4">
        <v>1.8959375000000001</v>
      </c>
      <c r="Y255" s="4">
        <v>3462.8125</v>
      </c>
      <c r="Z255" s="4">
        <f t="shared" ref="Z255:AA255" si="77">Z254+0.0002</f>
        <v>-9.999999999999998E-4</v>
      </c>
      <c r="AA255" s="4">
        <f t="shared" si="77"/>
        <v>-8.0000000000000004E-4</v>
      </c>
      <c r="AB255" s="3">
        <v>2</v>
      </c>
    </row>
    <row r="256" spans="1:28" x14ac:dyDescent="0.25">
      <c r="C256" s="3">
        <v>3</v>
      </c>
      <c r="D256" s="4">
        <v>76424307478.118805</v>
      </c>
      <c r="E256" s="4">
        <v>76424307478.118805</v>
      </c>
      <c r="F256" s="4">
        <v>0.19478869597665641</v>
      </c>
      <c r="G256" s="4">
        <v>0</v>
      </c>
      <c r="H256" s="4">
        <v>28779166666.666664</v>
      </c>
      <c r="I256" s="4">
        <v>31063958333.333336</v>
      </c>
      <c r="J256" s="4">
        <v>31063958333.333336</v>
      </c>
      <c r="K256" s="4">
        <v>-3.4069732417116841E-11</v>
      </c>
      <c r="L256" s="4">
        <v>-3.4069732417116841E-11</v>
      </c>
      <c r="M256" s="4">
        <v>0</v>
      </c>
      <c r="N256" s="4">
        <v>2.0000000000000001E-4</v>
      </c>
      <c r="O256" s="4">
        <v>23.986922799422771</v>
      </c>
      <c r="P256" s="4">
        <v>23.986922799422771</v>
      </c>
      <c r="Q256" s="4">
        <v>6.3043072145061763E-9</v>
      </c>
      <c r="R256" s="4">
        <v>0</v>
      </c>
      <c r="S256" s="4">
        <v>3.1469791666666636E-5</v>
      </c>
      <c r="T256" s="4">
        <v>8.4323958333333316E-6</v>
      </c>
      <c r="U256" s="4">
        <v>8.4323958333333316E-6</v>
      </c>
      <c r="V256" s="4">
        <v>0</v>
      </c>
      <c r="W256" s="4">
        <v>0</v>
      </c>
      <c r="X256" s="4">
        <v>1.7987152777777777</v>
      </c>
      <c r="Y256" s="4">
        <v>3393.3680555555557</v>
      </c>
      <c r="Z256" s="4">
        <f t="shared" ref="Z256:AA256" si="78">Z255+0.0002</f>
        <v>-7.9999999999999982E-4</v>
      </c>
      <c r="AA256" s="4">
        <f t="shared" si="78"/>
        <v>-6.0000000000000006E-4</v>
      </c>
      <c r="AB256" s="3">
        <v>2</v>
      </c>
    </row>
    <row r="257" spans="2:28" x14ac:dyDescent="0.25">
      <c r="C257" s="3">
        <v>4</v>
      </c>
      <c r="D257" s="4">
        <v>81204240701.128708</v>
      </c>
      <c r="E257" s="4">
        <v>81204240701.128708</v>
      </c>
      <c r="F257" s="4">
        <v>0.20238739461553515</v>
      </c>
      <c r="G257" s="4">
        <v>0</v>
      </c>
      <c r="H257" s="4">
        <v>30279166666.666664</v>
      </c>
      <c r="I257" s="4">
        <v>31138958333.333336</v>
      </c>
      <c r="J257" s="4">
        <v>31138958333.333336</v>
      </c>
      <c r="K257" s="4">
        <v>-2.4089989805105386E-11</v>
      </c>
      <c r="L257" s="4">
        <v>-2.4089989805105386E-11</v>
      </c>
      <c r="M257" s="4">
        <v>0</v>
      </c>
      <c r="N257" s="4">
        <v>2.0000000000000001E-4</v>
      </c>
      <c r="O257" s="4">
        <v>41.292117604617587</v>
      </c>
      <c r="P257" s="4">
        <v>41.292117604617587</v>
      </c>
      <c r="Q257" s="4">
        <v>4.47398777006173E-9</v>
      </c>
      <c r="R257" s="4">
        <v>0</v>
      </c>
      <c r="S257" s="4">
        <v>4.9844791666666662E-5</v>
      </c>
      <c r="T257" s="4">
        <v>7.7198958333333312E-6</v>
      </c>
      <c r="U257" s="4">
        <v>7.7198958333333312E-6</v>
      </c>
      <c r="V257" s="4">
        <v>0</v>
      </c>
      <c r="W257" s="4">
        <v>0</v>
      </c>
      <c r="X257" s="4">
        <v>1.7112152777777778</v>
      </c>
      <c r="Y257" s="4">
        <v>3330.8680555555557</v>
      </c>
      <c r="Z257" s="4">
        <f t="shared" ref="Z257:AA257" si="79">Z256+0.0002</f>
        <v>-5.9999999999999984E-4</v>
      </c>
      <c r="AA257" s="4">
        <f t="shared" si="79"/>
        <v>-4.0000000000000007E-4</v>
      </c>
      <c r="AB257" s="3">
        <v>2</v>
      </c>
    </row>
    <row r="258" spans="2:28" x14ac:dyDescent="0.25">
      <c r="C258" s="3">
        <v>5</v>
      </c>
      <c r="D258" s="4">
        <v>85453070232.693069</v>
      </c>
      <c r="E258" s="4">
        <v>85453070232.693069</v>
      </c>
      <c r="F258" s="4">
        <v>0.20914179340564956</v>
      </c>
      <c r="G258" s="4">
        <v>0</v>
      </c>
      <c r="H258" s="4">
        <v>31612500000</v>
      </c>
      <c r="I258" s="4">
        <v>31205625000</v>
      </c>
      <c r="J258" s="4">
        <v>31205625000</v>
      </c>
      <c r="K258" s="4">
        <v>-1.5219107483317443E-11</v>
      </c>
      <c r="L258" s="4">
        <v>-1.5219107483317443E-11</v>
      </c>
      <c r="M258" s="4">
        <v>0</v>
      </c>
      <c r="N258" s="4">
        <v>2.0000000000000001E-4</v>
      </c>
      <c r="O258" s="4">
        <v>56.674512987012974</v>
      </c>
      <c r="P258" s="4">
        <v>56.674512987012974</v>
      </c>
      <c r="Q258" s="4">
        <v>2.8470371527777784E-9</v>
      </c>
      <c r="R258" s="4">
        <v>0</v>
      </c>
      <c r="S258" s="4">
        <v>6.6178125000000004E-5</v>
      </c>
      <c r="T258" s="4">
        <v>7.0865624999999991E-6</v>
      </c>
      <c r="U258" s="4">
        <v>7.0865624999999991E-6</v>
      </c>
      <c r="V258" s="4">
        <v>0</v>
      </c>
      <c r="W258" s="4">
        <v>0</v>
      </c>
      <c r="X258" s="4">
        <v>1.6334374999999999</v>
      </c>
      <c r="Y258" s="4">
        <v>3275.3125</v>
      </c>
      <c r="Z258" s="4">
        <f t="shared" ref="Z258:AA258" si="80">Z257+0.0002</f>
        <v>-3.9999999999999986E-4</v>
      </c>
      <c r="AA258" s="4">
        <f t="shared" si="80"/>
        <v>-2.0000000000000006E-4</v>
      </c>
      <c r="AB258" s="3">
        <v>2</v>
      </c>
    </row>
    <row r="259" spans="2:28" x14ac:dyDescent="0.25">
      <c r="C259" s="3">
        <v>6</v>
      </c>
      <c r="D259" s="4">
        <v>89170796072.811874</v>
      </c>
      <c r="E259" s="4">
        <v>89170796072.811874</v>
      </c>
      <c r="F259" s="4">
        <v>0.2150518923469997</v>
      </c>
      <c r="G259" s="4">
        <v>0</v>
      </c>
      <c r="H259" s="4">
        <v>32779166666.666664</v>
      </c>
      <c r="I259" s="4">
        <v>31263958333.333336</v>
      </c>
      <c r="J259" s="4">
        <v>31263958333.333336</v>
      </c>
      <c r="K259" s="4">
        <v>-7.457085451752985E-12</v>
      </c>
      <c r="L259" s="4">
        <v>-7.457085451752985E-12</v>
      </c>
      <c r="M259" s="4">
        <v>0</v>
      </c>
      <c r="N259" s="4">
        <v>2.0000000000000001E-4</v>
      </c>
      <c r="O259" s="4">
        <v>70.134108946608933</v>
      </c>
      <c r="P259" s="4">
        <v>70.134108946608933</v>
      </c>
      <c r="Q259" s="4">
        <v>1.4234553626543208E-9</v>
      </c>
      <c r="R259" s="4">
        <v>0</v>
      </c>
      <c r="S259" s="4">
        <v>8.0469791666666661E-5</v>
      </c>
      <c r="T259" s="4">
        <v>6.532395833333332E-6</v>
      </c>
      <c r="U259" s="4">
        <v>6.532395833333332E-6</v>
      </c>
      <c r="V259" s="4">
        <v>0</v>
      </c>
      <c r="W259" s="4">
        <v>0</v>
      </c>
      <c r="X259" s="4">
        <v>1.5653819444444443</v>
      </c>
      <c r="Y259" s="4">
        <v>3226.7013888888887</v>
      </c>
      <c r="Z259" s="4">
        <f t="shared" ref="Z259:AA259" si="81">Z258+0.0002</f>
        <v>-1.9999999999999985E-4</v>
      </c>
      <c r="AA259" s="4">
        <f t="shared" si="81"/>
        <v>0</v>
      </c>
      <c r="AB259" s="3">
        <v>2</v>
      </c>
    </row>
    <row r="260" spans="2:28" x14ac:dyDescent="0.25">
      <c r="C260" s="3">
        <v>7</v>
      </c>
      <c r="D260" s="4">
        <v>92357418221.485153</v>
      </c>
      <c r="E260" s="4">
        <v>92357418221.485153</v>
      </c>
      <c r="F260" s="4">
        <v>0.22011769143958551</v>
      </c>
      <c r="G260" s="4">
        <v>0</v>
      </c>
      <c r="H260" s="4">
        <v>33779166666.666664</v>
      </c>
      <c r="I260" s="4">
        <v>31313958333.333336</v>
      </c>
      <c r="J260" s="4">
        <v>31313958333.333336</v>
      </c>
      <c r="K260" s="4">
        <v>-8.0392371041202912E-13</v>
      </c>
      <c r="L260" s="4">
        <v>-8.0392371041202912E-13</v>
      </c>
      <c r="M260" s="4">
        <v>0</v>
      </c>
      <c r="N260" s="4">
        <v>2.0000000000000001E-4</v>
      </c>
      <c r="O260" s="4">
        <v>81.670905483405463</v>
      </c>
      <c r="P260" s="4">
        <v>81.670905483405463</v>
      </c>
      <c r="Q260" s="4">
        <v>2.0324239969135757E-10</v>
      </c>
      <c r="R260" s="4">
        <v>0</v>
      </c>
      <c r="S260" s="4">
        <v>9.2719791666666661E-5</v>
      </c>
      <c r="T260" s="4">
        <v>6.0573958333333323E-6</v>
      </c>
      <c r="U260" s="4">
        <v>6.0573958333333323E-6</v>
      </c>
      <c r="V260" s="4">
        <v>0</v>
      </c>
      <c r="W260" s="4">
        <v>0</v>
      </c>
      <c r="X260" s="4">
        <v>1.5070486111111112</v>
      </c>
      <c r="Y260" s="4">
        <v>3185.0347222222226</v>
      </c>
      <c r="Z260" s="4">
        <f t="shared" ref="Z260:AA260" si="82">Z259+0.0002</f>
        <v>0</v>
      </c>
      <c r="AA260" s="4">
        <f t="shared" si="82"/>
        <v>2.0000000000000001E-4</v>
      </c>
      <c r="AB260" s="3">
        <v>2</v>
      </c>
    </row>
    <row r="261" spans="2:28" x14ac:dyDescent="0.25">
      <c r="C261" s="3">
        <v>8</v>
      </c>
      <c r="D261" s="4">
        <v>95012936678.712875</v>
      </c>
      <c r="E261" s="4">
        <v>95012936678.712875</v>
      </c>
      <c r="F261" s="4">
        <v>0.22433919068340699</v>
      </c>
      <c r="G261" s="4">
        <v>0</v>
      </c>
      <c r="H261" s="4">
        <v>34612500000</v>
      </c>
      <c r="I261" s="4">
        <v>31355625000</v>
      </c>
      <c r="J261" s="4">
        <v>31355625000</v>
      </c>
      <c r="K261" s="4">
        <v>4.7403777407054331E-12</v>
      </c>
      <c r="L261" s="4">
        <v>4.7403777407054331E-12</v>
      </c>
      <c r="M261" s="4">
        <v>0</v>
      </c>
      <c r="N261" s="4">
        <v>2.0000000000000001E-4</v>
      </c>
      <c r="O261" s="4">
        <v>91.284902597402578</v>
      </c>
      <c r="P261" s="4">
        <v>91.284902597402578</v>
      </c>
      <c r="Q261" s="4">
        <v>-8.1360173611111133E-10</v>
      </c>
      <c r="R261" s="4">
        <v>0</v>
      </c>
      <c r="S261" s="4">
        <v>1.02928125E-4</v>
      </c>
      <c r="T261" s="4">
        <v>5.6615625000000001E-6</v>
      </c>
      <c r="U261" s="4">
        <v>5.6615625000000001E-6</v>
      </c>
      <c r="V261" s="4">
        <v>0</v>
      </c>
      <c r="W261" s="4">
        <v>0</v>
      </c>
      <c r="X261" s="4">
        <v>1.4584375000000001</v>
      </c>
      <c r="Y261" s="4">
        <v>3150.3125</v>
      </c>
      <c r="Z261" s="4">
        <f t="shared" ref="Z261:AA261" si="83">Z260+0.0002</f>
        <v>2.0000000000000001E-4</v>
      </c>
      <c r="AA261" s="4">
        <f t="shared" si="83"/>
        <v>4.0000000000000002E-4</v>
      </c>
      <c r="AB261" s="3">
        <v>2</v>
      </c>
    </row>
    <row r="262" spans="2:28" x14ac:dyDescent="0.25">
      <c r="C262" s="3">
        <v>9</v>
      </c>
      <c r="D262" s="4">
        <v>97137351444.495041</v>
      </c>
      <c r="E262" s="4">
        <v>97137351444.495041</v>
      </c>
      <c r="F262" s="4">
        <v>0.2277163900784642</v>
      </c>
      <c r="G262" s="4">
        <v>0</v>
      </c>
      <c r="H262" s="4">
        <v>35279166666.666664</v>
      </c>
      <c r="I262" s="4">
        <v>31388958333.333336</v>
      </c>
      <c r="J262" s="4">
        <v>31388958333.333336</v>
      </c>
      <c r="K262" s="4">
        <v>9.1758189015994064E-12</v>
      </c>
      <c r="L262" s="4">
        <v>9.1758189015994064E-12</v>
      </c>
      <c r="M262" s="4">
        <v>0</v>
      </c>
      <c r="N262" s="4">
        <v>2.0000000000000001E-4</v>
      </c>
      <c r="O262" s="4">
        <v>98.976100288600264</v>
      </c>
      <c r="P262" s="4">
        <v>98.976100288600264</v>
      </c>
      <c r="Q262" s="4">
        <v>-1.6270770447530869E-9</v>
      </c>
      <c r="R262" s="4">
        <v>0</v>
      </c>
      <c r="S262" s="4">
        <v>1.1109479166666666E-4</v>
      </c>
      <c r="T262" s="4">
        <v>5.3448958333333336E-6</v>
      </c>
      <c r="U262" s="4">
        <v>5.3448958333333336E-6</v>
      </c>
      <c r="V262" s="4">
        <v>0</v>
      </c>
      <c r="W262" s="4">
        <v>0</v>
      </c>
      <c r="X262" s="4">
        <v>1.4195486111111109</v>
      </c>
      <c r="Y262" s="4">
        <v>3122.5347222222226</v>
      </c>
      <c r="Z262" s="4">
        <f t="shared" ref="Z262:AA262" si="84">Z261+0.0002</f>
        <v>4.0000000000000002E-4</v>
      </c>
      <c r="AA262" s="4">
        <f t="shared" si="84"/>
        <v>6.0000000000000006E-4</v>
      </c>
      <c r="AB262" s="3">
        <v>2</v>
      </c>
    </row>
    <row r="263" spans="2:28" x14ac:dyDescent="0.25">
      <c r="C263" s="3">
        <v>10</v>
      </c>
      <c r="D263" s="4">
        <v>98730662518.83168</v>
      </c>
      <c r="E263" s="4">
        <v>98730662518.83168</v>
      </c>
      <c r="F263" s="4">
        <v>0.23024928962475713</v>
      </c>
      <c r="G263" s="4">
        <v>0</v>
      </c>
      <c r="H263" s="4">
        <v>35779166666.666664</v>
      </c>
      <c r="I263" s="4">
        <v>31413958333.333336</v>
      </c>
      <c r="J263" s="4">
        <v>31413958333.333336</v>
      </c>
      <c r="K263" s="4">
        <v>1.2502399772269886E-11</v>
      </c>
      <c r="L263" s="4">
        <v>1.2502399772269886E-11</v>
      </c>
      <c r="M263" s="4">
        <v>0</v>
      </c>
      <c r="N263" s="4">
        <v>2.0000000000000001E-4</v>
      </c>
      <c r="O263" s="4">
        <v>104.74449855699852</v>
      </c>
      <c r="P263" s="4">
        <v>104.74449855699852</v>
      </c>
      <c r="Q263" s="4">
        <v>-2.2371835262345685E-9</v>
      </c>
      <c r="R263" s="4">
        <v>0</v>
      </c>
      <c r="S263" s="4">
        <v>1.1721979166666666E-4</v>
      </c>
      <c r="T263" s="4">
        <v>5.1073958333333329E-6</v>
      </c>
      <c r="U263" s="4">
        <v>5.1073958333333329E-6</v>
      </c>
      <c r="V263" s="4">
        <v>0</v>
      </c>
      <c r="W263" s="4">
        <v>0</v>
      </c>
      <c r="X263" s="4">
        <v>1.3903819444444445</v>
      </c>
      <c r="Y263" s="4">
        <v>3101.7013888888887</v>
      </c>
      <c r="Z263" s="4">
        <f t="shared" ref="Z263:AA263" si="85">Z262+0.0002</f>
        <v>6.0000000000000006E-4</v>
      </c>
      <c r="AA263" s="4">
        <f t="shared" si="85"/>
        <v>8.0000000000000004E-4</v>
      </c>
      <c r="AB263" s="3">
        <v>2</v>
      </c>
    </row>
    <row r="264" spans="2:28" x14ac:dyDescent="0.25">
      <c r="C264" s="3">
        <v>11</v>
      </c>
      <c r="D264" s="4">
        <v>99792869901.722763</v>
      </c>
      <c r="E264" s="4">
        <v>99792869901.722763</v>
      </c>
      <c r="F264" s="4">
        <v>0.23193788932228573</v>
      </c>
      <c r="G264" s="4">
        <v>0</v>
      </c>
      <c r="H264" s="4">
        <v>36112500000</v>
      </c>
      <c r="I264" s="4">
        <v>31430625000</v>
      </c>
      <c r="J264" s="4">
        <v>31430625000</v>
      </c>
      <c r="K264" s="4">
        <v>1.472012035271687E-11</v>
      </c>
      <c r="L264" s="4">
        <v>1.472012035271687E-11</v>
      </c>
      <c r="M264" s="4">
        <v>0</v>
      </c>
      <c r="N264" s="4">
        <v>2.0000000000000001E-4</v>
      </c>
      <c r="O264" s="4">
        <v>108.59009740259738</v>
      </c>
      <c r="P264" s="4">
        <v>108.59009740259738</v>
      </c>
      <c r="Q264" s="4">
        <v>-2.643921180555556E-9</v>
      </c>
      <c r="R264" s="4">
        <v>0</v>
      </c>
      <c r="S264" s="4">
        <v>1.21303125E-4</v>
      </c>
      <c r="T264" s="4">
        <v>4.9490624999999997E-6</v>
      </c>
      <c r="U264" s="4">
        <v>4.9490624999999997E-6</v>
      </c>
      <c r="V264" s="4">
        <v>0</v>
      </c>
      <c r="W264" s="4">
        <v>0</v>
      </c>
      <c r="X264" s="4">
        <v>1.3709374999999997</v>
      </c>
      <c r="Y264" s="4">
        <v>3087.8125</v>
      </c>
      <c r="Z264" s="4">
        <f t="shared" ref="Z264:AA264" si="86">Z263+0.0002</f>
        <v>8.0000000000000004E-4</v>
      </c>
      <c r="AA264" s="4">
        <f t="shared" si="86"/>
        <v>1E-3</v>
      </c>
      <c r="AB264" s="3">
        <v>2</v>
      </c>
    </row>
    <row r="265" spans="2:28" x14ac:dyDescent="0.25">
      <c r="B265" t="s">
        <v>240</v>
      </c>
      <c r="C265" s="10">
        <v>12</v>
      </c>
      <c r="D265" s="4">
        <v>100323973593.16833</v>
      </c>
      <c r="E265" s="4">
        <v>100323973593.16833</v>
      </c>
      <c r="F265" s="4">
        <v>0.23278218917105001</v>
      </c>
      <c r="G265" s="4">
        <v>0</v>
      </c>
      <c r="H265" s="4">
        <v>36279166666.666664</v>
      </c>
      <c r="I265" s="4">
        <v>31438958333.333336</v>
      </c>
      <c r="J265" s="4">
        <v>31438958333.333336</v>
      </c>
      <c r="K265" s="4">
        <v>1.5828980642940366E-11</v>
      </c>
      <c r="L265" s="4">
        <v>1.5828980642940366E-11</v>
      </c>
      <c r="M265" s="4">
        <v>0</v>
      </c>
      <c r="N265" s="4">
        <v>2.0000000000000001E-4</v>
      </c>
      <c r="O265" s="4">
        <v>110.51289682539679</v>
      </c>
      <c r="P265" s="4">
        <v>110.51289682539679</v>
      </c>
      <c r="Q265" s="4">
        <v>-2.8472900077160499E-9</v>
      </c>
      <c r="R265" s="4">
        <v>0</v>
      </c>
      <c r="S265" s="4">
        <v>1.2334479166666666E-4</v>
      </c>
      <c r="T265" s="4">
        <v>4.8698958333333339E-6</v>
      </c>
      <c r="U265" s="4">
        <v>4.8698958333333339E-6</v>
      </c>
      <c r="V265" s="4">
        <v>0</v>
      </c>
      <c r="W265" s="4">
        <v>0</v>
      </c>
      <c r="X265" s="4">
        <v>1.3612152777777777</v>
      </c>
      <c r="Y265" s="4">
        <v>3080.8680555555557</v>
      </c>
      <c r="Z265" s="4">
        <f t="shared" ref="Z265:AA265" si="87">Z264+0.0002</f>
        <v>1E-3</v>
      </c>
      <c r="AA265" s="4">
        <f t="shared" si="87"/>
        <v>1.2000000000000001E-3</v>
      </c>
      <c r="AB265" s="3">
        <v>2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439"/>
  <sheetViews>
    <sheetView topLeftCell="L253" zoomScale="90" zoomScaleNormal="90" workbookViewId="0">
      <selection activeCell="T256" sqref="T256:U267"/>
    </sheetView>
  </sheetViews>
  <sheetFormatPr defaultRowHeight="14" x14ac:dyDescent="0.25"/>
  <cols>
    <col min="1" max="1" width="16.90625" customWidth="1"/>
    <col min="2" max="2" width="12.6328125" customWidth="1"/>
    <col min="3" max="3" width="10.453125" bestFit="1" customWidth="1"/>
    <col min="4" max="4" width="11.90625" customWidth="1"/>
    <col min="5" max="5" width="13.1796875" customWidth="1"/>
    <col min="6" max="6" width="11.36328125" customWidth="1"/>
    <col min="7" max="7" width="10.54296875" bestFit="1" customWidth="1"/>
    <col min="8" max="8" width="12" customWidth="1"/>
    <col min="9" max="9" width="11" customWidth="1"/>
    <col min="10" max="10" width="11.36328125" bestFit="1" customWidth="1"/>
    <col min="11" max="11" width="12.26953125" customWidth="1"/>
    <col min="12" max="12" width="12.4531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.6328125" customWidth="1"/>
    <col min="18" max="18" width="10.26953125" bestFit="1" customWidth="1"/>
    <col min="19" max="19" width="11.26953125" customWidth="1"/>
    <col min="20" max="20" width="11.81640625" customWidth="1"/>
    <col min="21" max="21" width="12" customWidth="1"/>
    <col min="22" max="23" width="10.26953125" bestFit="1" customWidth="1"/>
    <col min="24" max="25" width="11.36328125" bestFit="1" customWidth="1"/>
    <col min="26" max="26" width="10.90625" customWidth="1"/>
    <col min="27" max="27" width="11.0898437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  <col min="48" max="48" width="12.7265625" customWidth="1"/>
    <col min="49" max="49" width="11.453125" customWidth="1"/>
    <col min="50" max="50" width="11.7265625" customWidth="1"/>
    <col min="51" max="51" width="11.453125" customWidth="1"/>
    <col min="52" max="52" width="10.453125" customWidth="1"/>
    <col min="53" max="53" width="10.6328125" customWidth="1"/>
    <col min="54" max="54" width="11.7265625" customWidth="1"/>
    <col min="55" max="55" width="12" customWidth="1"/>
    <col min="56" max="56" width="11.54296875" customWidth="1"/>
    <col min="57" max="57" width="12.1796875" customWidth="1"/>
    <col min="61" max="61" width="11.7265625" customWidth="1"/>
    <col min="65" max="65" width="11" customWidth="1"/>
  </cols>
  <sheetData>
    <row r="1" spans="1:71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31" t="s">
        <v>41</v>
      </c>
      <c r="J1" s="31" t="s">
        <v>43</v>
      </c>
      <c r="K1" s="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AE1" s="2" t="s">
        <v>84</v>
      </c>
      <c r="AU1" t="s">
        <v>277</v>
      </c>
      <c r="AV1" t="s">
        <v>278</v>
      </c>
      <c r="AW1" t="s">
        <v>262</v>
      </c>
      <c r="AX1" t="s">
        <v>263</v>
      </c>
      <c r="AY1" t="s">
        <v>264</v>
      </c>
      <c r="AZ1" t="s">
        <v>265</v>
      </c>
      <c r="BA1" t="s">
        <v>266</v>
      </c>
      <c r="BB1" t="s">
        <v>267</v>
      </c>
      <c r="BC1" t="s">
        <v>268</v>
      </c>
      <c r="BD1" t="s">
        <v>269</v>
      </c>
      <c r="BE1" t="s">
        <v>270</v>
      </c>
    </row>
    <row r="2" spans="1:71" x14ac:dyDescent="0.25">
      <c r="A2" s="1" t="s">
        <v>14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AU2">
        <v>1</v>
      </c>
      <c r="AV2" s="1">
        <v>2.5</v>
      </c>
      <c r="AW2" s="1">
        <v>3.2</v>
      </c>
      <c r="AX2" s="1">
        <v>2.3999999999999998E-3</v>
      </c>
      <c r="AY2" s="1">
        <v>-1.1999999999999999E-3</v>
      </c>
      <c r="AZ2" s="1">
        <v>1</v>
      </c>
      <c r="BA2" s="1">
        <f>(0.5-AY2/AX2)^AZ2</f>
        <v>1</v>
      </c>
      <c r="BB2" s="1">
        <v>0.2</v>
      </c>
      <c r="BC2" s="1">
        <f>1+2*AY2/AX2</f>
        <v>0</v>
      </c>
      <c r="BD2" s="1">
        <f>(AW2-AV2)*BA2+AV2-(AV2+AW2)*(BB2/2)*BC2</f>
        <v>3.2</v>
      </c>
      <c r="BE2" s="1">
        <f>1/BD2</f>
        <v>0.3125</v>
      </c>
      <c r="BJ2" s="1"/>
      <c r="BK2" s="1"/>
      <c r="BL2" s="1"/>
      <c r="BM2" s="1"/>
      <c r="BN2" s="1"/>
      <c r="BO2" s="1"/>
      <c r="BP2" s="1"/>
      <c r="BR2" s="1"/>
      <c r="BS2" s="1"/>
    </row>
    <row r="3" spans="1:71" x14ac:dyDescent="0.25">
      <c r="A3" s="1" t="s">
        <v>219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E3" t="s">
        <v>85</v>
      </c>
      <c r="AF3" t="s">
        <v>86</v>
      </c>
      <c r="AG3" t="s">
        <v>87</v>
      </c>
      <c r="AH3" t="s">
        <v>88</v>
      </c>
      <c r="AI3" t="s">
        <v>89</v>
      </c>
      <c r="AJ3" t="s">
        <v>90</v>
      </c>
      <c r="AK3" t="s">
        <v>91</v>
      </c>
      <c r="AL3" s="3" t="s">
        <v>92</v>
      </c>
      <c r="AM3" t="s">
        <v>93</v>
      </c>
      <c r="AN3" t="s">
        <v>94</v>
      </c>
      <c r="AO3" t="s">
        <v>95</v>
      </c>
      <c r="AP3" t="s">
        <v>96</v>
      </c>
      <c r="AU3">
        <v>2</v>
      </c>
      <c r="AV3" s="1">
        <v>2.5</v>
      </c>
      <c r="AW3" s="1">
        <v>3.2</v>
      </c>
      <c r="AX3" s="1">
        <v>2.3999999999999998E-3</v>
      </c>
      <c r="AY3" s="1">
        <v>-1.08E-3</v>
      </c>
      <c r="AZ3" s="1">
        <v>1</v>
      </c>
      <c r="BA3" s="1">
        <f t="shared" ref="BA3:BA22" si="0">(0.5-AY3/AX3)^AZ3</f>
        <v>0.95000000000000007</v>
      </c>
      <c r="BB3" s="1">
        <v>0.2</v>
      </c>
      <c r="BC3" s="1">
        <f t="shared" ref="BC3:BC22" si="1">1+2*AY3/AX3</f>
        <v>9.9999999999999867E-2</v>
      </c>
      <c r="BD3" s="1">
        <f t="shared" ref="BD3:BD22" si="2">(AW3-AV3)*BA3+AV3-(AV3+AW3)*(BB3/2)*BC3</f>
        <v>3.1080000000000001</v>
      </c>
      <c r="BE3" s="1">
        <f t="shared" ref="BE3:BE22" si="3">1/BD3</f>
        <v>0.32175032175032175</v>
      </c>
      <c r="BJ3" s="1"/>
      <c r="BK3" s="1"/>
      <c r="BL3" s="1"/>
      <c r="BM3" s="1"/>
      <c r="BN3" s="1"/>
      <c r="BO3" s="1"/>
      <c r="BP3" s="1"/>
      <c r="BR3" s="1"/>
      <c r="BS3" s="1"/>
    </row>
    <row r="4" spans="1:71" x14ac:dyDescent="0.25">
      <c r="A4" s="1"/>
      <c r="B4" s="1"/>
      <c r="C4" s="1"/>
      <c r="AE4">
        <v>1</v>
      </c>
      <c r="AF4">
        <v>0.32017075773745995</v>
      </c>
      <c r="AG4" s="4">
        <v>2.0000000000000001E-4</v>
      </c>
      <c r="AH4" s="5">
        <f>AF15*AG4</f>
        <v>1.392111368909513E-4</v>
      </c>
      <c r="AI4" s="4">
        <f>AF4*AG4</f>
        <v>6.4034151547491994E-5</v>
      </c>
      <c r="AJ4" s="5">
        <f>SUM(AI4:AI15)</f>
        <v>1.1155216499731508E-3</v>
      </c>
      <c r="AK4" s="6">
        <f>AH4/AJ4</f>
        <v>0.12479465270288742</v>
      </c>
      <c r="AL4" s="7">
        <f>1-AM4</f>
        <v>0.87520534729711263</v>
      </c>
      <c r="AM4" s="7">
        <f>AH4/AJ4</f>
        <v>0.12479465270288742</v>
      </c>
      <c r="AN4" s="8">
        <v>300</v>
      </c>
      <c r="AO4">
        <v>600</v>
      </c>
      <c r="AP4">
        <f>AN4*AL4+AO4*AM4</f>
        <v>337.43839581086627</v>
      </c>
      <c r="AU4">
        <v>3</v>
      </c>
      <c r="AV4" s="1">
        <v>2.5</v>
      </c>
      <c r="AW4" s="1">
        <v>3.2</v>
      </c>
      <c r="AX4" s="1">
        <v>2.3999999999999998E-3</v>
      </c>
      <c r="AY4" s="1">
        <v>-9.6000000000000002E-4</v>
      </c>
      <c r="AZ4" s="1">
        <v>1</v>
      </c>
      <c r="BA4" s="1">
        <f t="shared" si="0"/>
        <v>0.9</v>
      </c>
      <c r="BB4" s="1">
        <v>0.2</v>
      </c>
      <c r="BC4" s="1">
        <f t="shared" si="1"/>
        <v>0.19999999999999996</v>
      </c>
      <c r="BD4" s="1">
        <f t="shared" si="2"/>
        <v>3.0160000000000005</v>
      </c>
      <c r="BE4" s="1">
        <f t="shared" si="3"/>
        <v>0.33156498673740048</v>
      </c>
      <c r="BJ4" s="1"/>
      <c r="BK4" s="1"/>
      <c r="BL4" s="1"/>
      <c r="BM4" s="1"/>
      <c r="BN4" s="1"/>
      <c r="BO4" s="1"/>
      <c r="BP4" s="1"/>
      <c r="BR4" s="1"/>
      <c r="BS4" s="1"/>
    </row>
    <row r="5" spans="1:71" x14ac:dyDescent="0.25">
      <c r="A5" s="1"/>
      <c r="B5" s="1"/>
      <c r="C5" s="1"/>
      <c r="AE5">
        <v>2</v>
      </c>
      <c r="AF5" s="4">
        <v>0.33670033670033667</v>
      </c>
      <c r="AG5" s="4">
        <v>2.0000000000000001E-4</v>
      </c>
      <c r="AH5" s="5">
        <f t="shared" ref="AH5:AH15" si="4">AF5*AG5+AH4</f>
        <v>2.0655120423101862E-4</v>
      </c>
      <c r="AI5" s="4">
        <f t="shared" ref="AI5:AI15" si="5">AF5*AG5</f>
        <v>6.7340067340067335E-5</v>
      </c>
      <c r="AJ5" s="5">
        <v>1.1155216499731508E-3</v>
      </c>
      <c r="AK5" s="6">
        <f t="shared" ref="AK5:AK15" si="6">AH5/AJ5</f>
        <v>0.18516108964446371</v>
      </c>
      <c r="AL5" s="7">
        <f t="shared" ref="AL5:AL15" si="7">1-AM5</f>
        <v>0.81483891035553624</v>
      </c>
      <c r="AM5" s="7">
        <f t="shared" ref="AM5:AM15" si="8">AH5/AJ5</f>
        <v>0.18516108964446371</v>
      </c>
      <c r="AN5" s="8">
        <v>300</v>
      </c>
      <c r="AO5">
        <v>600</v>
      </c>
      <c r="AP5">
        <f t="shared" ref="AP5:AP15" si="9">AN5*AL5+AO5*AM5</f>
        <v>355.54832689333909</v>
      </c>
      <c r="AU5">
        <v>4</v>
      </c>
      <c r="AV5" s="1">
        <v>2.5</v>
      </c>
      <c r="AW5" s="1">
        <v>3.2</v>
      </c>
      <c r="AX5" s="1">
        <v>2.3999999999999998E-3</v>
      </c>
      <c r="AY5" s="1">
        <v>-8.4000000000000003E-4</v>
      </c>
      <c r="AZ5" s="1">
        <v>1</v>
      </c>
      <c r="BA5" s="1">
        <f t="shared" si="0"/>
        <v>0.85000000000000009</v>
      </c>
      <c r="BB5" s="1">
        <v>0.2</v>
      </c>
      <c r="BC5" s="1">
        <f t="shared" si="1"/>
        <v>0.29999999999999993</v>
      </c>
      <c r="BD5" s="1">
        <f t="shared" si="2"/>
        <v>2.9240000000000004</v>
      </c>
      <c r="BE5" s="1">
        <f t="shared" si="3"/>
        <v>0.34199726402188779</v>
      </c>
      <c r="BJ5" s="1"/>
      <c r="BK5" s="1"/>
      <c r="BL5" s="1"/>
      <c r="BM5" s="1"/>
      <c r="BN5" s="1"/>
      <c r="BO5" s="1"/>
      <c r="BP5" s="1"/>
      <c r="BR5" s="1"/>
      <c r="BS5" s="1"/>
    </row>
    <row r="6" spans="1:71" x14ac:dyDescent="0.25">
      <c r="A6" s="1"/>
      <c r="B6" s="1"/>
      <c r="C6" s="1"/>
      <c r="AE6">
        <v>3</v>
      </c>
      <c r="AF6" s="4">
        <v>0.35502958579881655</v>
      </c>
      <c r="AG6" s="4">
        <v>2.0000000000000001E-4</v>
      </c>
      <c r="AH6" s="5">
        <f t="shared" si="4"/>
        <v>2.7755712139078192E-4</v>
      </c>
      <c r="AI6" s="4">
        <f t="shared" si="5"/>
        <v>7.1005917159763313E-5</v>
      </c>
      <c r="AJ6" s="5">
        <v>1.1155216499731508E-3</v>
      </c>
      <c r="AK6" s="6">
        <f t="shared" si="6"/>
        <v>0.24881374682191276</v>
      </c>
      <c r="AL6" s="7">
        <f t="shared" si="7"/>
        <v>0.75118625317808729</v>
      </c>
      <c r="AM6" s="7">
        <f t="shared" si="8"/>
        <v>0.24881374682191276</v>
      </c>
      <c r="AN6" s="8">
        <v>300</v>
      </c>
      <c r="AO6">
        <v>600</v>
      </c>
      <c r="AP6">
        <f t="shared" si="9"/>
        <v>374.64412404657384</v>
      </c>
      <c r="AU6">
        <v>5</v>
      </c>
      <c r="AV6" s="1">
        <v>2.5</v>
      </c>
      <c r="AW6" s="1">
        <v>3.2</v>
      </c>
      <c r="AX6" s="1">
        <v>2.3999999999999998E-3</v>
      </c>
      <c r="AY6" s="1">
        <v>-7.2000000000000005E-4</v>
      </c>
      <c r="AZ6" s="1">
        <v>1</v>
      </c>
      <c r="BA6" s="1">
        <f t="shared" si="0"/>
        <v>0.8</v>
      </c>
      <c r="BB6" s="1">
        <v>0.2</v>
      </c>
      <c r="BC6" s="1">
        <f t="shared" si="1"/>
        <v>0.39999999999999991</v>
      </c>
      <c r="BD6" s="1">
        <f t="shared" si="2"/>
        <v>2.8319999999999999</v>
      </c>
      <c r="BE6" s="1">
        <f t="shared" si="3"/>
        <v>0.35310734463276838</v>
      </c>
      <c r="BJ6" s="1"/>
      <c r="BK6" s="1"/>
      <c r="BL6" s="1"/>
      <c r="BM6" s="1"/>
      <c r="BN6" s="1"/>
      <c r="BO6" s="1"/>
      <c r="BP6" s="1"/>
      <c r="BR6" s="1"/>
      <c r="BS6" s="1"/>
    </row>
    <row r="7" spans="1:71" x14ac:dyDescent="0.25"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E7">
        <v>4</v>
      </c>
      <c r="AF7" s="4">
        <v>0.37546933667083854</v>
      </c>
      <c r="AG7" s="4">
        <v>2.0000000000000001E-4</v>
      </c>
      <c r="AH7" s="5">
        <f t="shared" si="4"/>
        <v>3.526509887249496E-4</v>
      </c>
      <c r="AI7" s="4">
        <f t="shared" si="5"/>
        <v>7.5093867334167711E-5</v>
      </c>
      <c r="AJ7" s="5">
        <v>1.1155216499731508E-3</v>
      </c>
      <c r="AK7" s="6">
        <f t="shared" si="6"/>
        <v>0.31613101254775061</v>
      </c>
      <c r="AL7" s="7">
        <f t="shared" si="7"/>
        <v>0.68386898745224944</v>
      </c>
      <c r="AM7" s="7">
        <f t="shared" si="8"/>
        <v>0.31613101254775061</v>
      </c>
      <c r="AN7" s="8">
        <v>300</v>
      </c>
      <c r="AO7">
        <v>600</v>
      </c>
      <c r="AP7">
        <f t="shared" si="9"/>
        <v>394.83930376432522</v>
      </c>
      <c r="AU7">
        <v>6</v>
      </c>
      <c r="AV7" s="1">
        <v>2.5</v>
      </c>
      <c r="AW7" s="1">
        <v>3.2</v>
      </c>
      <c r="AX7" s="1">
        <v>2.3999999999999998E-3</v>
      </c>
      <c r="AY7" s="1">
        <v>-5.9999999999999995E-4</v>
      </c>
      <c r="AZ7" s="1">
        <v>1</v>
      </c>
      <c r="BA7" s="1">
        <f t="shared" si="0"/>
        <v>0.75</v>
      </c>
      <c r="BB7" s="1">
        <v>0.2</v>
      </c>
      <c r="BC7" s="1">
        <f t="shared" si="1"/>
        <v>0.5</v>
      </c>
      <c r="BD7" s="1">
        <f t="shared" si="2"/>
        <v>2.74</v>
      </c>
      <c r="BE7" s="1">
        <f t="shared" si="3"/>
        <v>0.36496350364963503</v>
      </c>
      <c r="BJ7" s="1"/>
      <c r="BK7" s="1"/>
      <c r="BL7" s="1"/>
      <c r="BM7" s="1"/>
      <c r="BN7" s="1"/>
      <c r="BO7" s="1"/>
      <c r="BP7" s="1"/>
      <c r="BR7" s="1"/>
      <c r="BS7" s="1"/>
    </row>
    <row r="8" spans="1:71" x14ac:dyDescent="0.25">
      <c r="B8" s="9" t="s">
        <v>27</v>
      </c>
      <c r="C8" s="9" t="s">
        <v>28</v>
      </c>
      <c r="D8" s="9" t="s">
        <v>29</v>
      </c>
      <c r="E8" s="9" t="s">
        <v>30</v>
      </c>
      <c r="F8" s="9" t="s">
        <v>31</v>
      </c>
      <c r="G8" s="9" t="s">
        <v>97</v>
      </c>
      <c r="H8" s="9" t="s">
        <v>33</v>
      </c>
      <c r="I8" s="9" t="s">
        <v>34</v>
      </c>
      <c r="J8" s="9" t="s">
        <v>35</v>
      </c>
      <c r="K8" s="9" t="s">
        <v>36</v>
      </c>
      <c r="L8" s="9" t="s">
        <v>37</v>
      </c>
      <c r="M8" s="9" t="s">
        <v>38</v>
      </c>
      <c r="N8" s="9" t="s">
        <v>39</v>
      </c>
      <c r="O8" s="9" t="s">
        <v>40</v>
      </c>
      <c r="P8" s="9" t="s">
        <v>41</v>
      </c>
      <c r="Q8" s="9" t="s">
        <v>42</v>
      </c>
      <c r="R8" s="9" t="s">
        <v>43</v>
      </c>
      <c r="S8" s="9" t="s">
        <v>98</v>
      </c>
      <c r="T8" s="9" t="s">
        <v>99</v>
      </c>
      <c r="U8" s="9" t="s">
        <v>100</v>
      </c>
      <c r="V8" s="9" t="s">
        <v>101</v>
      </c>
      <c r="W8" s="9" t="s">
        <v>102</v>
      </c>
      <c r="X8" s="9" t="s">
        <v>49</v>
      </c>
      <c r="Y8" s="9" t="s">
        <v>50</v>
      </c>
      <c r="Z8" s="9" t="s">
        <v>51</v>
      </c>
      <c r="AA8" s="9" t="s">
        <v>52</v>
      </c>
      <c r="AE8">
        <v>5</v>
      </c>
      <c r="AF8" s="4">
        <v>0.39840637450199207</v>
      </c>
      <c r="AG8" s="4">
        <v>2.0000000000000001E-4</v>
      </c>
      <c r="AH8" s="5">
        <f t="shared" si="4"/>
        <v>4.3233226362534801E-4</v>
      </c>
      <c r="AI8" s="4">
        <f t="shared" si="5"/>
        <v>7.9681274900398423E-5</v>
      </c>
      <c r="AJ8" s="5">
        <v>1.1155216499731508E-3</v>
      </c>
      <c r="AK8" s="6">
        <f t="shared" si="6"/>
        <v>0.38756062119973533</v>
      </c>
      <c r="AL8" s="7">
        <f t="shared" si="7"/>
        <v>0.61243937880026467</v>
      </c>
      <c r="AM8" s="7">
        <f t="shared" si="8"/>
        <v>0.38756062119973533</v>
      </c>
      <c r="AN8" s="8">
        <v>300</v>
      </c>
      <c r="AO8">
        <v>600</v>
      </c>
      <c r="AP8">
        <f t="shared" si="9"/>
        <v>416.26818635992061</v>
      </c>
      <c r="AU8">
        <v>7</v>
      </c>
      <c r="AV8" s="1">
        <v>2.5</v>
      </c>
      <c r="AW8" s="1">
        <v>3.2</v>
      </c>
      <c r="AX8" s="1">
        <v>2.3999999999999998E-3</v>
      </c>
      <c r="AY8" s="1">
        <v>-4.8000000000000001E-4</v>
      </c>
      <c r="AZ8" s="1">
        <v>1</v>
      </c>
      <c r="BA8" s="1">
        <f t="shared" si="0"/>
        <v>0.7</v>
      </c>
      <c r="BB8" s="1">
        <v>0.2</v>
      </c>
      <c r="BC8" s="1">
        <f t="shared" si="1"/>
        <v>0.6</v>
      </c>
      <c r="BD8" s="1">
        <f t="shared" si="2"/>
        <v>2.6480000000000001</v>
      </c>
      <c r="BE8" s="1">
        <f t="shared" si="3"/>
        <v>0.37764350453172202</v>
      </c>
      <c r="BJ8" s="1"/>
      <c r="BK8" s="1"/>
      <c r="BL8" s="1"/>
      <c r="BM8" s="1"/>
      <c r="BN8" s="1"/>
      <c r="BO8" s="1"/>
      <c r="BP8" s="1"/>
      <c r="BR8" s="1"/>
      <c r="BS8" s="1"/>
    </row>
    <row r="9" spans="1:71" x14ac:dyDescent="0.25">
      <c r="A9" s="2" t="s">
        <v>222</v>
      </c>
      <c r="B9" s="10">
        <v>1</v>
      </c>
      <c r="C9" s="4">
        <v>115667108490.38051</v>
      </c>
      <c r="D9" s="4">
        <v>115667108490.38051</v>
      </c>
      <c r="E9" s="4">
        <v>0.30400152148247833</v>
      </c>
      <c r="F9" s="4">
        <v>0</v>
      </c>
      <c r="G9" s="4">
        <v>44158333333.333336</v>
      </c>
      <c r="H9" s="4">
        <v>50760000000</v>
      </c>
      <c r="I9" s="4">
        <v>50760000000</v>
      </c>
      <c r="J9" s="4">
        <v>-7.5846043851286942E-11</v>
      </c>
      <c r="K9" s="4">
        <v>-7.5846043851286942E-11</v>
      </c>
      <c r="L9" s="4">
        <v>0</v>
      </c>
      <c r="M9" s="4">
        <v>2.0000000000000001E-4</v>
      </c>
      <c r="N9" s="4">
        <v>4.6147186147185923</v>
      </c>
      <c r="O9" s="4">
        <v>4.6147186147185923</v>
      </c>
      <c r="P9" s="4">
        <v>1.4001877777777781E-8</v>
      </c>
      <c r="Q9" s="4">
        <v>0</v>
      </c>
      <c r="R9" s="4">
        <v>1.4733333333333308E-5</v>
      </c>
      <c r="S9" s="4">
        <v>1.5248333333333333E-5</v>
      </c>
      <c r="T9" s="4">
        <v>1.5248333333333333E-5</v>
      </c>
      <c r="U9" s="4">
        <v>4.0024444444444442E-4</v>
      </c>
      <c r="V9" s="4">
        <v>4.0024444444444442E-4</v>
      </c>
      <c r="W9" s="4">
        <v>3.1233333333333335</v>
      </c>
      <c r="X9" s="4">
        <v>5686.666666666667</v>
      </c>
      <c r="Y9" s="4">
        <v>-1.1999999999999999E-3</v>
      </c>
      <c r="Z9" s="4">
        <v>-1E-3</v>
      </c>
      <c r="AA9" s="3">
        <v>2</v>
      </c>
      <c r="AE9">
        <v>6</v>
      </c>
      <c r="AF9" s="4">
        <v>0.42432814710042427</v>
      </c>
      <c r="AG9" s="4">
        <v>2.0000000000000001E-4</v>
      </c>
      <c r="AH9" s="5">
        <f t="shared" si="4"/>
        <v>5.1719789304543291E-4</v>
      </c>
      <c r="AI9" s="4">
        <f t="shared" si="5"/>
        <v>8.4865629420084854E-5</v>
      </c>
      <c r="AJ9" s="5">
        <v>1.1155216499731508E-3</v>
      </c>
      <c r="AK9" s="6">
        <f t="shared" si="6"/>
        <v>0.46363770085312211</v>
      </c>
      <c r="AL9" s="7">
        <f t="shared" si="7"/>
        <v>0.53636229914687794</v>
      </c>
      <c r="AM9" s="7">
        <f t="shared" si="8"/>
        <v>0.46363770085312211</v>
      </c>
      <c r="AN9" s="8">
        <v>300</v>
      </c>
      <c r="AO9">
        <v>600</v>
      </c>
      <c r="AP9">
        <f t="shared" si="9"/>
        <v>439.09131025593666</v>
      </c>
      <c r="AU9">
        <v>8</v>
      </c>
      <c r="AV9" s="1">
        <v>2.5</v>
      </c>
      <c r="AW9" s="1">
        <v>3.2</v>
      </c>
      <c r="AX9" s="1">
        <v>2.3999999999999998E-3</v>
      </c>
      <c r="AY9" s="1">
        <v>-3.6000000000000002E-4</v>
      </c>
      <c r="AZ9" s="1">
        <v>1</v>
      </c>
      <c r="BA9" s="1">
        <f t="shared" si="0"/>
        <v>0.65</v>
      </c>
      <c r="BB9" s="1">
        <v>0.2</v>
      </c>
      <c r="BC9" s="1">
        <f t="shared" si="1"/>
        <v>0.7</v>
      </c>
      <c r="BD9" s="1">
        <f t="shared" si="2"/>
        <v>2.556</v>
      </c>
      <c r="BE9" s="1">
        <f t="shared" si="3"/>
        <v>0.39123630672926446</v>
      </c>
      <c r="BJ9" s="1"/>
      <c r="BK9" s="1"/>
      <c r="BL9" s="1"/>
      <c r="BM9" s="1"/>
      <c r="BN9" s="1"/>
      <c r="BO9" s="1"/>
      <c r="BP9" s="1"/>
      <c r="BR9" s="1"/>
      <c r="BS9" s="1"/>
    </row>
    <row r="10" spans="1:71" x14ac:dyDescent="0.25">
      <c r="B10" s="3">
        <v>2</v>
      </c>
      <c r="C10" s="4">
        <v>114338695713.35603</v>
      </c>
      <c r="D10" s="4">
        <v>114338695713.35603</v>
      </c>
      <c r="E10" s="4">
        <v>0.29781771323636252</v>
      </c>
      <c r="F10" s="4">
        <v>0</v>
      </c>
      <c r="G10" s="4">
        <v>43475000000</v>
      </c>
      <c r="H10" s="4">
        <v>49080000000</v>
      </c>
      <c r="I10" s="4">
        <v>49080000000</v>
      </c>
      <c r="J10" s="4">
        <v>-6.7862249761677768E-11</v>
      </c>
      <c r="K10" s="4">
        <v>-6.7862249761677768E-11</v>
      </c>
      <c r="L10" s="4">
        <v>0</v>
      </c>
      <c r="M10" s="4">
        <v>2.0000000000000001E-4</v>
      </c>
      <c r="N10" s="4">
        <v>13.844155844155841</v>
      </c>
      <c r="O10" s="4">
        <v>13.844155844155841</v>
      </c>
      <c r="P10" s="4">
        <v>1.2534522222222225E-8</v>
      </c>
      <c r="Q10" s="4">
        <v>0</v>
      </c>
      <c r="R10" s="4">
        <v>2.4199999999999999E-5</v>
      </c>
      <c r="S10" s="4">
        <v>1.4344999999999999E-5</v>
      </c>
      <c r="T10" s="4">
        <v>1.4344999999999999E-5</v>
      </c>
      <c r="U10" s="4">
        <v>4.0024444444444442E-4</v>
      </c>
      <c r="V10" s="4">
        <v>4.0024444444444442E-4</v>
      </c>
      <c r="W10" s="4">
        <v>2.97</v>
      </c>
      <c r="X10" s="4">
        <v>5460</v>
      </c>
      <c r="Y10" s="4">
        <f t="shared" ref="Y10:Z20" si="10">Y9+0.0002</f>
        <v>-9.999999999999998E-4</v>
      </c>
      <c r="Z10" s="4">
        <f t="shared" si="10"/>
        <v>-8.0000000000000004E-4</v>
      </c>
      <c r="AA10" s="3">
        <v>2</v>
      </c>
      <c r="AE10">
        <v>7</v>
      </c>
      <c r="AF10" s="4">
        <v>0.45385779122541609</v>
      </c>
      <c r="AG10" s="4">
        <v>2.0000000000000001E-4</v>
      </c>
      <c r="AH10" s="5">
        <f t="shared" si="4"/>
        <v>6.0796945129051611E-4</v>
      </c>
      <c r="AI10" s="4">
        <f t="shared" si="5"/>
        <v>9.0771558245083219E-5</v>
      </c>
      <c r="AJ10" s="5">
        <v>1.1155216499731508E-3</v>
      </c>
      <c r="AK10" s="6">
        <f t="shared" si="6"/>
        <v>0.54500910072444508</v>
      </c>
      <c r="AL10" s="7">
        <f t="shared" si="7"/>
        <v>0.45499089927555492</v>
      </c>
      <c r="AM10" s="7">
        <f t="shared" si="8"/>
        <v>0.54500910072444508</v>
      </c>
      <c r="AN10" s="8">
        <v>300</v>
      </c>
      <c r="AO10">
        <v>600</v>
      </c>
      <c r="AP10">
        <f t="shared" si="9"/>
        <v>463.50273021733352</v>
      </c>
      <c r="AU10">
        <v>9</v>
      </c>
      <c r="AV10" s="1">
        <v>2.5</v>
      </c>
      <c r="AW10" s="1">
        <v>3.2</v>
      </c>
      <c r="AX10" s="1">
        <v>2.3999999999999998E-3</v>
      </c>
      <c r="AY10" s="1">
        <v>-2.4000000000000001E-4</v>
      </c>
      <c r="AZ10" s="1">
        <v>1</v>
      </c>
      <c r="BA10" s="1">
        <f t="shared" si="0"/>
        <v>0.6</v>
      </c>
      <c r="BB10" s="1">
        <v>0.2</v>
      </c>
      <c r="BC10" s="1">
        <f t="shared" si="1"/>
        <v>0.8</v>
      </c>
      <c r="BD10" s="1">
        <f t="shared" si="2"/>
        <v>2.464</v>
      </c>
      <c r="BE10" s="1">
        <f t="shared" si="3"/>
        <v>0.40584415584415584</v>
      </c>
      <c r="BJ10" s="1"/>
      <c r="BK10" s="1"/>
      <c r="BL10" s="1"/>
      <c r="BM10" s="1"/>
      <c r="BN10" s="1"/>
      <c r="BO10" s="1"/>
      <c r="BP10" s="1"/>
      <c r="BR10" s="1"/>
      <c r="BS10" s="1"/>
    </row>
    <row r="11" spans="1:71" x14ac:dyDescent="0.25">
      <c r="B11" s="3">
        <v>3</v>
      </c>
      <c r="C11" s="4">
        <v>113010282936.33154</v>
      </c>
      <c r="D11" s="4">
        <v>113010282936.33154</v>
      </c>
      <c r="E11" s="4">
        <v>0.29163390499024655</v>
      </c>
      <c r="F11" s="4">
        <v>0</v>
      </c>
      <c r="G11" s="4">
        <v>42791666666.666664</v>
      </c>
      <c r="H11" s="4">
        <v>47400000000</v>
      </c>
      <c r="I11" s="4">
        <v>47400000000</v>
      </c>
      <c r="J11" s="4">
        <v>-5.9878455672068632E-11</v>
      </c>
      <c r="K11" s="4">
        <v>-5.9878455672068632E-11</v>
      </c>
      <c r="L11" s="4">
        <v>0</v>
      </c>
      <c r="M11" s="4">
        <v>2.0000000000000001E-4</v>
      </c>
      <c r="N11" s="4">
        <v>23.073593073593063</v>
      </c>
      <c r="O11" s="4">
        <v>23.073593073593063</v>
      </c>
      <c r="P11" s="4">
        <v>1.1067166666666667E-8</v>
      </c>
      <c r="Q11" s="4">
        <v>0</v>
      </c>
      <c r="R11" s="4">
        <v>3.3666666666666654E-5</v>
      </c>
      <c r="S11" s="4">
        <v>1.3441666666666667E-5</v>
      </c>
      <c r="T11" s="4">
        <v>1.3441666666666667E-5</v>
      </c>
      <c r="U11" s="4">
        <v>4.0024444444444399E-4</v>
      </c>
      <c r="V11" s="4">
        <v>4.0024444444444399E-4</v>
      </c>
      <c r="W11" s="4">
        <v>2.8166666666666669</v>
      </c>
      <c r="X11" s="4">
        <v>5233.333333333333</v>
      </c>
      <c r="Y11" s="4">
        <f t="shared" si="10"/>
        <v>-7.9999999999999982E-4</v>
      </c>
      <c r="Z11" s="4">
        <f t="shared" si="10"/>
        <v>-6.0000000000000006E-4</v>
      </c>
      <c r="AA11" s="3">
        <v>2</v>
      </c>
      <c r="AE11">
        <v>8</v>
      </c>
      <c r="AF11" s="4">
        <v>0.48780487804878053</v>
      </c>
      <c r="AG11" s="4">
        <v>2.0000000000000001E-4</v>
      </c>
      <c r="AH11" s="5">
        <f t="shared" si="4"/>
        <v>7.0553042690027219E-4</v>
      </c>
      <c r="AI11" s="4">
        <f t="shared" si="5"/>
        <v>9.7560975609756116E-5</v>
      </c>
      <c r="AJ11" s="5">
        <v>1.1155216499731508E-3</v>
      </c>
      <c r="AK11" s="6">
        <f t="shared" si="6"/>
        <v>0.63246681668370441</v>
      </c>
      <c r="AL11" s="7">
        <f t="shared" si="7"/>
        <v>0.36753318331629559</v>
      </c>
      <c r="AM11" s="7">
        <f t="shared" si="8"/>
        <v>0.63246681668370441</v>
      </c>
      <c r="AN11" s="8">
        <v>300</v>
      </c>
      <c r="AO11">
        <v>600</v>
      </c>
      <c r="AP11">
        <f t="shared" si="9"/>
        <v>489.74004500511131</v>
      </c>
      <c r="AU11">
        <v>10</v>
      </c>
      <c r="AV11" s="1">
        <v>2.5</v>
      </c>
      <c r="AW11" s="1">
        <v>3.2</v>
      </c>
      <c r="AX11" s="1">
        <v>2.3999999999999998E-3</v>
      </c>
      <c r="AY11" s="1">
        <v>-1.2E-4</v>
      </c>
      <c r="AZ11" s="1">
        <v>1</v>
      </c>
      <c r="BA11" s="1">
        <f t="shared" si="0"/>
        <v>0.55000000000000004</v>
      </c>
      <c r="BB11" s="1">
        <v>0.2</v>
      </c>
      <c r="BC11" s="1">
        <f t="shared" si="1"/>
        <v>0.9</v>
      </c>
      <c r="BD11" s="1">
        <f t="shared" si="2"/>
        <v>2.3719999999999999</v>
      </c>
      <c r="BE11" s="1">
        <f t="shared" si="3"/>
        <v>0.42158516020236092</v>
      </c>
      <c r="BJ11" s="1"/>
      <c r="BK11" s="1"/>
      <c r="BL11" s="1"/>
      <c r="BM11" s="1"/>
      <c r="BN11" s="1"/>
      <c r="BO11" s="1"/>
      <c r="BP11" s="1"/>
      <c r="BR11" s="1"/>
      <c r="BS11" s="1"/>
    </row>
    <row r="12" spans="1:71" x14ac:dyDescent="0.25">
      <c r="B12" s="3">
        <v>4</v>
      </c>
      <c r="C12" s="4">
        <v>111681870159.30707</v>
      </c>
      <c r="D12" s="4">
        <v>111681870159.30707</v>
      </c>
      <c r="E12" s="4">
        <v>0.28545009674413069</v>
      </c>
      <c r="F12" s="4">
        <v>0</v>
      </c>
      <c r="G12" s="4">
        <v>42108333333.333336</v>
      </c>
      <c r="H12" s="4">
        <v>45720000000</v>
      </c>
      <c r="I12" s="4">
        <v>45720000000</v>
      </c>
      <c r="J12" s="4">
        <v>-5.1894661582459477E-11</v>
      </c>
      <c r="K12" s="4">
        <v>-5.1894661582459477E-11</v>
      </c>
      <c r="L12" s="4">
        <v>0</v>
      </c>
      <c r="M12" s="4">
        <v>2.0000000000000001E-4</v>
      </c>
      <c r="N12" s="4">
        <v>32.303030303030283</v>
      </c>
      <c r="O12" s="4">
        <v>32.303030303030283</v>
      </c>
      <c r="P12" s="4">
        <v>9.5998111111111111E-9</v>
      </c>
      <c r="Q12" s="4">
        <v>0</v>
      </c>
      <c r="R12" s="4">
        <v>4.3133333333333329E-5</v>
      </c>
      <c r="S12" s="4">
        <v>1.2538333333333332E-5</v>
      </c>
      <c r="T12" s="4">
        <v>1.2538333333333332E-5</v>
      </c>
      <c r="U12" s="4">
        <v>4.0024444444444399E-4</v>
      </c>
      <c r="V12" s="4">
        <v>4.0024444444444399E-4</v>
      </c>
      <c r="W12" s="4">
        <v>2.6633333333333336</v>
      </c>
      <c r="X12" s="4">
        <v>5006.666666666667</v>
      </c>
      <c r="Y12" s="4">
        <f t="shared" si="10"/>
        <v>-5.9999999999999984E-4</v>
      </c>
      <c r="Z12" s="4">
        <f t="shared" si="10"/>
        <v>-4.0000000000000007E-4</v>
      </c>
      <c r="AA12" s="3">
        <v>2</v>
      </c>
      <c r="AE12">
        <v>9</v>
      </c>
      <c r="AF12" s="4">
        <v>0.52724077328646757</v>
      </c>
      <c r="AG12" s="4">
        <v>2.0000000000000001E-4</v>
      </c>
      <c r="AH12" s="5">
        <f t="shared" si="4"/>
        <v>8.1097858155756574E-4</v>
      </c>
      <c r="AI12" s="4">
        <f t="shared" si="5"/>
        <v>1.0544815465729352E-4</v>
      </c>
      <c r="AJ12" s="5">
        <v>1.1155216499731508E-3</v>
      </c>
      <c r="AK12" s="6">
        <f t="shared" si="6"/>
        <v>0.72699492795777199</v>
      </c>
      <c r="AL12" s="7">
        <f t="shared" si="7"/>
        <v>0.27300507204222801</v>
      </c>
      <c r="AM12" s="7">
        <f t="shared" si="8"/>
        <v>0.72699492795777199</v>
      </c>
      <c r="AN12" s="8">
        <v>300</v>
      </c>
      <c r="AO12">
        <v>600</v>
      </c>
      <c r="AP12">
        <f t="shared" si="9"/>
        <v>518.09847838733162</v>
      </c>
      <c r="AU12">
        <v>11</v>
      </c>
      <c r="AV12" s="1">
        <v>2.5</v>
      </c>
      <c r="AW12" s="1">
        <v>3.2</v>
      </c>
      <c r="AX12" s="1">
        <v>2.3999999999999998E-3</v>
      </c>
      <c r="AY12" s="1">
        <v>0</v>
      </c>
      <c r="AZ12" s="1">
        <v>1</v>
      </c>
      <c r="BA12" s="1">
        <f t="shared" si="0"/>
        <v>0.5</v>
      </c>
      <c r="BB12" s="1">
        <v>0.2</v>
      </c>
      <c r="BC12" s="1">
        <f t="shared" si="1"/>
        <v>1</v>
      </c>
      <c r="BD12" s="1">
        <f t="shared" si="2"/>
        <v>2.2800000000000002</v>
      </c>
      <c r="BE12" s="1">
        <f t="shared" si="3"/>
        <v>0.43859649122807015</v>
      </c>
      <c r="BJ12" s="1"/>
      <c r="BK12" s="1"/>
      <c r="BL12" s="1"/>
      <c r="BM12" s="1"/>
      <c r="BN12" s="1"/>
      <c r="BO12" s="1"/>
      <c r="BP12" s="1"/>
      <c r="BR12" s="1"/>
      <c r="BS12" s="1"/>
    </row>
    <row r="13" spans="1:71" x14ac:dyDescent="0.25">
      <c r="B13" s="3">
        <v>5</v>
      </c>
      <c r="C13" s="4">
        <v>110353457382.28259</v>
      </c>
      <c r="D13" s="4">
        <v>110353457382.28259</v>
      </c>
      <c r="E13" s="4">
        <v>0.27926628849801477</v>
      </c>
      <c r="F13" s="4">
        <v>0</v>
      </c>
      <c r="G13" s="4">
        <v>41425000000</v>
      </c>
      <c r="H13" s="4">
        <v>44040000000</v>
      </c>
      <c r="I13" s="4">
        <v>44040000000</v>
      </c>
      <c r="J13" s="4">
        <v>-4.3910867492850323E-11</v>
      </c>
      <c r="K13" s="4">
        <v>-4.3910867492850323E-11</v>
      </c>
      <c r="L13" s="4">
        <v>0</v>
      </c>
      <c r="M13" s="4">
        <v>2.0000000000000001E-4</v>
      </c>
      <c r="N13" s="4">
        <v>41.532467532467521</v>
      </c>
      <c r="O13" s="4">
        <v>41.532467532467521</v>
      </c>
      <c r="P13" s="4">
        <v>8.1324555555555552E-9</v>
      </c>
      <c r="Q13" s="4">
        <v>0</v>
      </c>
      <c r="R13" s="4">
        <v>5.2599999999999998E-5</v>
      </c>
      <c r="S13" s="4">
        <v>1.1635E-5</v>
      </c>
      <c r="T13" s="4">
        <v>1.1635E-5</v>
      </c>
      <c r="U13" s="4">
        <v>4.0024444444444399E-4</v>
      </c>
      <c r="V13" s="4">
        <v>4.0024444444444399E-4</v>
      </c>
      <c r="W13" s="4">
        <v>2.5099999999999998</v>
      </c>
      <c r="X13" s="4">
        <v>4780</v>
      </c>
      <c r="Y13" s="4">
        <f t="shared" si="10"/>
        <v>-3.9999999999999986E-4</v>
      </c>
      <c r="Z13" s="4">
        <f t="shared" si="10"/>
        <v>-2.0000000000000006E-4</v>
      </c>
      <c r="AA13" s="3">
        <v>2</v>
      </c>
      <c r="AE13">
        <v>10</v>
      </c>
      <c r="AF13" s="4">
        <v>0.57361376673040154</v>
      </c>
      <c r="AG13" s="4">
        <v>2.0000000000000001E-4</v>
      </c>
      <c r="AH13" s="5">
        <f t="shared" si="4"/>
        <v>9.2570133490364607E-4</v>
      </c>
      <c r="AI13" s="4">
        <f t="shared" si="5"/>
        <v>1.1472275334608032E-4</v>
      </c>
      <c r="AJ13" s="5">
        <v>1.1155216499731508E-3</v>
      </c>
      <c r="AK13" s="6">
        <f t="shared" si="6"/>
        <v>0.82983717521388001</v>
      </c>
      <c r="AL13" s="7">
        <f t="shared" si="7"/>
        <v>0.17016282478611999</v>
      </c>
      <c r="AM13" s="7">
        <f t="shared" si="8"/>
        <v>0.82983717521388001</v>
      </c>
      <c r="AN13" s="8">
        <v>300</v>
      </c>
      <c r="AO13">
        <v>600</v>
      </c>
      <c r="AP13">
        <f t="shared" si="9"/>
        <v>548.95115256416398</v>
      </c>
      <c r="AU13">
        <v>12</v>
      </c>
      <c r="AV13" s="1">
        <v>2.5</v>
      </c>
      <c r="AW13" s="1">
        <v>3.2</v>
      </c>
      <c r="AX13" s="1">
        <v>2.3999999999999998E-3</v>
      </c>
      <c r="AY13" s="1">
        <v>1.2E-4</v>
      </c>
      <c r="AZ13" s="1">
        <v>1</v>
      </c>
      <c r="BA13" s="1">
        <f t="shared" si="0"/>
        <v>0.45</v>
      </c>
      <c r="BB13" s="1">
        <v>0.2</v>
      </c>
      <c r="BC13" s="1">
        <f t="shared" si="1"/>
        <v>1.1000000000000001</v>
      </c>
      <c r="BD13" s="1">
        <f t="shared" si="2"/>
        <v>2.1879999999999997</v>
      </c>
      <c r="BE13" s="1">
        <f t="shared" si="3"/>
        <v>0.45703839122486295</v>
      </c>
      <c r="BJ13" s="1"/>
      <c r="BK13" s="1"/>
      <c r="BL13" s="1"/>
      <c r="BM13" s="1"/>
      <c r="BN13" s="1"/>
      <c r="BO13" s="1"/>
      <c r="BP13" s="1"/>
      <c r="BR13" s="1"/>
      <c r="BS13" s="1"/>
    </row>
    <row r="14" spans="1:71" x14ac:dyDescent="0.25">
      <c r="B14" s="3">
        <v>6</v>
      </c>
      <c r="C14" s="4">
        <v>109025044605.25812</v>
      </c>
      <c r="D14" s="4">
        <v>109025044605.25812</v>
      </c>
      <c r="E14" s="4">
        <v>0.27308248025189891</v>
      </c>
      <c r="F14" s="4">
        <v>0</v>
      </c>
      <c r="G14" s="4">
        <v>40741666666.666672</v>
      </c>
      <c r="H14" s="4">
        <v>42360000000</v>
      </c>
      <c r="I14" s="4">
        <v>42360000000</v>
      </c>
      <c r="J14" s="4">
        <v>-3.5927073403241168E-11</v>
      </c>
      <c r="K14" s="4">
        <v>-3.5927073403241168E-11</v>
      </c>
      <c r="L14" s="4">
        <v>0</v>
      </c>
      <c r="M14" s="4">
        <v>2.0000000000000001E-4</v>
      </c>
      <c r="N14" s="4">
        <v>50.761904761904759</v>
      </c>
      <c r="O14" s="4">
        <v>50.761904761904759</v>
      </c>
      <c r="P14" s="4">
        <v>6.6651000000000009E-9</v>
      </c>
      <c r="Q14" s="4">
        <v>0</v>
      </c>
      <c r="R14" s="4">
        <v>6.2066666666666666E-5</v>
      </c>
      <c r="S14" s="4">
        <v>1.0731666666666666E-5</v>
      </c>
      <c r="T14" s="4">
        <v>1.0731666666666666E-5</v>
      </c>
      <c r="U14" s="4">
        <v>4.0024444444444399E-4</v>
      </c>
      <c r="V14" s="4">
        <v>4.0024444444444399E-4</v>
      </c>
      <c r="W14" s="4">
        <v>2.3566666666666669</v>
      </c>
      <c r="X14" s="4">
        <v>4553.333333333333</v>
      </c>
      <c r="Y14" s="4">
        <f t="shared" si="10"/>
        <v>-1.9999999999999985E-4</v>
      </c>
      <c r="Z14" s="4">
        <f t="shared" si="10"/>
        <v>0</v>
      </c>
      <c r="AA14" s="3">
        <v>2</v>
      </c>
      <c r="AE14">
        <v>11</v>
      </c>
      <c r="AF14">
        <v>0.62893081761006298</v>
      </c>
      <c r="AG14" s="4">
        <v>2.0000000000000001E-4</v>
      </c>
      <c r="AH14" s="5">
        <f t="shared" si="4"/>
        <v>1.0514874984256586E-3</v>
      </c>
      <c r="AI14" s="4">
        <f t="shared" si="5"/>
        <v>1.257861635220126E-4</v>
      </c>
      <c r="AJ14" s="5">
        <v>1.1155216499731508E-3</v>
      </c>
      <c r="AK14" s="6">
        <f t="shared" si="6"/>
        <v>0.94259712346323954</v>
      </c>
      <c r="AL14" s="7">
        <f t="shared" si="7"/>
        <v>5.7402876536760461E-2</v>
      </c>
      <c r="AM14" s="7">
        <f t="shared" si="8"/>
        <v>0.94259712346323954</v>
      </c>
      <c r="AN14" s="8">
        <v>300</v>
      </c>
      <c r="AO14">
        <v>600</v>
      </c>
      <c r="AP14">
        <f t="shared" si="9"/>
        <v>582.77913703897184</v>
      </c>
      <c r="AU14">
        <v>13</v>
      </c>
      <c r="AV14" s="1">
        <v>2.5</v>
      </c>
      <c r="AW14" s="1">
        <v>3.2</v>
      </c>
      <c r="AX14" s="1">
        <v>2.3999999999999998E-3</v>
      </c>
      <c r="AY14" s="1">
        <v>2.4000000000000001E-4</v>
      </c>
      <c r="AZ14" s="1">
        <v>1</v>
      </c>
      <c r="BA14" s="1">
        <f t="shared" si="0"/>
        <v>0.4</v>
      </c>
      <c r="BB14" s="1">
        <v>0.2</v>
      </c>
      <c r="BC14" s="1">
        <f t="shared" si="1"/>
        <v>1.2</v>
      </c>
      <c r="BD14" s="1">
        <f t="shared" si="2"/>
        <v>2.0960000000000001</v>
      </c>
      <c r="BE14" s="1">
        <f t="shared" si="3"/>
        <v>0.47709923664122134</v>
      </c>
      <c r="BJ14" s="1"/>
      <c r="BK14" s="1"/>
      <c r="BL14" s="1"/>
      <c r="BM14" s="1"/>
      <c r="BN14" s="1"/>
      <c r="BO14" s="1"/>
      <c r="BP14" s="1"/>
      <c r="BR14" s="1"/>
      <c r="BS14" s="1"/>
    </row>
    <row r="15" spans="1:71" x14ac:dyDescent="0.25">
      <c r="B15" s="3">
        <v>7</v>
      </c>
      <c r="C15" s="4">
        <v>107696631828.23364</v>
      </c>
      <c r="D15" s="4">
        <v>107696631828.23364</v>
      </c>
      <c r="E15" s="4">
        <v>0.26689867200578299</v>
      </c>
      <c r="F15" s="4">
        <v>0</v>
      </c>
      <c r="G15" s="4">
        <v>40058333333.333336</v>
      </c>
      <c r="H15" s="4">
        <v>40680000000</v>
      </c>
      <c r="I15" s="4">
        <v>40680000000</v>
      </c>
      <c r="J15" s="4">
        <v>-2.7943279313632026E-11</v>
      </c>
      <c r="K15" s="4">
        <v>-2.7943279313632026E-11</v>
      </c>
      <c r="L15" s="4">
        <v>0</v>
      </c>
      <c r="M15" s="4">
        <v>2.0000000000000001E-4</v>
      </c>
      <c r="N15" s="4">
        <v>59.991341991341983</v>
      </c>
      <c r="O15" s="4">
        <v>59.991341991341983</v>
      </c>
      <c r="P15" s="4">
        <v>5.197744444444445E-9</v>
      </c>
      <c r="Q15" s="4">
        <v>0</v>
      </c>
      <c r="R15" s="4">
        <v>7.1533333333333328E-5</v>
      </c>
      <c r="S15" s="4">
        <v>9.8283333333333321E-6</v>
      </c>
      <c r="T15" s="4">
        <v>9.8283333333333321E-6</v>
      </c>
      <c r="U15" s="4">
        <v>4.0024444444444399E-4</v>
      </c>
      <c r="V15" s="4">
        <v>4.0024444444444399E-4</v>
      </c>
      <c r="W15" s="4">
        <v>2.2033333333333331</v>
      </c>
      <c r="X15" s="4">
        <v>4326.666666666667</v>
      </c>
      <c r="Y15" s="4">
        <f t="shared" si="10"/>
        <v>0</v>
      </c>
      <c r="Z15" s="4">
        <f t="shared" si="10"/>
        <v>2.0000000000000001E-4</v>
      </c>
      <c r="AA15" s="3">
        <v>2</v>
      </c>
      <c r="AE15">
        <v>12</v>
      </c>
      <c r="AF15" s="4">
        <v>0.69605568445475641</v>
      </c>
      <c r="AG15" s="4">
        <v>2.0000000000000001E-4</v>
      </c>
      <c r="AH15" s="5">
        <f t="shared" si="4"/>
        <v>1.1906986353166099E-3</v>
      </c>
      <c r="AI15" s="4">
        <f t="shared" si="5"/>
        <v>1.392111368909513E-4</v>
      </c>
      <c r="AJ15" s="5">
        <v>1.1155216499731508E-3</v>
      </c>
      <c r="AK15" s="6">
        <f t="shared" si="6"/>
        <v>1.0673917761661269</v>
      </c>
      <c r="AL15" s="7">
        <f t="shared" si="7"/>
        <v>-6.7391776166126904E-2</v>
      </c>
      <c r="AM15" s="7">
        <f t="shared" si="8"/>
        <v>1.0673917761661269</v>
      </c>
      <c r="AN15" s="8">
        <v>300</v>
      </c>
      <c r="AO15">
        <v>600</v>
      </c>
      <c r="AP15">
        <f t="shared" si="9"/>
        <v>620.21753284983799</v>
      </c>
      <c r="AU15">
        <v>14</v>
      </c>
      <c r="AV15" s="1">
        <v>2.5</v>
      </c>
      <c r="AW15" s="1">
        <v>3.2</v>
      </c>
      <c r="AX15" s="1">
        <v>2.3999999999999998E-3</v>
      </c>
      <c r="AY15" s="1">
        <v>3.6000000000000002E-4</v>
      </c>
      <c r="AZ15" s="1">
        <v>1</v>
      </c>
      <c r="BA15" s="1">
        <f t="shared" si="0"/>
        <v>0.35</v>
      </c>
      <c r="BB15" s="1">
        <v>0.2</v>
      </c>
      <c r="BC15" s="1">
        <f t="shared" si="1"/>
        <v>1.3</v>
      </c>
      <c r="BD15" s="1">
        <f t="shared" si="2"/>
        <v>2.004</v>
      </c>
      <c r="BE15" s="1">
        <f t="shared" si="3"/>
        <v>0.49900199600798401</v>
      </c>
      <c r="BJ15" s="1"/>
      <c r="BK15" s="1"/>
      <c r="BL15" s="1"/>
      <c r="BM15" s="1"/>
      <c r="BN15" s="1"/>
      <c r="BO15" s="1"/>
      <c r="BP15" s="1"/>
      <c r="BR15" s="1"/>
      <c r="BS15" s="1"/>
    </row>
    <row r="16" spans="1:71" x14ac:dyDescent="0.25">
      <c r="B16" s="3">
        <v>8</v>
      </c>
      <c r="C16" s="4">
        <v>106368219051.20917</v>
      </c>
      <c r="D16" s="4">
        <v>106368219051.20917</v>
      </c>
      <c r="E16" s="4">
        <v>0.26071486375966713</v>
      </c>
      <c r="F16" s="4">
        <v>0</v>
      </c>
      <c r="G16" s="4">
        <v>39375000000</v>
      </c>
      <c r="H16" s="4">
        <v>39000000000</v>
      </c>
      <c r="I16" s="4">
        <v>39000000000</v>
      </c>
      <c r="J16" s="4">
        <v>-1.9959485224022871E-11</v>
      </c>
      <c r="K16" s="4">
        <v>-1.9959485224022871E-11</v>
      </c>
      <c r="L16" s="4">
        <v>0</v>
      </c>
      <c r="M16" s="4">
        <v>2.0000000000000001E-4</v>
      </c>
      <c r="N16" s="4">
        <v>69.220779220779207</v>
      </c>
      <c r="O16" s="4">
        <v>69.220779220779207</v>
      </c>
      <c r="P16" s="4">
        <v>3.7303888888888898E-9</v>
      </c>
      <c r="Q16" s="4">
        <v>0</v>
      </c>
      <c r="R16" s="4">
        <v>8.099999999999999E-5</v>
      </c>
      <c r="S16" s="4">
        <v>8.9250000000000001E-6</v>
      </c>
      <c r="T16" s="4">
        <v>8.9250000000000001E-6</v>
      </c>
      <c r="U16" s="4">
        <v>4.0024444444444399E-4</v>
      </c>
      <c r="V16" s="4">
        <v>4.0024444444444399E-4</v>
      </c>
      <c r="W16" s="4">
        <v>2.0499999999999998</v>
      </c>
      <c r="X16" s="4">
        <v>4100</v>
      </c>
      <c r="Y16" s="4">
        <f t="shared" si="10"/>
        <v>2.0000000000000001E-4</v>
      </c>
      <c r="Z16" s="4">
        <f t="shared" si="10"/>
        <v>4.0000000000000002E-4</v>
      </c>
      <c r="AA16" s="3">
        <v>2</v>
      </c>
      <c r="AU16">
        <v>15</v>
      </c>
      <c r="AV16" s="1">
        <v>2.5</v>
      </c>
      <c r="AW16" s="1">
        <v>3.2</v>
      </c>
      <c r="AX16" s="1">
        <v>2.3999999999999998E-3</v>
      </c>
      <c r="AY16" s="1">
        <v>4.8000000000000001E-4</v>
      </c>
      <c r="AZ16" s="1">
        <v>1</v>
      </c>
      <c r="BA16" s="1">
        <f t="shared" si="0"/>
        <v>0.3</v>
      </c>
      <c r="BB16" s="1">
        <v>0.2</v>
      </c>
      <c r="BC16" s="1">
        <f t="shared" si="1"/>
        <v>1.4</v>
      </c>
      <c r="BD16" s="1">
        <f t="shared" si="2"/>
        <v>1.9119999999999999</v>
      </c>
      <c r="BE16" s="1">
        <f t="shared" si="3"/>
        <v>0.52301255230125521</v>
      </c>
      <c r="BJ16" s="1"/>
      <c r="BK16" s="1"/>
      <c r="BL16" s="1"/>
      <c r="BM16" s="1"/>
      <c r="BN16" s="1"/>
      <c r="BO16" s="1"/>
      <c r="BP16" s="1"/>
      <c r="BR16" s="1"/>
      <c r="BS16" s="1"/>
    </row>
    <row r="17" spans="1:71" x14ac:dyDescent="0.25">
      <c r="B17" s="3">
        <v>9</v>
      </c>
      <c r="C17" s="4">
        <v>105039806274.18468</v>
      </c>
      <c r="D17" s="4">
        <v>105039806274.18468</v>
      </c>
      <c r="E17" s="4">
        <v>0.25453105551355121</v>
      </c>
      <c r="F17" s="4">
        <v>0</v>
      </c>
      <c r="G17" s="4">
        <v>38691666666.666664</v>
      </c>
      <c r="H17" s="4">
        <v>37320000000</v>
      </c>
      <c r="I17" s="4">
        <v>37320000000</v>
      </c>
      <c r="J17" s="4">
        <v>-1.1975691134413721E-11</v>
      </c>
      <c r="K17" s="4">
        <v>-1.1975691134413721E-11</v>
      </c>
      <c r="L17" s="4">
        <v>0</v>
      </c>
      <c r="M17" s="4">
        <v>2.0000000000000001E-4</v>
      </c>
      <c r="N17" s="4">
        <v>78.450216450216431</v>
      </c>
      <c r="O17" s="4">
        <v>78.450216450216431</v>
      </c>
      <c r="P17" s="4">
        <v>2.2630333333333335E-9</v>
      </c>
      <c r="Q17" s="4">
        <v>0</v>
      </c>
      <c r="R17" s="4">
        <v>9.0466666666666666E-5</v>
      </c>
      <c r="S17" s="4">
        <v>8.0216666666666664E-6</v>
      </c>
      <c r="T17" s="4">
        <v>8.0216666666666664E-6</v>
      </c>
      <c r="U17" s="4">
        <v>4.0024444444444399E-4</v>
      </c>
      <c r="V17" s="4">
        <v>4.0024444444444399E-4</v>
      </c>
      <c r="W17" s="4">
        <v>1.8966666666666665</v>
      </c>
      <c r="X17" s="4">
        <v>3873.333333333333</v>
      </c>
      <c r="Y17" s="4">
        <f t="shared" si="10"/>
        <v>4.0000000000000002E-4</v>
      </c>
      <c r="Z17" s="4">
        <f t="shared" si="10"/>
        <v>6.0000000000000006E-4</v>
      </c>
      <c r="AA17" s="3">
        <v>2</v>
      </c>
      <c r="AU17">
        <v>16</v>
      </c>
      <c r="AV17" s="1">
        <v>2.5</v>
      </c>
      <c r="AW17" s="1">
        <v>3.2</v>
      </c>
      <c r="AX17" s="1">
        <v>2.3999999999999998E-3</v>
      </c>
      <c r="AY17" s="1">
        <v>5.9999999999999995E-4</v>
      </c>
      <c r="AZ17" s="1">
        <v>1</v>
      </c>
      <c r="BA17" s="1">
        <f t="shared" si="0"/>
        <v>0.25</v>
      </c>
      <c r="BB17" s="1">
        <v>0.2</v>
      </c>
      <c r="BC17" s="1">
        <f t="shared" si="1"/>
        <v>1.5</v>
      </c>
      <c r="BD17" s="1">
        <f t="shared" si="2"/>
        <v>1.8199999999999998</v>
      </c>
      <c r="BE17" s="1">
        <f t="shared" si="3"/>
        <v>0.5494505494505495</v>
      </c>
      <c r="BJ17" s="1"/>
      <c r="BK17" s="1"/>
      <c r="BL17" s="1"/>
      <c r="BM17" s="1"/>
      <c r="BN17" s="1"/>
      <c r="BO17" s="1"/>
      <c r="BP17" s="1"/>
      <c r="BR17" s="1"/>
      <c r="BS17" s="1"/>
    </row>
    <row r="18" spans="1:71" x14ac:dyDescent="0.25">
      <c r="B18" s="3">
        <v>10</v>
      </c>
      <c r="C18" s="4">
        <v>103711393497.16022</v>
      </c>
      <c r="D18" s="4">
        <v>103711393497.16022</v>
      </c>
      <c r="E18" s="4">
        <v>0.24834724726743532</v>
      </c>
      <c r="F18" s="4">
        <v>0</v>
      </c>
      <c r="G18" s="4">
        <v>38008333333.333328</v>
      </c>
      <c r="H18" s="4">
        <v>35640000000</v>
      </c>
      <c r="I18" s="4">
        <v>35640000000</v>
      </c>
      <c r="J18" s="4">
        <v>-3.9918970448045726E-12</v>
      </c>
      <c r="K18" s="4">
        <v>-3.9918970448045726E-12</v>
      </c>
      <c r="L18" s="4">
        <v>0</v>
      </c>
      <c r="M18" s="4">
        <v>2.0000000000000001E-4</v>
      </c>
      <c r="N18" s="4">
        <v>87.679653679653654</v>
      </c>
      <c r="O18" s="4">
        <v>87.679653679653654</v>
      </c>
      <c r="P18" s="4">
        <v>7.9567777777777755E-10</v>
      </c>
      <c r="Q18" s="4">
        <v>0</v>
      </c>
      <c r="R18" s="4">
        <v>9.9933333333333327E-5</v>
      </c>
      <c r="S18" s="4">
        <v>7.1183333333333335E-6</v>
      </c>
      <c r="T18" s="4">
        <v>7.1183333333333335E-6</v>
      </c>
      <c r="U18" s="4">
        <v>4.0024444444444399E-4</v>
      </c>
      <c r="V18" s="4">
        <v>4.0024444444444399E-4</v>
      </c>
      <c r="W18" s="4">
        <v>1.7433333333333332</v>
      </c>
      <c r="X18" s="4">
        <v>3646.666666666667</v>
      </c>
      <c r="Y18" s="4">
        <f t="shared" si="10"/>
        <v>6.0000000000000006E-4</v>
      </c>
      <c r="Z18" s="4">
        <f t="shared" si="10"/>
        <v>8.0000000000000004E-4</v>
      </c>
      <c r="AA18" s="3">
        <v>2</v>
      </c>
      <c r="AU18">
        <v>17</v>
      </c>
      <c r="AV18" s="1">
        <v>2.5</v>
      </c>
      <c r="AW18" s="1">
        <v>3.2</v>
      </c>
      <c r="AX18" s="1">
        <v>2.3999999999999998E-3</v>
      </c>
      <c r="AY18" s="1">
        <v>7.2000000000000005E-4</v>
      </c>
      <c r="AZ18" s="1">
        <v>1</v>
      </c>
      <c r="BA18" s="1">
        <f t="shared" si="0"/>
        <v>0.19999999999999996</v>
      </c>
      <c r="BB18" s="1">
        <v>0.2</v>
      </c>
      <c r="BC18" s="1">
        <f t="shared" si="1"/>
        <v>1.6</v>
      </c>
      <c r="BD18" s="1">
        <f t="shared" si="2"/>
        <v>1.728</v>
      </c>
      <c r="BE18" s="1">
        <f t="shared" si="3"/>
        <v>0.57870370370370372</v>
      </c>
      <c r="BJ18" s="1"/>
      <c r="BK18" s="1"/>
      <c r="BL18" s="1"/>
      <c r="BM18" s="1"/>
      <c r="BN18" s="1"/>
      <c r="BO18" s="1"/>
      <c r="BP18" s="1"/>
      <c r="BR18" s="1"/>
      <c r="BS18" s="1"/>
    </row>
    <row r="19" spans="1:71" x14ac:dyDescent="0.25">
      <c r="B19" s="3">
        <v>11</v>
      </c>
      <c r="C19" s="4">
        <v>102382980720.13574</v>
      </c>
      <c r="D19" s="4">
        <v>102382980720.13574</v>
      </c>
      <c r="E19" s="4">
        <v>0.24216343902131937</v>
      </c>
      <c r="F19" s="4">
        <v>0</v>
      </c>
      <c r="G19" s="4">
        <v>37325000000</v>
      </c>
      <c r="H19" s="4">
        <v>33960000000</v>
      </c>
      <c r="I19" s="4">
        <v>33960000000</v>
      </c>
      <c r="J19" s="4">
        <v>3.9918970448045758E-12</v>
      </c>
      <c r="K19" s="4">
        <v>3.9918970448045758E-12</v>
      </c>
      <c r="L19" s="4">
        <v>0</v>
      </c>
      <c r="M19" s="4">
        <v>2.0000000000000001E-4</v>
      </c>
      <c r="N19" s="4">
        <v>96.909090909090878</v>
      </c>
      <c r="O19" s="4">
        <v>96.909090909090878</v>
      </c>
      <c r="P19" s="4">
        <v>-6.7167777777777798E-10</v>
      </c>
      <c r="Q19" s="4">
        <v>0</v>
      </c>
      <c r="R19" s="4">
        <v>1.094E-4</v>
      </c>
      <c r="S19" s="4">
        <v>6.2150000000000006E-6</v>
      </c>
      <c r="T19" s="4">
        <v>6.2150000000000006E-6</v>
      </c>
      <c r="U19" s="4">
        <v>4.0024444444444399E-4</v>
      </c>
      <c r="V19" s="4">
        <v>4.0024444444444399E-4</v>
      </c>
      <c r="W19" s="4">
        <v>1.5899999999999999</v>
      </c>
      <c r="X19" s="4">
        <v>3420</v>
      </c>
      <c r="Y19" s="4">
        <f t="shared" si="10"/>
        <v>8.0000000000000004E-4</v>
      </c>
      <c r="Z19" s="4">
        <f t="shared" si="10"/>
        <v>1E-3</v>
      </c>
      <c r="AA19" s="3">
        <v>2</v>
      </c>
      <c r="AU19">
        <v>18</v>
      </c>
      <c r="AV19" s="1">
        <v>2.5</v>
      </c>
      <c r="AW19" s="1">
        <v>3.2</v>
      </c>
      <c r="AX19" s="1">
        <v>2.3999999999999998E-3</v>
      </c>
      <c r="AY19" s="1">
        <v>8.4000000000000003E-4</v>
      </c>
      <c r="AZ19" s="1">
        <v>1</v>
      </c>
      <c r="BA19" s="1">
        <f t="shared" si="0"/>
        <v>0.14999999999999997</v>
      </c>
      <c r="BB19" s="1">
        <v>0.2</v>
      </c>
      <c r="BC19" s="1">
        <f t="shared" si="1"/>
        <v>1.7000000000000002</v>
      </c>
      <c r="BD19" s="1">
        <f t="shared" si="2"/>
        <v>1.6359999999999997</v>
      </c>
      <c r="BE19" s="1">
        <f t="shared" si="3"/>
        <v>0.61124694376528133</v>
      </c>
      <c r="BJ19" s="1"/>
      <c r="BK19" s="1"/>
      <c r="BL19" s="1"/>
      <c r="BM19" s="1"/>
      <c r="BN19" s="1"/>
      <c r="BO19" s="1"/>
      <c r="BP19" s="1"/>
      <c r="BR19" s="1"/>
      <c r="BS19" s="1"/>
    </row>
    <row r="20" spans="1:71" x14ac:dyDescent="0.25">
      <c r="A20" s="2" t="s">
        <v>219</v>
      </c>
      <c r="B20" s="10">
        <v>12</v>
      </c>
      <c r="C20" s="4">
        <v>101054567943.11125</v>
      </c>
      <c r="D20" s="4">
        <v>101054567943.11125</v>
      </c>
      <c r="E20" s="4">
        <v>0.23597963077520351</v>
      </c>
      <c r="F20" s="4">
        <v>0</v>
      </c>
      <c r="G20" s="4">
        <v>36641666666.666664</v>
      </c>
      <c r="H20" s="4">
        <v>32279999999.999996</v>
      </c>
      <c r="I20" s="4">
        <v>32279999999.999996</v>
      </c>
      <c r="J20" s="4">
        <v>1.1975691134413734E-11</v>
      </c>
      <c r="K20" s="4">
        <v>1.1975691134413734E-11</v>
      </c>
      <c r="L20" s="4">
        <v>0</v>
      </c>
      <c r="M20" s="4">
        <v>2.0000000000000001E-4</v>
      </c>
      <c r="N20" s="4">
        <v>106.13852813852813</v>
      </c>
      <c r="O20" s="4">
        <v>106.13852813852813</v>
      </c>
      <c r="P20" s="4">
        <v>-2.1390333333333356E-9</v>
      </c>
      <c r="Q20" s="4">
        <v>0</v>
      </c>
      <c r="R20" s="4">
        <v>1.1886666666666669E-4</v>
      </c>
      <c r="S20" s="4">
        <v>5.3116666666666652E-6</v>
      </c>
      <c r="T20" s="4">
        <v>5.3116666666666652E-6</v>
      </c>
      <c r="U20" s="4">
        <v>4.0024444444444399E-4</v>
      </c>
      <c r="V20" s="4">
        <v>4.0024444444444399E-4</v>
      </c>
      <c r="W20" s="4">
        <v>1.4366666666666665</v>
      </c>
      <c r="X20" s="4">
        <v>3193.3333333333326</v>
      </c>
      <c r="Y20" s="4">
        <f t="shared" si="10"/>
        <v>1E-3</v>
      </c>
      <c r="Z20" s="4">
        <f t="shared" si="10"/>
        <v>1.2000000000000001E-3</v>
      </c>
      <c r="AA20" s="3">
        <v>2</v>
      </c>
      <c r="AU20">
        <v>19</v>
      </c>
      <c r="AV20" s="1">
        <v>2.5</v>
      </c>
      <c r="AW20" s="1">
        <v>3.2</v>
      </c>
      <c r="AX20" s="1">
        <v>2.3999999999999998E-3</v>
      </c>
      <c r="AY20" s="1">
        <v>9.6000000000000002E-4</v>
      </c>
      <c r="AZ20" s="1">
        <v>1</v>
      </c>
      <c r="BA20" s="1">
        <f t="shared" si="0"/>
        <v>9.9999999999999978E-2</v>
      </c>
      <c r="BB20" s="1">
        <v>0.2</v>
      </c>
      <c r="BC20" s="1">
        <f t="shared" si="1"/>
        <v>1.8</v>
      </c>
      <c r="BD20" s="1">
        <f t="shared" si="2"/>
        <v>1.5439999999999996</v>
      </c>
      <c r="BE20" s="1">
        <f t="shared" si="3"/>
        <v>0.64766839378238361</v>
      </c>
      <c r="BJ20" s="1"/>
      <c r="BK20" s="1"/>
      <c r="BL20" s="1"/>
      <c r="BM20" s="1"/>
      <c r="BN20" s="1"/>
      <c r="BO20" s="1"/>
      <c r="BP20" s="1"/>
      <c r="BR20" s="1"/>
      <c r="BS20" s="1"/>
    </row>
    <row r="21" spans="1:71" x14ac:dyDescent="0.25">
      <c r="B21" s="1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3"/>
      <c r="AU21">
        <v>20</v>
      </c>
      <c r="AV21" s="1">
        <v>2.5</v>
      </c>
      <c r="AW21" s="1">
        <v>3.2</v>
      </c>
      <c r="AX21" s="1">
        <v>2.3999999999999998E-3</v>
      </c>
      <c r="AY21" s="1">
        <v>1.08E-3</v>
      </c>
      <c r="AZ21" s="1">
        <v>1</v>
      </c>
      <c r="BA21" s="1">
        <f t="shared" si="0"/>
        <v>4.9999999999999933E-2</v>
      </c>
      <c r="BB21" s="1">
        <v>0.2</v>
      </c>
      <c r="BC21" s="1">
        <f t="shared" si="1"/>
        <v>1.9000000000000001</v>
      </c>
      <c r="BD21" s="1">
        <f t="shared" si="2"/>
        <v>1.452</v>
      </c>
      <c r="BE21" s="1">
        <f t="shared" si="3"/>
        <v>0.68870523415977969</v>
      </c>
      <c r="BJ21" s="1"/>
      <c r="BK21" s="1"/>
      <c r="BL21" s="1"/>
      <c r="BM21" s="1"/>
      <c r="BN21" s="1"/>
      <c r="BO21" s="1"/>
      <c r="BP21" s="1"/>
      <c r="BR21" s="1"/>
      <c r="BS21" s="1"/>
    </row>
    <row r="22" spans="1:71" x14ac:dyDescent="0.25">
      <c r="B22" s="1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3"/>
      <c r="AU22">
        <v>21</v>
      </c>
      <c r="AV22" s="1">
        <v>2.5</v>
      </c>
      <c r="AW22" s="1">
        <v>3.2</v>
      </c>
      <c r="AX22" s="1">
        <v>2.3999999999999998E-3</v>
      </c>
      <c r="AY22">
        <v>1.1999999999999999E-3</v>
      </c>
      <c r="AZ22" s="1">
        <v>1</v>
      </c>
      <c r="BA22" s="1">
        <f t="shared" si="0"/>
        <v>0</v>
      </c>
      <c r="BB22" s="1">
        <v>0.2</v>
      </c>
      <c r="BC22" s="1">
        <f t="shared" si="1"/>
        <v>2</v>
      </c>
      <c r="BD22" s="1">
        <f t="shared" si="2"/>
        <v>1.3599999999999999</v>
      </c>
      <c r="BE22" s="1">
        <f t="shared" si="3"/>
        <v>0.73529411764705888</v>
      </c>
    </row>
    <row r="23" spans="1:71" x14ac:dyDescent="0.25">
      <c r="B23" s="10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3"/>
      <c r="BA23" s="1"/>
    </row>
    <row r="24" spans="1:71" x14ac:dyDescent="0.25">
      <c r="A24" s="11" t="s">
        <v>103</v>
      </c>
      <c r="B24" t="s">
        <v>104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3"/>
    </row>
    <row r="28" spans="1:71" x14ac:dyDescent="0.25">
      <c r="A28" t="s">
        <v>105</v>
      </c>
      <c r="B28" s="2" t="s">
        <v>221</v>
      </c>
      <c r="C28" s="2" t="s">
        <v>220</v>
      </c>
      <c r="D28" s="2" t="s">
        <v>106</v>
      </c>
      <c r="E28" s="2" t="s">
        <v>107</v>
      </c>
      <c r="F28" s="2" t="s">
        <v>108</v>
      </c>
      <c r="G28" s="2" t="s">
        <v>109</v>
      </c>
      <c r="H28" s="2" t="s">
        <v>110</v>
      </c>
      <c r="I28" s="2" t="s">
        <v>111</v>
      </c>
      <c r="J28" s="2" t="s">
        <v>112</v>
      </c>
      <c r="K28" s="15"/>
    </row>
    <row r="29" spans="1:71" x14ac:dyDescent="0.25">
      <c r="B29" s="1">
        <v>154570780662.97195</v>
      </c>
      <c r="C29" s="1">
        <v>116331314878.89275</v>
      </c>
      <c r="D29" s="1">
        <v>2.3999999999999998E-3</v>
      </c>
      <c r="E29">
        <v>-1.1000000000000001E-3</v>
      </c>
      <c r="F29" s="1">
        <v>2</v>
      </c>
      <c r="G29" s="1">
        <f>(0.5-E29/D29)^F29</f>
        <v>0.91840277777777801</v>
      </c>
      <c r="H29" s="1">
        <v>0.4</v>
      </c>
      <c r="I29" s="1">
        <f>1+2*E29/D29</f>
        <v>8.3333333333333148E-2</v>
      </c>
      <c r="J29" s="1">
        <f>(C29-B29)*G29+B29-(B29+C29)*(H29/2)*I29</f>
        <v>114936514140.43758</v>
      </c>
    </row>
    <row r="30" spans="1:71" x14ac:dyDescent="0.25">
      <c r="B30" s="1">
        <v>154570780662.97195</v>
      </c>
      <c r="C30" s="1">
        <v>116331314878.89275</v>
      </c>
      <c r="D30" s="1">
        <v>2.3999999999999998E-3</v>
      </c>
      <c r="E30">
        <f>-0.001+0.0001</f>
        <v>-8.9999999999999998E-4</v>
      </c>
      <c r="F30" s="1">
        <v>2</v>
      </c>
      <c r="G30" s="1">
        <f t="shared" ref="G30:G40" si="11">(0.5-E30/D30)^F30</f>
        <v>0.765625</v>
      </c>
      <c r="H30" s="1">
        <v>0.4</v>
      </c>
      <c r="I30" s="1">
        <f t="shared" ref="I30:I40" si="12">1+2*E30/D30</f>
        <v>0.25</v>
      </c>
      <c r="J30" s="1">
        <f t="shared" ref="J30:J40" si="13">(C30-B30)*G30+B30-(B30+C30)*(H30/2)*I30</f>
        <v>111748584894.94308</v>
      </c>
    </row>
    <row r="31" spans="1:71" x14ac:dyDescent="0.25">
      <c r="A31" s="13"/>
      <c r="B31" s="1">
        <v>154570780662.97195</v>
      </c>
      <c r="C31" s="1">
        <v>116331314878.89275</v>
      </c>
      <c r="D31" s="1">
        <v>2.3999999999999998E-3</v>
      </c>
      <c r="E31">
        <f>E30+0.0002</f>
        <v>-6.9999999999999999E-4</v>
      </c>
      <c r="F31" s="1">
        <v>2</v>
      </c>
      <c r="G31" s="1">
        <f t="shared" si="11"/>
        <v>0.62673611111111127</v>
      </c>
      <c r="H31" s="1">
        <v>0.4</v>
      </c>
      <c r="I31" s="1">
        <f t="shared" si="12"/>
        <v>0.41666666666666663</v>
      </c>
      <c r="J31" s="1">
        <f t="shared" si="13"/>
        <v>108029551958.00302</v>
      </c>
    </row>
    <row r="32" spans="1:71" x14ac:dyDescent="0.25">
      <c r="B32" s="1">
        <v>154570780662.97195</v>
      </c>
      <c r="C32" s="1">
        <v>116331314878.89275</v>
      </c>
      <c r="D32" s="1">
        <v>2.3999999999999998E-3</v>
      </c>
      <c r="E32">
        <f t="shared" ref="E32:E39" si="14">E31+0.0002</f>
        <v>-5.0000000000000001E-4</v>
      </c>
      <c r="F32" s="1">
        <v>2</v>
      </c>
      <c r="G32" s="1">
        <f t="shared" si="11"/>
        <v>0.50173611111111116</v>
      </c>
      <c r="H32" s="1">
        <v>0.4</v>
      </c>
      <c r="I32" s="1">
        <f t="shared" si="12"/>
        <v>0.58333333333333326</v>
      </c>
      <c r="J32" s="1">
        <f t="shared" si="13"/>
        <v>103779415329.61743</v>
      </c>
    </row>
    <row r="33" spans="1:10" x14ac:dyDescent="0.25">
      <c r="B33" s="1">
        <v>154570780662.97195</v>
      </c>
      <c r="C33" s="1">
        <v>116331314878.89275</v>
      </c>
      <c r="D33" s="1">
        <v>2.3999999999999998E-3</v>
      </c>
      <c r="E33">
        <f t="shared" si="14"/>
        <v>-3.0000000000000003E-4</v>
      </c>
      <c r="F33" s="1">
        <v>2</v>
      </c>
      <c r="G33" s="1">
        <f t="shared" si="11"/>
        <v>0.390625</v>
      </c>
      <c r="H33" s="1">
        <v>0.4</v>
      </c>
      <c r="I33" s="1">
        <f t="shared" si="12"/>
        <v>0.75</v>
      </c>
      <c r="J33" s="1">
        <f t="shared" si="13"/>
        <v>98998175009.786301</v>
      </c>
    </row>
    <row r="34" spans="1:10" x14ac:dyDescent="0.25">
      <c r="B34" s="1">
        <v>154570780662.97195</v>
      </c>
      <c r="C34" s="1">
        <v>116331314878.89275</v>
      </c>
      <c r="D34" s="1">
        <v>2.3999999999999998E-3</v>
      </c>
      <c r="E34">
        <f t="shared" si="14"/>
        <v>-1.0000000000000002E-4</v>
      </c>
      <c r="F34" s="1">
        <v>2</v>
      </c>
      <c r="G34" s="1">
        <f t="shared" si="11"/>
        <v>0.29340277777777773</v>
      </c>
      <c r="H34" s="1">
        <v>0.4</v>
      </c>
      <c r="I34" s="1">
        <f t="shared" si="12"/>
        <v>0.91666666666666663</v>
      </c>
      <c r="J34" s="1">
        <f t="shared" si="13"/>
        <v>93685830998.509613</v>
      </c>
    </row>
    <row r="35" spans="1:10" x14ac:dyDescent="0.25">
      <c r="B35" s="1">
        <v>154570780662.97195</v>
      </c>
      <c r="C35" s="1">
        <v>116331314878.89275</v>
      </c>
      <c r="D35" s="1">
        <v>2.3999999999999998E-3</v>
      </c>
      <c r="E35">
        <f t="shared" si="14"/>
        <v>9.9999999999999991E-5</v>
      </c>
      <c r="F35" s="1">
        <v>2</v>
      </c>
      <c r="G35" s="1">
        <f t="shared" si="11"/>
        <v>0.21006944444444442</v>
      </c>
      <c r="H35" s="1">
        <v>0.4</v>
      </c>
      <c r="I35" s="1">
        <f t="shared" si="12"/>
        <v>1.0833333333333333</v>
      </c>
      <c r="J35" s="1">
        <f t="shared" si="13"/>
        <v>87842383295.787415</v>
      </c>
    </row>
    <row r="36" spans="1:10" x14ac:dyDescent="0.25">
      <c r="B36" s="1">
        <v>154570780662.97195</v>
      </c>
      <c r="C36" s="1">
        <v>116331314878.89275</v>
      </c>
      <c r="D36" s="1">
        <v>2.3999999999999998E-3</v>
      </c>
      <c r="E36">
        <f t="shared" si="14"/>
        <v>3.0000000000000003E-4</v>
      </c>
      <c r="F36" s="1">
        <v>2</v>
      </c>
      <c r="G36" s="1">
        <f t="shared" si="11"/>
        <v>0.140625</v>
      </c>
      <c r="H36" s="1">
        <v>0.4</v>
      </c>
      <c r="I36" s="1">
        <f t="shared" si="12"/>
        <v>1.25</v>
      </c>
      <c r="J36" s="1">
        <f t="shared" si="13"/>
        <v>81467831901.619644</v>
      </c>
    </row>
    <row r="37" spans="1:10" x14ac:dyDescent="0.25">
      <c r="B37" s="1">
        <v>154570780662.97195</v>
      </c>
      <c r="C37" s="1">
        <v>116331314878.89275</v>
      </c>
      <c r="D37" s="1">
        <v>2.3999999999999998E-3</v>
      </c>
      <c r="E37">
        <f t="shared" si="14"/>
        <v>5.0000000000000001E-4</v>
      </c>
      <c r="F37" s="1">
        <v>2</v>
      </c>
      <c r="G37" s="1">
        <f t="shared" si="11"/>
        <v>8.506944444444442E-2</v>
      </c>
      <c r="H37" s="1">
        <v>0.4</v>
      </c>
      <c r="I37" s="1">
        <f t="shared" si="12"/>
        <v>1.4166666666666667</v>
      </c>
      <c r="J37" s="1">
        <f t="shared" si="13"/>
        <v>74562176816.006317</v>
      </c>
    </row>
    <row r="38" spans="1:10" x14ac:dyDescent="0.25">
      <c r="B38" s="1">
        <v>154570780662.97195</v>
      </c>
      <c r="C38" s="1">
        <v>116331314878.89275</v>
      </c>
      <c r="D38" s="1">
        <v>2.3999999999999998E-3</v>
      </c>
      <c r="E38">
        <f t="shared" si="14"/>
        <v>6.9999999999999999E-4</v>
      </c>
      <c r="F38" s="1">
        <v>2</v>
      </c>
      <c r="G38" s="1">
        <f t="shared" si="11"/>
        <v>4.3402777777777769E-2</v>
      </c>
      <c r="H38" s="1">
        <v>0.4</v>
      </c>
      <c r="I38" s="1">
        <f t="shared" si="12"/>
        <v>1.5833333333333335</v>
      </c>
      <c r="J38" s="1">
        <f t="shared" si="13"/>
        <v>67125418038.947464</v>
      </c>
    </row>
    <row r="39" spans="1:10" x14ac:dyDescent="0.25">
      <c r="A39" s="1"/>
      <c r="B39" s="1">
        <v>154570780662.97195</v>
      </c>
      <c r="C39" s="1">
        <v>116331314878.89275</v>
      </c>
      <c r="D39" s="1">
        <v>2.3999999999999998E-3</v>
      </c>
      <c r="E39">
        <f t="shared" si="14"/>
        <v>8.9999999999999998E-4</v>
      </c>
      <c r="F39" s="1">
        <v>2</v>
      </c>
      <c r="G39" s="1">
        <f t="shared" si="11"/>
        <v>1.5625E-2</v>
      </c>
      <c r="H39" s="1">
        <v>0.4</v>
      </c>
      <c r="I39" s="1">
        <f t="shared" si="12"/>
        <v>1.75</v>
      </c>
      <c r="J39" s="1">
        <f t="shared" si="13"/>
        <v>59157555570.443054</v>
      </c>
    </row>
    <row r="40" spans="1:10" x14ac:dyDescent="0.25">
      <c r="A40" s="1"/>
      <c r="B40" s="12">
        <v>154570780662.97198</v>
      </c>
      <c r="C40" s="12">
        <v>116331314878.89275</v>
      </c>
      <c r="D40" s="1">
        <v>2.3999999999999998E-3</v>
      </c>
      <c r="E40" s="13">
        <v>1.1000000000000001E-3</v>
      </c>
      <c r="F40" s="1">
        <v>2</v>
      </c>
      <c r="G40" s="1">
        <f t="shared" si="11"/>
        <v>1.7361111111111034E-3</v>
      </c>
      <c r="H40" s="1">
        <v>0.4</v>
      </c>
      <c r="I40" s="1">
        <f t="shared" si="12"/>
        <v>1.916666666666667</v>
      </c>
      <c r="J40" s="1">
        <f t="shared" si="13"/>
        <v>50658589410.493103</v>
      </c>
    </row>
    <row r="41" spans="1:10" x14ac:dyDescent="0.25">
      <c r="A41" s="1"/>
      <c r="B41" s="1"/>
      <c r="C41" s="1"/>
      <c r="D41" s="1"/>
      <c r="F41" s="1"/>
      <c r="H41" s="1"/>
      <c r="J41" s="1"/>
    </row>
    <row r="42" spans="1:10" x14ac:dyDescent="0.25">
      <c r="A42" t="s">
        <v>113</v>
      </c>
      <c r="B42" s="2" t="s">
        <v>221</v>
      </c>
      <c r="C42" s="2" t="s">
        <v>220</v>
      </c>
      <c r="D42" s="2" t="s">
        <v>106</v>
      </c>
      <c r="E42" s="2" t="s">
        <v>107</v>
      </c>
      <c r="F42" s="2" t="s">
        <v>108</v>
      </c>
      <c r="G42" s="2" t="s">
        <v>109</v>
      </c>
      <c r="H42" s="2" t="s">
        <v>114</v>
      </c>
      <c r="I42" s="2" t="s">
        <v>111</v>
      </c>
      <c r="J42" s="2" t="s">
        <v>112</v>
      </c>
    </row>
    <row r="43" spans="1:10" x14ac:dyDescent="0.25">
      <c r="B43" s="1">
        <v>0.36788301471656604</v>
      </c>
      <c r="C43" s="1">
        <v>0.30709342560553632</v>
      </c>
      <c r="D43" s="1">
        <v>2.3999999999999998E-3</v>
      </c>
      <c r="E43">
        <v>-1.1000000000000001E-3</v>
      </c>
      <c r="F43" s="1">
        <v>2</v>
      </c>
      <c r="G43" s="1">
        <f>(0.5-E43/D43)^F43</f>
        <v>0.91840277777777801</v>
      </c>
      <c r="H43" s="1">
        <v>0.4</v>
      </c>
      <c r="I43" s="1">
        <f t="shared" ref="I43:I54" si="15">1+2*E43/D43</f>
        <v>8.3333333333333148E-2</v>
      </c>
      <c r="J43" s="1">
        <f>(C43-B43)*G43+B43-(B43+C43)*(H43/2)*I43</f>
        <v>0.30080407987832491</v>
      </c>
    </row>
    <row r="44" spans="1:10" x14ac:dyDescent="0.25">
      <c r="B44" s="1">
        <v>0.36788301471656604</v>
      </c>
      <c r="C44" s="1">
        <v>0.30709342560553632</v>
      </c>
      <c r="D44" s="1">
        <v>2.3999999999999998E-3</v>
      </c>
      <c r="E44">
        <f>-0.001+0.0001</f>
        <v>-8.9999999999999998E-4</v>
      </c>
      <c r="F44" s="1">
        <v>2</v>
      </c>
      <c r="G44" s="1">
        <f t="shared" ref="G44:G54" si="16">(0.5-E44/D44)^F44</f>
        <v>0.765625</v>
      </c>
      <c r="H44" s="1">
        <v>0.4</v>
      </c>
      <c r="I44" s="1">
        <f t="shared" si="15"/>
        <v>0.25</v>
      </c>
      <c r="J44" s="1">
        <f t="shared" ref="J44:J54" si="17">(C44-B44)*G44+B44-(B44+C44)*(H44/2)*I44</f>
        <v>0.2875921635373288</v>
      </c>
    </row>
    <row r="45" spans="1:10" x14ac:dyDescent="0.25">
      <c r="A45" s="13"/>
      <c r="B45" s="1">
        <v>0.36788301471656604</v>
      </c>
      <c r="C45" s="1">
        <v>0.30709342560553632</v>
      </c>
      <c r="D45" s="1">
        <v>2.3999999999999998E-3</v>
      </c>
      <c r="E45">
        <f>E44+0.0002</f>
        <v>-6.9999999999999999E-4</v>
      </c>
      <c r="F45" s="1">
        <v>2</v>
      </c>
      <c r="G45" s="1">
        <f t="shared" si="16"/>
        <v>0.62673611111111127</v>
      </c>
      <c r="H45" s="1">
        <v>0.4</v>
      </c>
      <c r="I45" s="1">
        <f t="shared" si="15"/>
        <v>0.41666666666666663</v>
      </c>
      <c r="J45" s="1">
        <f t="shared" si="17"/>
        <v>0.27353594734756836</v>
      </c>
    </row>
    <row r="46" spans="1:10" x14ac:dyDescent="0.25">
      <c r="B46" s="1">
        <v>0.36788301471656604</v>
      </c>
      <c r="C46" s="1">
        <v>0.30709342560553632</v>
      </c>
      <c r="D46" s="1">
        <v>2.3999999999999998E-3</v>
      </c>
      <c r="E46">
        <f t="shared" ref="E46:E53" si="18">E45+0.0002</f>
        <v>-5.0000000000000001E-4</v>
      </c>
      <c r="F46" s="1">
        <v>2</v>
      </c>
      <c r="G46" s="1">
        <f t="shared" si="16"/>
        <v>0.50173611111111116</v>
      </c>
      <c r="H46" s="1">
        <v>0.4</v>
      </c>
      <c r="I46" s="1">
        <f t="shared" si="15"/>
        <v>0.58333333333333326</v>
      </c>
      <c r="J46" s="1">
        <f t="shared" si="17"/>
        <v>0.25863543130904371</v>
      </c>
    </row>
    <row r="47" spans="1:10" x14ac:dyDescent="0.25">
      <c r="B47" s="1">
        <v>0.36788301471656604</v>
      </c>
      <c r="C47" s="1">
        <v>0.30709342560553632</v>
      </c>
      <c r="D47" s="1">
        <v>2.3999999999999998E-3</v>
      </c>
      <c r="E47">
        <f t="shared" si="18"/>
        <v>-3.0000000000000003E-4</v>
      </c>
      <c r="F47" s="1">
        <v>2</v>
      </c>
      <c r="G47" s="1">
        <f t="shared" si="16"/>
        <v>0.390625</v>
      </c>
      <c r="H47" s="1">
        <v>0.4</v>
      </c>
      <c r="I47" s="1">
        <f t="shared" si="15"/>
        <v>0.75</v>
      </c>
      <c r="J47" s="1">
        <f t="shared" si="17"/>
        <v>0.24289061542175469</v>
      </c>
    </row>
    <row r="48" spans="1:10" x14ac:dyDescent="0.25">
      <c r="B48" s="1">
        <v>0.36788301471656604</v>
      </c>
      <c r="C48" s="1">
        <v>0.30709342560553632</v>
      </c>
      <c r="D48" s="1">
        <v>2.3999999999999998E-3</v>
      </c>
      <c r="E48">
        <f t="shared" si="18"/>
        <v>-1.0000000000000002E-4</v>
      </c>
      <c r="F48" s="1">
        <v>2</v>
      </c>
      <c r="G48" s="1">
        <f t="shared" si="16"/>
        <v>0.29340277777777773</v>
      </c>
      <c r="H48" s="1">
        <v>0.4</v>
      </c>
      <c r="I48" s="1">
        <f t="shared" si="15"/>
        <v>0.91666666666666663</v>
      </c>
      <c r="J48" s="1">
        <f t="shared" si="17"/>
        <v>0.2263014996857014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f t="shared" si="18"/>
        <v>9.9999999999999991E-5</v>
      </c>
      <c r="F49" s="1">
        <v>2</v>
      </c>
      <c r="G49" s="1">
        <f t="shared" si="16"/>
        <v>0.21006944444444442</v>
      </c>
      <c r="H49" s="1">
        <v>0.4</v>
      </c>
      <c r="I49" s="1">
        <f t="shared" si="15"/>
        <v>1.0833333333333333</v>
      </c>
      <c r="J49" s="1">
        <f t="shared" si="17"/>
        <v>0.20886808410088381</v>
      </c>
    </row>
    <row r="50" spans="1:10" x14ac:dyDescent="0.25">
      <c r="B50" s="1">
        <v>0.36788301471656604</v>
      </c>
      <c r="C50" s="1">
        <v>0.30709342560553632</v>
      </c>
      <c r="D50" s="1">
        <v>2.3999999999999998E-3</v>
      </c>
      <c r="E50">
        <f t="shared" si="18"/>
        <v>3.0000000000000003E-4</v>
      </c>
      <c r="F50" s="1">
        <v>2</v>
      </c>
      <c r="G50" s="1">
        <f t="shared" si="16"/>
        <v>0.140625</v>
      </c>
      <c r="H50" s="1">
        <v>0.4</v>
      </c>
      <c r="I50" s="1">
        <f t="shared" si="15"/>
        <v>1.25</v>
      </c>
      <c r="J50" s="1">
        <f t="shared" si="17"/>
        <v>0.19059036866730186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f t="shared" si="18"/>
        <v>5.0000000000000001E-4</v>
      </c>
      <c r="F51" s="1">
        <v>2</v>
      </c>
      <c r="G51" s="1">
        <f t="shared" si="16"/>
        <v>8.506944444444442E-2</v>
      </c>
      <c r="H51" s="1">
        <v>0.4</v>
      </c>
      <c r="I51" s="1">
        <f t="shared" si="15"/>
        <v>1.4166666666666667</v>
      </c>
      <c r="J51" s="1">
        <f t="shared" si="17"/>
        <v>0.17146835338495564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>
        <f t="shared" si="18"/>
        <v>6.9999999999999999E-4</v>
      </c>
      <c r="F52" s="1">
        <v>2</v>
      </c>
      <c r="G52" s="1">
        <f t="shared" si="16"/>
        <v>4.3402777777777769E-2</v>
      </c>
      <c r="H52" s="1">
        <v>0.4</v>
      </c>
      <c r="I52" s="1">
        <f t="shared" si="15"/>
        <v>1.5833333333333335</v>
      </c>
      <c r="J52" s="1">
        <f t="shared" si="17"/>
        <v>0.15150203825384517</v>
      </c>
    </row>
    <row r="53" spans="1:10" x14ac:dyDescent="0.25">
      <c r="B53" s="1">
        <v>0.36788301471656604</v>
      </c>
      <c r="C53" s="1">
        <v>0.30709342560553632</v>
      </c>
      <c r="D53" s="1">
        <v>2.3999999999999998E-3</v>
      </c>
      <c r="E53">
        <f t="shared" si="18"/>
        <v>8.9999999999999998E-4</v>
      </c>
      <c r="F53" s="1">
        <v>2</v>
      </c>
      <c r="G53" s="1">
        <f t="shared" si="16"/>
        <v>1.5625E-2</v>
      </c>
      <c r="H53" s="1">
        <v>0.4</v>
      </c>
      <c r="I53" s="1">
        <f t="shared" si="15"/>
        <v>1.75</v>
      </c>
      <c r="J53" s="1">
        <f t="shared" si="17"/>
        <v>0.13069142327397038</v>
      </c>
    </row>
    <row r="54" spans="1:10" x14ac:dyDescent="0.25">
      <c r="B54" s="1">
        <v>0.36788301471656604</v>
      </c>
      <c r="C54" s="1">
        <v>0.30709342560553632</v>
      </c>
      <c r="D54" s="1">
        <v>2.3999999999999998E-3</v>
      </c>
      <c r="E54" s="13">
        <v>1.1000000000000001E-3</v>
      </c>
      <c r="F54" s="1">
        <v>2</v>
      </c>
      <c r="G54" s="1">
        <f t="shared" si="16"/>
        <v>1.7361111111111034E-3</v>
      </c>
      <c r="H54" s="1">
        <v>0.4</v>
      </c>
      <c r="I54" s="1">
        <f t="shared" si="15"/>
        <v>1.916666666666667</v>
      </c>
      <c r="J54" s="1">
        <f t="shared" si="17"/>
        <v>0.10903650844533119</v>
      </c>
    </row>
    <row r="56" spans="1:10" x14ac:dyDescent="0.25">
      <c r="A56" t="s">
        <v>97</v>
      </c>
      <c r="B56" s="2" t="s">
        <v>221</v>
      </c>
      <c r="C56" s="2" t="s">
        <v>220</v>
      </c>
      <c r="D56" s="2" t="s">
        <v>106</v>
      </c>
      <c r="E56" s="2" t="s">
        <v>107</v>
      </c>
      <c r="F56" s="2" t="s">
        <v>108</v>
      </c>
      <c r="G56" s="2" t="s">
        <v>109</v>
      </c>
      <c r="H56" s="2" t="s">
        <v>114</v>
      </c>
      <c r="I56" s="2" t="s">
        <v>111</v>
      </c>
      <c r="J56" s="2" t="s">
        <v>112</v>
      </c>
    </row>
    <row r="57" spans="1:10" x14ac:dyDescent="0.25">
      <c r="B57" s="1">
        <v>56500000000</v>
      </c>
      <c r="C57" s="1">
        <v>44500000000</v>
      </c>
      <c r="D57" s="1">
        <v>2.3999999999999998E-3</v>
      </c>
      <c r="E57">
        <v>-1.1000000000000001E-3</v>
      </c>
      <c r="F57" s="1">
        <v>2</v>
      </c>
      <c r="G57" s="1">
        <f>(0.5-E57/D57)^F57</f>
        <v>0.91840277777777801</v>
      </c>
      <c r="H57" s="1">
        <v>0.4</v>
      </c>
      <c r="I57" s="1">
        <f t="shared" ref="I57:I68" si="19">1+2*E57/D57</f>
        <v>8.3333333333333148E-2</v>
      </c>
      <c r="J57" s="1">
        <f>(C57-B57)*G57+B57-(B57+C57)*(H57/2)*I57</f>
        <v>43795833333.333336</v>
      </c>
    </row>
    <row r="58" spans="1:10" x14ac:dyDescent="0.25">
      <c r="B58" s="1">
        <v>56500000000</v>
      </c>
      <c r="C58" s="1">
        <v>44500000000</v>
      </c>
      <c r="D58" s="1">
        <v>2.3999999999999998E-3</v>
      </c>
      <c r="E58">
        <f>-0.001+0.0001</f>
        <v>-8.9999999999999998E-4</v>
      </c>
      <c r="F58" s="1">
        <v>2</v>
      </c>
      <c r="G58" s="1">
        <f t="shared" ref="G58:G68" si="20">(0.5-E58/D58)^F58</f>
        <v>0.765625</v>
      </c>
      <c r="H58" s="1">
        <v>0.4</v>
      </c>
      <c r="I58" s="1">
        <f t="shared" si="19"/>
        <v>0.25</v>
      </c>
      <c r="J58" s="1">
        <f t="shared" ref="J58:J68" si="21">(C58-B58)*G58+B58-(B58+C58)*(H58/2)*I58</f>
        <v>42262500000</v>
      </c>
    </row>
    <row r="59" spans="1:10" x14ac:dyDescent="0.25">
      <c r="A59" s="13"/>
      <c r="B59" s="1">
        <v>56500000000</v>
      </c>
      <c r="C59" s="1">
        <v>44500000000</v>
      </c>
      <c r="D59" s="1">
        <v>2.3999999999999998E-3</v>
      </c>
      <c r="E59">
        <f>E58+0.0002</f>
        <v>-6.9999999999999999E-4</v>
      </c>
      <c r="F59" s="1">
        <v>2</v>
      </c>
      <c r="G59" s="1">
        <f t="shared" si="20"/>
        <v>0.62673611111111127</v>
      </c>
      <c r="H59" s="1">
        <v>0.4</v>
      </c>
      <c r="I59" s="1">
        <f t="shared" si="19"/>
        <v>0.41666666666666663</v>
      </c>
      <c r="J59" s="1">
        <f t="shared" si="21"/>
        <v>40562500000</v>
      </c>
    </row>
    <row r="60" spans="1:10" x14ac:dyDescent="0.25">
      <c r="B60" s="1">
        <v>56500000000</v>
      </c>
      <c r="C60" s="1">
        <v>44500000000</v>
      </c>
      <c r="D60" s="1">
        <v>2.3999999999999998E-3</v>
      </c>
      <c r="E60">
        <f t="shared" ref="E60:E67" si="22">E59+0.0002</f>
        <v>-5.0000000000000001E-4</v>
      </c>
      <c r="F60" s="1">
        <v>2</v>
      </c>
      <c r="G60" s="1">
        <f t="shared" si="20"/>
        <v>0.50173611111111116</v>
      </c>
      <c r="H60" s="1">
        <v>0.4</v>
      </c>
      <c r="I60" s="1">
        <f t="shared" si="19"/>
        <v>0.58333333333333326</v>
      </c>
      <c r="J60" s="1">
        <f t="shared" si="21"/>
        <v>38695833333.333328</v>
      </c>
    </row>
    <row r="61" spans="1:10" x14ac:dyDescent="0.25">
      <c r="B61" s="1">
        <v>56500000000</v>
      </c>
      <c r="C61" s="1">
        <v>44500000000</v>
      </c>
      <c r="D61" s="1">
        <v>2.3999999999999998E-3</v>
      </c>
      <c r="E61">
        <f t="shared" si="22"/>
        <v>-3.0000000000000003E-4</v>
      </c>
      <c r="F61" s="1">
        <v>2</v>
      </c>
      <c r="G61" s="1">
        <f t="shared" si="20"/>
        <v>0.390625</v>
      </c>
      <c r="H61" s="1">
        <v>0.4</v>
      </c>
      <c r="I61" s="1">
        <f t="shared" si="19"/>
        <v>0.75</v>
      </c>
      <c r="J61" s="1">
        <f t="shared" si="21"/>
        <v>36662500000</v>
      </c>
    </row>
    <row r="62" spans="1:10" x14ac:dyDescent="0.25">
      <c r="B62" s="1">
        <v>56500000000</v>
      </c>
      <c r="C62" s="1">
        <v>44500000000</v>
      </c>
      <c r="D62" s="1">
        <v>2.3999999999999998E-3</v>
      </c>
      <c r="E62">
        <f t="shared" si="22"/>
        <v>-1.0000000000000002E-4</v>
      </c>
      <c r="F62" s="1">
        <v>2</v>
      </c>
      <c r="G62" s="1">
        <f t="shared" si="20"/>
        <v>0.29340277777777773</v>
      </c>
      <c r="H62" s="1">
        <v>0.4</v>
      </c>
      <c r="I62" s="1">
        <f t="shared" si="19"/>
        <v>0.91666666666666663</v>
      </c>
      <c r="J62" s="1">
        <f t="shared" si="21"/>
        <v>34462500000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f t="shared" si="22"/>
        <v>9.9999999999999991E-5</v>
      </c>
      <c r="F63" s="1">
        <v>2</v>
      </c>
      <c r="G63" s="1">
        <f t="shared" si="20"/>
        <v>0.21006944444444442</v>
      </c>
      <c r="H63" s="1">
        <v>0.4</v>
      </c>
      <c r="I63" s="1">
        <f t="shared" si="19"/>
        <v>1.0833333333333333</v>
      </c>
      <c r="J63" s="1">
        <f t="shared" si="21"/>
        <v>32095833333.333332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 t="shared" si="22"/>
        <v>3.0000000000000003E-4</v>
      </c>
      <c r="F64" s="1">
        <v>2</v>
      </c>
      <c r="G64" s="1">
        <f t="shared" si="20"/>
        <v>0.140625</v>
      </c>
      <c r="H64" s="1">
        <v>0.4</v>
      </c>
      <c r="I64" s="1">
        <f t="shared" si="19"/>
        <v>1.25</v>
      </c>
      <c r="J64" s="1">
        <f t="shared" si="21"/>
        <v>29562500000</v>
      </c>
    </row>
    <row r="65" spans="1:10" x14ac:dyDescent="0.25">
      <c r="B65" s="1">
        <v>56500000000</v>
      </c>
      <c r="C65" s="1">
        <v>44500000000</v>
      </c>
      <c r="D65" s="1">
        <v>2.3999999999999998E-3</v>
      </c>
      <c r="E65">
        <f t="shared" si="22"/>
        <v>5.0000000000000001E-4</v>
      </c>
      <c r="F65" s="1">
        <v>2</v>
      </c>
      <c r="G65" s="1">
        <f t="shared" si="20"/>
        <v>8.506944444444442E-2</v>
      </c>
      <c r="H65" s="1">
        <v>0.4</v>
      </c>
      <c r="I65" s="1">
        <f t="shared" si="19"/>
        <v>1.4166666666666667</v>
      </c>
      <c r="J65" s="1">
        <f t="shared" si="21"/>
        <v>26862499999.999996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>
        <f t="shared" si="22"/>
        <v>6.9999999999999999E-4</v>
      </c>
      <c r="F66" s="1">
        <v>2</v>
      </c>
      <c r="G66" s="1">
        <f t="shared" si="20"/>
        <v>4.3402777777777769E-2</v>
      </c>
      <c r="H66" s="1">
        <v>0.4</v>
      </c>
      <c r="I66" s="1">
        <f t="shared" si="19"/>
        <v>1.5833333333333335</v>
      </c>
      <c r="J66" s="1">
        <f t="shared" si="21"/>
        <v>23995833333.333328</v>
      </c>
    </row>
    <row r="67" spans="1:10" x14ac:dyDescent="0.25">
      <c r="B67" s="1">
        <v>56500000000</v>
      </c>
      <c r="C67" s="1">
        <v>44500000000</v>
      </c>
      <c r="D67" s="1">
        <v>2.3999999999999998E-3</v>
      </c>
      <c r="E67">
        <f t="shared" si="22"/>
        <v>8.9999999999999998E-4</v>
      </c>
      <c r="F67" s="1">
        <v>2</v>
      </c>
      <c r="G67" s="1">
        <f t="shared" si="20"/>
        <v>1.5625E-2</v>
      </c>
      <c r="H67" s="1">
        <v>0.4</v>
      </c>
      <c r="I67" s="1">
        <f t="shared" si="19"/>
        <v>1.75</v>
      </c>
      <c r="J67" s="1">
        <f t="shared" si="21"/>
        <v>20962500000</v>
      </c>
    </row>
    <row r="68" spans="1:10" x14ac:dyDescent="0.25">
      <c r="B68" s="1">
        <v>56500000000</v>
      </c>
      <c r="C68" s="1">
        <v>44500000000</v>
      </c>
      <c r="D68" s="1">
        <v>2.3999999999999998E-3</v>
      </c>
      <c r="E68" s="13">
        <v>1.1000000000000001E-3</v>
      </c>
      <c r="F68" s="1">
        <v>2</v>
      </c>
      <c r="G68" s="1">
        <f t="shared" si="20"/>
        <v>1.7361111111111034E-3</v>
      </c>
      <c r="H68" s="1">
        <v>0.4</v>
      </c>
      <c r="I68" s="1">
        <f t="shared" si="19"/>
        <v>1.916666666666667</v>
      </c>
      <c r="J68" s="1">
        <f t="shared" si="21"/>
        <v>17762499999.999992</v>
      </c>
    </row>
    <row r="70" spans="1:10" x14ac:dyDescent="0.25">
      <c r="A70" s="9" t="s">
        <v>33</v>
      </c>
      <c r="B70" s="2" t="s">
        <v>221</v>
      </c>
      <c r="C70" s="2" t="s">
        <v>220</v>
      </c>
      <c r="D70" s="2" t="s">
        <v>106</v>
      </c>
      <c r="E70" s="2" t="s">
        <v>107</v>
      </c>
      <c r="F70" s="2" t="s">
        <v>108</v>
      </c>
      <c r="G70" s="2" t="s">
        <v>109</v>
      </c>
      <c r="H70" s="2" t="s">
        <v>114</v>
      </c>
      <c r="I70" s="2" t="s">
        <v>111</v>
      </c>
      <c r="J70" s="2" t="s">
        <v>112</v>
      </c>
    </row>
    <row r="71" spans="1:10" x14ac:dyDescent="0.25">
      <c r="B71" s="1">
        <v>52200000000</v>
      </c>
      <c r="C71" s="1">
        <v>51600000000</v>
      </c>
      <c r="D71" s="1">
        <v>2.3999999999999998E-3</v>
      </c>
      <c r="E71">
        <v>-1.1000000000000001E-3</v>
      </c>
      <c r="F71" s="1">
        <v>2</v>
      </c>
      <c r="G71" s="1">
        <f>(0.5-E71/D71)^F71</f>
        <v>0.91840277777777801</v>
      </c>
      <c r="H71" s="1">
        <v>0.4</v>
      </c>
      <c r="I71" s="1">
        <f>1+2*E71/D71</f>
        <v>8.3333333333333148E-2</v>
      </c>
      <c r="J71" s="1">
        <f>(C71-B71)*G71+B71-(B71+C71)*(H71/2)*I71</f>
        <v>49918958333.333344</v>
      </c>
    </row>
    <row r="72" spans="1:10" x14ac:dyDescent="0.25">
      <c r="B72" s="1">
        <v>52200000000</v>
      </c>
      <c r="C72" s="1">
        <v>51600000000</v>
      </c>
      <c r="D72" s="1">
        <v>2.3999999999999998E-3</v>
      </c>
      <c r="E72">
        <f>-0.001+0.0001</f>
        <v>-8.9999999999999998E-4</v>
      </c>
      <c r="F72" s="1">
        <v>2</v>
      </c>
      <c r="G72" s="1">
        <f t="shared" ref="G72:G82" si="23">(0.5-E72/D72)^F72</f>
        <v>0.765625</v>
      </c>
      <c r="H72" s="1">
        <v>0.4</v>
      </c>
      <c r="I72" s="1">
        <f t="shared" ref="I72:I82" si="24">1+2*E72/D72</f>
        <v>0.25</v>
      </c>
      <c r="J72" s="1">
        <f t="shared" ref="J72:J82" si="25">(C72-B72)*G72+B72-(B72+C72)*(H72/2)*I72</f>
        <v>46550625000</v>
      </c>
    </row>
    <row r="73" spans="1:10" x14ac:dyDescent="0.25">
      <c r="B73" s="1">
        <v>52200000000</v>
      </c>
      <c r="C73" s="1">
        <v>51600000000</v>
      </c>
      <c r="D73" s="1">
        <v>2.3999999999999998E-3</v>
      </c>
      <c r="E73">
        <f>E72+0.0002</f>
        <v>-6.9999999999999999E-4</v>
      </c>
      <c r="F73" s="1">
        <v>2</v>
      </c>
      <c r="G73" s="1">
        <f t="shared" si="23"/>
        <v>0.62673611111111127</v>
      </c>
      <c r="H73" s="1">
        <v>0.4</v>
      </c>
      <c r="I73" s="1">
        <f t="shared" si="24"/>
        <v>0.41666666666666663</v>
      </c>
      <c r="J73" s="1">
        <f t="shared" si="25"/>
        <v>43173958333.333336</v>
      </c>
    </row>
    <row r="74" spans="1:10" x14ac:dyDescent="0.25">
      <c r="B74" s="1">
        <v>52200000000</v>
      </c>
      <c r="C74" s="1">
        <v>51600000000</v>
      </c>
      <c r="D74" s="1">
        <v>2.3999999999999998E-3</v>
      </c>
      <c r="E74">
        <f t="shared" ref="E74:E81" si="26">E73+0.0002</f>
        <v>-5.0000000000000001E-4</v>
      </c>
      <c r="F74" s="1">
        <v>2</v>
      </c>
      <c r="G74" s="1">
        <f t="shared" si="23"/>
        <v>0.50173611111111116</v>
      </c>
      <c r="H74" s="1">
        <v>0.4</v>
      </c>
      <c r="I74" s="1">
        <f t="shared" si="24"/>
        <v>0.58333333333333326</v>
      </c>
      <c r="J74" s="1">
        <f t="shared" si="25"/>
        <v>39788958333.333336</v>
      </c>
    </row>
    <row r="75" spans="1:10" x14ac:dyDescent="0.25">
      <c r="B75" s="1">
        <v>52200000000</v>
      </c>
      <c r="C75" s="1">
        <v>51600000000</v>
      </c>
      <c r="D75" s="1">
        <v>2.3999999999999998E-3</v>
      </c>
      <c r="E75">
        <f t="shared" si="26"/>
        <v>-3.0000000000000003E-4</v>
      </c>
      <c r="F75" s="1">
        <v>2</v>
      </c>
      <c r="G75" s="1">
        <f t="shared" si="23"/>
        <v>0.390625</v>
      </c>
      <c r="H75" s="1">
        <v>0.4</v>
      </c>
      <c r="I75" s="1">
        <f t="shared" si="24"/>
        <v>0.75</v>
      </c>
      <c r="J75" s="1">
        <f t="shared" si="25"/>
        <v>36395625000</v>
      </c>
    </row>
    <row r="76" spans="1:10" x14ac:dyDescent="0.25">
      <c r="B76" s="1">
        <v>52200000000</v>
      </c>
      <c r="C76" s="1">
        <v>51600000000</v>
      </c>
      <c r="D76" s="1">
        <v>2.3999999999999998E-3</v>
      </c>
      <c r="E76">
        <f t="shared" si="26"/>
        <v>-1.0000000000000002E-4</v>
      </c>
      <c r="F76" s="1">
        <v>2</v>
      </c>
      <c r="G76" s="1">
        <f t="shared" si="23"/>
        <v>0.29340277777777773</v>
      </c>
      <c r="H76" s="1">
        <v>0.4</v>
      </c>
      <c r="I76" s="1">
        <f t="shared" si="24"/>
        <v>0.91666666666666663</v>
      </c>
      <c r="J76" s="1">
        <f t="shared" si="25"/>
        <v>32993958333.333336</v>
      </c>
    </row>
    <row r="77" spans="1:10" x14ac:dyDescent="0.25">
      <c r="B77" s="1">
        <v>52200000000</v>
      </c>
      <c r="C77" s="1">
        <v>51600000000</v>
      </c>
      <c r="D77" s="1">
        <v>2.3999999999999998E-3</v>
      </c>
      <c r="E77">
        <f t="shared" si="26"/>
        <v>9.9999999999999991E-5</v>
      </c>
      <c r="F77" s="1">
        <v>2</v>
      </c>
      <c r="G77" s="1">
        <f t="shared" si="23"/>
        <v>0.21006944444444442</v>
      </c>
      <c r="H77" s="1">
        <v>0.4</v>
      </c>
      <c r="I77" s="1">
        <f t="shared" si="24"/>
        <v>1.0833333333333333</v>
      </c>
      <c r="J77" s="1">
        <f t="shared" si="25"/>
        <v>29583958333.333336</v>
      </c>
    </row>
    <row r="78" spans="1:10" x14ac:dyDescent="0.25">
      <c r="B78" s="1">
        <v>52200000000</v>
      </c>
      <c r="C78" s="1">
        <v>51600000000</v>
      </c>
      <c r="D78" s="1">
        <v>2.3999999999999998E-3</v>
      </c>
      <c r="E78">
        <f t="shared" si="26"/>
        <v>3.0000000000000003E-4</v>
      </c>
      <c r="F78" s="1">
        <v>2</v>
      </c>
      <c r="G78" s="1">
        <f t="shared" si="23"/>
        <v>0.140625</v>
      </c>
      <c r="H78" s="1">
        <v>0.4</v>
      </c>
      <c r="I78" s="1">
        <f t="shared" si="24"/>
        <v>1.25</v>
      </c>
      <c r="J78" s="1">
        <f t="shared" si="25"/>
        <v>26165625000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f t="shared" si="26"/>
        <v>5.0000000000000001E-4</v>
      </c>
      <c r="F79" s="1">
        <v>2</v>
      </c>
      <c r="G79" s="1">
        <f t="shared" si="23"/>
        <v>8.506944444444442E-2</v>
      </c>
      <c r="H79" s="1">
        <v>0.4</v>
      </c>
      <c r="I79" s="1">
        <f t="shared" si="24"/>
        <v>1.4166666666666667</v>
      </c>
      <c r="J79" s="1">
        <f t="shared" si="25"/>
        <v>22738958333.333336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>
        <f t="shared" si="26"/>
        <v>6.9999999999999999E-4</v>
      </c>
      <c r="F80" s="1">
        <v>2</v>
      </c>
      <c r="G80" s="1">
        <f t="shared" si="23"/>
        <v>4.3402777777777769E-2</v>
      </c>
      <c r="H80" s="1">
        <v>0.4</v>
      </c>
      <c r="I80" s="1">
        <f t="shared" si="24"/>
        <v>1.5833333333333335</v>
      </c>
      <c r="J80" s="1">
        <f t="shared" si="25"/>
        <v>19303958333.333332</v>
      </c>
    </row>
    <row r="81" spans="1:10" x14ac:dyDescent="0.25">
      <c r="B81" s="1">
        <v>52200000000</v>
      </c>
      <c r="C81" s="1">
        <v>51600000000</v>
      </c>
      <c r="D81" s="1">
        <v>2.3999999999999998E-3</v>
      </c>
      <c r="E81">
        <f t="shared" si="26"/>
        <v>8.9999999999999998E-4</v>
      </c>
      <c r="F81" s="1">
        <v>2</v>
      </c>
      <c r="G81" s="1">
        <f t="shared" si="23"/>
        <v>1.5625E-2</v>
      </c>
      <c r="H81" s="1">
        <v>0.4</v>
      </c>
      <c r="I81" s="1">
        <f t="shared" si="24"/>
        <v>1.75</v>
      </c>
      <c r="J81" s="1">
        <f t="shared" si="25"/>
        <v>15860625000</v>
      </c>
    </row>
    <row r="82" spans="1:10" x14ac:dyDescent="0.25">
      <c r="B82" s="1">
        <v>52200000000</v>
      </c>
      <c r="C82" s="1">
        <v>51600000000</v>
      </c>
      <c r="D82" s="1">
        <v>2.3999999999999998E-3</v>
      </c>
      <c r="E82" s="13">
        <v>1.1000000000000001E-3</v>
      </c>
      <c r="F82" s="1">
        <v>2</v>
      </c>
      <c r="G82" s="1">
        <f t="shared" si="23"/>
        <v>1.7361111111111034E-3</v>
      </c>
      <c r="H82" s="1">
        <v>0.4</v>
      </c>
      <c r="I82" s="1">
        <f t="shared" si="24"/>
        <v>1.916666666666667</v>
      </c>
      <c r="J82" s="1">
        <f t="shared" si="25"/>
        <v>12408958333.333328</v>
      </c>
    </row>
    <row r="84" spans="1:10" x14ac:dyDescent="0.25">
      <c r="A84" s="9" t="s">
        <v>115</v>
      </c>
      <c r="B84" s="2" t="s">
        <v>221</v>
      </c>
      <c r="C84" s="2" t="s">
        <v>220</v>
      </c>
      <c r="D84" s="2" t="s">
        <v>106</v>
      </c>
      <c r="E84" s="2" t="s">
        <v>107</v>
      </c>
      <c r="F84" s="2" t="s">
        <v>108</v>
      </c>
      <c r="G84" s="2" t="s">
        <v>109</v>
      </c>
      <c r="H84" s="2" t="s">
        <v>114</v>
      </c>
      <c r="I84" s="2" t="s">
        <v>111</v>
      </c>
      <c r="J84" s="2" t="s">
        <v>112</v>
      </c>
    </row>
    <row r="85" spans="1:10" x14ac:dyDescent="0.25">
      <c r="B85">
        <v>0</v>
      </c>
      <c r="C85" s="1">
        <v>-7.9837940896091497E-11</v>
      </c>
      <c r="D85" s="1">
        <v>2.3999999999999998E-3</v>
      </c>
      <c r="E85">
        <v>-1.1000000000000001E-3</v>
      </c>
      <c r="F85" s="1">
        <v>2</v>
      </c>
      <c r="G85" s="1">
        <f>(0.5-E85/D85)^F85</f>
        <v>0.91840277777777801</v>
      </c>
      <c r="H85" s="1">
        <v>0.4</v>
      </c>
      <c r="I85" s="1">
        <f t="shared" ref="I85:I96" si="27">1+2*E85/D85</f>
        <v>8.3333333333333148E-2</v>
      </c>
      <c r="J85" s="1">
        <f>(C85-B85)*G85+B85-(B85+C85)*(H85/2)*I85</f>
        <v>-7.1992754342760306E-11</v>
      </c>
    </row>
    <row r="86" spans="1:10" x14ac:dyDescent="0.25">
      <c r="B86">
        <v>0</v>
      </c>
      <c r="C86" s="1">
        <v>-7.9837940896091497E-11</v>
      </c>
      <c r="D86" s="1">
        <v>2.3999999999999998E-3</v>
      </c>
      <c r="E86">
        <f>-0.001+0.0001</f>
        <v>-8.9999999999999998E-4</v>
      </c>
      <c r="F86" s="1">
        <v>2</v>
      </c>
      <c r="G86" s="1">
        <f t="shared" ref="G86:G96" si="28">(0.5-E86/D86)^F86</f>
        <v>0.765625</v>
      </c>
      <c r="H86" s="1">
        <v>0.4</v>
      </c>
      <c r="I86" s="1">
        <f t="shared" si="27"/>
        <v>0.25</v>
      </c>
      <c r="J86" s="1">
        <f t="shared" ref="J86:J96" si="29">(C86-B86)*G86+B86-(B86+C86)*(H86/2)*I86</f>
        <v>-5.7134026453765478E-11</v>
      </c>
    </row>
    <row r="87" spans="1:10" x14ac:dyDescent="0.25">
      <c r="B87">
        <v>0</v>
      </c>
      <c r="C87" s="1">
        <v>-7.9837940896091497E-11</v>
      </c>
      <c r="D87" s="1">
        <v>2.3999999999999998E-3</v>
      </c>
      <c r="E87">
        <f>E86+0.0002</f>
        <v>-6.9999999999999999E-4</v>
      </c>
      <c r="F87" s="1">
        <v>2</v>
      </c>
      <c r="G87" s="1">
        <f t="shared" si="28"/>
        <v>0.62673611111111127</v>
      </c>
      <c r="H87" s="1">
        <v>0.4</v>
      </c>
      <c r="I87" s="1">
        <f t="shared" si="27"/>
        <v>0.41666666666666663</v>
      </c>
      <c r="J87" s="1">
        <f t="shared" si="29"/>
        <v>-4.3384158854994179E-11</v>
      </c>
    </row>
    <row r="88" spans="1:10" x14ac:dyDescent="0.25">
      <c r="B88">
        <v>0</v>
      </c>
      <c r="C88" s="1">
        <v>-7.9837940896091497E-11</v>
      </c>
      <c r="D88" s="1">
        <v>2.3999999999999998E-3</v>
      </c>
      <c r="E88">
        <f t="shared" ref="E88:E95" si="30">E87+0.0002</f>
        <v>-5.0000000000000001E-4</v>
      </c>
      <c r="F88" s="1">
        <v>2</v>
      </c>
      <c r="G88" s="1">
        <f t="shared" si="28"/>
        <v>0.50173611111111116</v>
      </c>
      <c r="H88" s="1">
        <v>0.4</v>
      </c>
      <c r="I88" s="1">
        <f t="shared" si="27"/>
        <v>0.58333333333333326</v>
      </c>
      <c r="J88" s="1">
        <f t="shared" si="29"/>
        <v>-3.0743151546446348E-11</v>
      </c>
    </row>
    <row r="89" spans="1:10" x14ac:dyDescent="0.25">
      <c r="B89">
        <v>0</v>
      </c>
      <c r="C89" s="1">
        <v>-7.9837940896091497E-11</v>
      </c>
      <c r="D89" s="1">
        <v>2.3999999999999998E-3</v>
      </c>
      <c r="E89">
        <f t="shared" si="30"/>
        <v>-3.0000000000000003E-4</v>
      </c>
      <c r="F89" s="1">
        <v>2</v>
      </c>
      <c r="G89" s="1">
        <f t="shared" si="28"/>
        <v>0.390625</v>
      </c>
      <c r="H89" s="1">
        <v>0.4</v>
      </c>
      <c r="I89" s="1">
        <f t="shared" si="27"/>
        <v>0.75</v>
      </c>
      <c r="J89" s="1">
        <f t="shared" si="29"/>
        <v>-1.9211004528122017E-11</v>
      </c>
    </row>
    <row r="90" spans="1:10" x14ac:dyDescent="0.25">
      <c r="B90">
        <v>0</v>
      </c>
      <c r="C90" s="1">
        <v>-7.9837940896091497E-11</v>
      </c>
      <c r="D90" s="1">
        <v>2.3999999999999998E-3</v>
      </c>
      <c r="E90">
        <f t="shared" si="30"/>
        <v>-1.0000000000000002E-4</v>
      </c>
      <c r="F90" s="1">
        <v>2</v>
      </c>
      <c r="G90" s="1">
        <f t="shared" si="28"/>
        <v>0.29340277777777773</v>
      </c>
      <c r="H90" s="1">
        <v>0.4</v>
      </c>
      <c r="I90" s="1">
        <f t="shared" si="27"/>
        <v>0.91666666666666663</v>
      </c>
      <c r="J90" s="1">
        <f t="shared" si="29"/>
        <v>-8.7877178000211775E-12</v>
      </c>
    </row>
    <row r="91" spans="1:10" x14ac:dyDescent="0.25">
      <c r="B91">
        <v>0</v>
      </c>
      <c r="C91" s="1">
        <v>-7.9837940896091497E-11</v>
      </c>
      <c r="D91" s="1">
        <v>2.3999999999999998E-3</v>
      </c>
      <c r="E91">
        <f t="shared" si="30"/>
        <v>9.9999999999999991E-5</v>
      </c>
      <c r="F91" s="1">
        <v>2</v>
      </c>
      <c r="G91" s="1">
        <f t="shared" si="28"/>
        <v>0.21006944444444442</v>
      </c>
      <c r="H91" s="1">
        <v>0.4</v>
      </c>
      <c r="I91" s="1">
        <f t="shared" si="27"/>
        <v>1.0833333333333333</v>
      </c>
      <c r="J91" s="1">
        <f t="shared" si="29"/>
        <v>5.2670863785616013E-13</v>
      </c>
    </row>
    <row r="92" spans="1:10" x14ac:dyDescent="0.25">
      <c r="B92">
        <v>0</v>
      </c>
      <c r="C92" s="1">
        <v>-7.9837940896091497E-11</v>
      </c>
      <c r="D92" s="1">
        <v>2.3999999999999998E-3</v>
      </c>
      <c r="E92">
        <f t="shared" si="30"/>
        <v>3.0000000000000003E-4</v>
      </c>
      <c r="F92" s="1">
        <v>2</v>
      </c>
      <c r="G92" s="1">
        <f t="shared" si="28"/>
        <v>0.140625</v>
      </c>
      <c r="H92" s="1">
        <v>0.4</v>
      </c>
      <c r="I92" s="1">
        <f t="shared" si="27"/>
        <v>1.25</v>
      </c>
      <c r="J92" s="1">
        <f t="shared" si="29"/>
        <v>8.7322747855100073E-12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f t="shared" si="30"/>
        <v>5.0000000000000001E-4</v>
      </c>
      <c r="F93" s="1">
        <v>2</v>
      </c>
      <c r="G93" s="1">
        <f t="shared" si="28"/>
        <v>8.506944444444442E-2</v>
      </c>
      <c r="H93" s="1">
        <v>0.4</v>
      </c>
      <c r="I93" s="1">
        <f t="shared" si="27"/>
        <v>1.4166666666666667</v>
      </c>
      <c r="J93" s="1">
        <f t="shared" si="29"/>
        <v>1.5828980642940366E-11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>
        <f t="shared" si="30"/>
        <v>6.9999999999999999E-4</v>
      </c>
      <c r="F94" s="1">
        <v>2</v>
      </c>
      <c r="G94" s="1">
        <f t="shared" si="28"/>
        <v>4.3402777777777769E-2</v>
      </c>
      <c r="H94" s="1">
        <v>0.4</v>
      </c>
      <c r="I94" s="1">
        <f t="shared" si="27"/>
        <v>1.5833333333333335</v>
      </c>
      <c r="J94" s="1">
        <f t="shared" si="29"/>
        <v>2.181682621014723E-11</v>
      </c>
    </row>
    <row r="95" spans="1:10" x14ac:dyDescent="0.25">
      <c r="B95">
        <v>0</v>
      </c>
      <c r="C95" s="1">
        <v>-7.9837940896091497E-11</v>
      </c>
      <c r="D95" s="1">
        <v>2.3999999999999998E-3</v>
      </c>
      <c r="E95">
        <f t="shared" si="30"/>
        <v>8.9999999999999998E-4</v>
      </c>
      <c r="F95" s="1">
        <v>2</v>
      </c>
      <c r="G95" s="1">
        <f t="shared" si="28"/>
        <v>1.5625E-2</v>
      </c>
      <c r="H95" s="1">
        <v>0.4</v>
      </c>
      <c r="I95" s="1">
        <f t="shared" si="27"/>
        <v>1.75</v>
      </c>
      <c r="J95" s="1">
        <f t="shared" si="29"/>
        <v>2.6695811487130596E-11</v>
      </c>
    </row>
    <row r="96" spans="1:10" x14ac:dyDescent="0.25">
      <c r="B96">
        <v>0</v>
      </c>
      <c r="C96" s="1">
        <v>-7.9837940896091497E-11</v>
      </c>
      <c r="D96" s="1">
        <v>2.3999999999999998E-3</v>
      </c>
      <c r="E96" s="13">
        <v>1.1000000000000001E-3</v>
      </c>
      <c r="F96" s="1">
        <v>2</v>
      </c>
      <c r="G96" s="1">
        <f t="shared" si="28"/>
        <v>1.7361111111111034E-3</v>
      </c>
      <c r="H96" s="1">
        <v>0.4</v>
      </c>
      <c r="I96" s="1">
        <f t="shared" si="27"/>
        <v>1.916666666666667</v>
      </c>
      <c r="J96" s="1">
        <f t="shared" si="29"/>
        <v>3.0465936473890473E-11</v>
      </c>
    </row>
    <row r="97" spans="1:10" x14ac:dyDescent="0.25">
      <c r="J97" s="1"/>
    </row>
    <row r="98" spans="1:10" x14ac:dyDescent="0.25">
      <c r="A98" s="9" t="s">
        <v>39</v>
      </c>
      <c r="B98" s="2" t="s">
        <v>221</v>
      </c>
      <c r="C98" s="2" t="s">
        <v>220</v>
      </c>
      <c r="D98" s="2" t="s">
        <v>106</v>
      </c>
      <c r="E98" s="2" t="s">
        <v>107</v>
      </c>
      <c r="F98" s="2" t="s">
        <v>108</v>
      </c>
      <c r="G98" s="2" t="s">
        <v>109</v>
      </c>
      <c r="H98" s="2" t="s">
        <v>114</v>
      </c>
      <c r="I98" s="2" t="s">
        <v>111</v>
      </c>
      <c r="J98" s="2" t="s">
        <v>112</v>
      </c>
    </row>
    <row r="99" spans="1:10" x14ac:dyDescent="0.25">
      <c r="B99" s="1">
        <v>138.44155844155841</v>
      </c>
      <c r="C99" s="1">
        <v>0</v>
      </c>
      <c r="D99" s="1">
        <v>2.3999999999999998E-3</v>
      </c>
      <c r="E99">
        <v>-1.1000000000000001E-3</v>
      </c>
      <c r="F99" s="1">
        <v>2</v>
      </c>
      <c r="G99" s="1">
        <f>(0.5-E99/D99)^F99</f>
        <v>0.91840277777777801</v>
      </c>
      <c r="H99" s="1">
        <v>0.4</v>
      </c>
      <c r="I99" s="1">
        <f t="shared" ref="I99:I110" si="31">1+2*E99/D99</f>
        <v>8.3333333333333148E-2</v>
      </c>
      <c r="J99" s="1">
        <f>(C99-B99)*G99+B99-(B99+C99)*(H99/2)*I99</f>
        <v>8.989087301587265</v>
      </c>
    </row>
    <row r="100" spans="1:10" x14ac:dyDescent="0.25">
      <c r="B100" s="1">
        <v>138.44155844155841</v>
      </c>
      <c r="C100" s="1">
        <v>0</v>
      </c>
      <c r="D100" s="1">
        <v>2.3999999999999998E-3</v>
      </c>
      <c r="E100">
        <f>-0.001+0.0001</f>
        <v>-8.9999999999999998E-4</v>
      </c>
      <c r="F100" s="1">
        <v>2</v>
      </c>
      <c r="G100" s="1">
        <f t="shared" ref="G100:G110" si="32">(0.5-E100/D100)^F100</f>
        <v>0.765625</v>
      </c>
      <c r="H100" s="1">
        <v>0.4</v>
      </c>
      <c r="I100" s="1">
        <f t="shared" si="31"/>
        <v>0.25</v>
      </c>
      <c r="J100" s="1">
        <f t="shared" ref="J100:J110" si="33">(C100-B100)*G100+B100-(B100+C100)*(H100/2)*I100</f>
        <v>25.525162337662334</v>
      </c>
    </row>
    <row r="101" spans="1:10" x14ac:dyDescent="0.25">
      <c r="B101" s="1">
        <v>138.44155844155841</v>
      </c>
      <c r="C101" s="1">
        <v>0</v>
      </c>
      <c r="D101" s="1">
        <v>2.3999999999999998E-3</v>
      </c>
      <c r="E101">
        <f>E100+0.0002</f>
        <v>-6.9999999999999999E-4</v>
      </c>
      <c r="F101" s="1">
        <v>2</v>
      </c>
      <c r="G101" s="1">
        <f t="shared" si="32"/>
        <v>0.62673611111111127</v>
      </c>
      <c r="H101" s="1">
        <v>0.4</v>
      </c>
      <c r="I101" s="1">
        <f t="shared" si="31"/>
        <v>0.41666666666666663</v>
      </c>
      <c r="J101" s="1">
        <f t="shared" si="33"/>
        <v>40.13843795093792</v>
      </c>
    </row>
    <row r="102" spans="1:10" x14ac:dyDescent="0.25">
      <c r="B102" s="1">
        <v>138.44155844155841</v>
      </c>
      <c r="C102" s="1">
        <v>0</v>
      </c>
      <c r="D102" s="1">
        <v>2.3999999999999998E-3</v>
      </c>
      <c r="E102">
        <f t="shared" ref="E102:E109" si="34">E101+0.0002</f>
        <v>-5.0000000000000001E-4</v>
      </c>
      <c r="F102" s="1">
        <v>2</v>
      </c>
      <c r="G102" s="1">
        <f t="shared" si="32"/>
        <v>0.50173611111111116</v>
      </c>
      <c r="H102" s="1">
        <v>0.4</v>
      </c>
      <c r="I102" s="1">
        <f t="shared" si="31"/>
        <v>0.58333333333333326</v>
      </c>
      <c r="J102" s="1">
        <f t="shared" si="33"/>
        <v>52.828914141414124</v>
      </c>
    </row>
    <row r="103" spans="1:10" x14ac:dyDescent="0.25">
      <c r="B103" s="1">
        <v>138.44155844155841</v>
      </c>
      <c r="C103" s="1">
        <v>0</v>
      </c>
      <c r="D103" s="1">
        <v>2.3999999999999998E-3</v>
      </c>
      <c r="E103">
        <f t="shared" si="34"/>
        <v>-3.0000000000000003E-4</v>
      </c>
      <c r="F103" s="1">
        <v>2</v>
      </c>
      <c r="G103" s="1">
        <f t="shared" si="32"/>
        <v>0.390625</v>
      </c>
      <c r="H103" s="1">
        <v>0.4</v>
      </c>
      <c r="I103" s="1">
        <f t="shared" si="31"/>
        <v>0.75</v>
      </c>
      <c r="J103" s="1">
        <f t="shared" si="33"/>
        <v>63.596590909090892</v>
      </c>
    </row>
    <row r="104" spans="1:10" x14ac:dyDescent="0.25">
      <c r="B104" s="1">
        <v>138.44155844155841</v>
      </c>
      <c r="C104" s="1">
        <v>0</v>
      </c>
      <c r="D104" s="1">
        <v>2.3999999999999998E-3</v>
      </c>
      <c r="E104">
        <f t="shared" si="34"/>
        <v>-1.0000000000000002E-4</v>
      </c>
      <c r="F104" s="1">
        <v>2</v>
      </c>
      <c r="G104" s="1">
        <f t="shared" si="32"/>
        <v>0.29340277777777773</v>
      </c>
      <c r="H104" s="1">
        <v>0.4</v>
      </c>
      <c r="I104" s="1">
        <f t="shared" si="31"/>
        <v>0.91666666666666663</v>
      </c>
      <c r="J104" s="1">
        <f t="shared" si="33"/>
        <v>72.441468253968239</v>
      </c>
    </row>
    <row r="105" spans="1:10" x14ac:dyDescent="0.25">
      <c r="B105" s="1">
        <v>138.44155844155841</v>
      </c>
      <c r="C105" s="1">
        <v>0</v>
      </c>
      <c r="D105" s="1">
        <v>2.3999999999999998E-3</v>
      </c>
      <c r="E105">
        <f t="shared" si="34"/>
        <v>9.9999999999999991E-5</v>
      </c>
      <c r="F105" s="1">
        <v>2</v>
      </c>
      <c r="G105" s="1">
        <f t="shared" si="32"/>
        <v>0.21006944444444442</v>
      </c>
      <c r="H105" s="1">
        <v>0.4</v>
      </c>
      <c r="I105" s="1">
        <f t="shared" si="31"/>
        <v>1.0833333333333333</v>
      </c>
      <c r="J105" s="1">
        <f t="shared" si="33"/>
        <v>79.363546176046157</v>
      </c>
    </row>
    <row r="106" spans="1:10" x14ac:dyDescent="0.25">
      <c r="B106" s="1">
        <v>138.44155844155841</v>
      </c>
      <c r="C106" s="1">
        <v>0</v>
      </c>
      <c r="D106" s="1">
        <v>2.3999999999999998E-3</v>
      </c>
      <c r="E106">
        <f t="shared" si="34"/>
        <v>3.0000000000000003E-4</v>
      </c>
      <c r="F106" s="1">
        <v>2</v>
      </c>
      <c r="G106" s="1">
        <f t="shared" si="32"/>
        <v>0.140625</v>
      </c>
      <c r="H106" s="1">
        <v>0.4</v>
      </c>
      <c r="I106" s="1">
        <f t="shared" si="31"/>
        <v>1.25</v>
      </c>
      <c r="J106" s="1">
        <f t="shared" si="33"/>
        <v>84.36282467532466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f t="shared" si="34"/>
        <v>5.0000000000000001E-4</v>
      </c>
      <c r="F107" s="1">
        <v>2</v>
      </c>
      <c r="G107" s="1">
        <f t="shared" si="32"/>
        <v>8.506944444444442E-2</v>
      </c>
      <c r="H107" s="1">
        <v>0.4</v>
      </c>
      <c r="I107" s="1">
        <f t="shared" si="31"/>
        <v>1.4166666666666667</v>
      </c>
      <c r="J107" s="1">
        <f t="shared" si="33"/>
        <v>87.43930375180372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>
        <f t="shared" si="34"/>
        <v>6.9999999999999999E-4</v>
      </c>
      <c r="F108" s="1">
        <v>2</v>
      </c>
      <c r="G108" s="1">
        <f t="shared" si="32"/>
        <v>4.3402777777777769E-2</v>
      </c>
      <c r="H108" s="1">
        <v>0.4</v>
      </c>
      <c r="I108" s="1">
        <f t="shared" si="31"/>
        <v>1.5833333333333335</v>
      </c>
      <c r="J108" s="1">
        <f t="shared" si="33"/>
        <v>88.592983405483366</v>
      </c>
    </row>
    <row r="109" spans="1:10" x14ac:dyDescent="0.25">
      <c r="B109" s="1">
        <v>138.44155844155841</v>
      </c>
      <c r="C109" s="1">
        <v>0</v>
      </c>
      <c r="D109" s="1">
        <v>2.3999999999999998E-3</v>
      </c>
      <c r="E109">
        <f t="shared" si="34"/>
        <v>8.9999999999999998E-4</v>
      </c>
      <c r="F109" s="1">
        <v>2</v>
      </c>
      <c r="G109" s="1">
        <f t="shared" si="32"/>
        <v>1.5625E-2</v>
      </c>
      <c r="H109" s="1">
        <v>0.4</v>
      </c>
      <c r="I109" s="1">
        <f t="shared" si="31"/>
        <v>1.75</v>
      </c>
      <c r="J109" s="1">
        <f t="shared" si="33"/>
        <v>87.823863636363612</v>
      </c>
    </row>
    <row r="110" spans="1:10" x14ac:dyDescent="0.25">
      <c r="B110" s="1">
        <v>138.44155844155841</v>
      </c>
      <c r="C110" s="1">
        <v>0</v>
      </c>
      <c r="D110" s="1">
        <v>2.3999999999999998E-3</v>
      </c>
      <c r="E110" s="13">
        <v>1.1000000000000001E-3</v>
      </c>
      <c r="F110" s="1">
        <v>2</v>
      </c>
      <c r="G110" s="1">
        <f t="shared" si="32"/>
        <v>1.7361111111111034E-3</v>
      </c>
      <c r="H110" s="1">
        <v>0.4</v>
      </c>
      <c r="I110" s="1">
        <f t="shared" si="31"/>
        <v>1.916666666666667</v>
      </c>
      <c r="J110" s="1">
        <f t="shared" si="33"/>
        <v>85.1319444444444</v>
      </c>
    </row>
    <row r="112" spans="1:10" x14ac:dyDescent="0.25">
      <c r="A112" s="9" t="s">
        <v>41</v>
      </c>
      <c r="B112" s="2" t="s">
        <v>221</v>
      </c>
      <c r="C112" s="2" t="s">
        <v>220</v>
      </c>
      <c r="D112" s="2" t="s">
        <v>106</v>
      </c>
      <c r="E112" s="2" t="s">
        <v>107</v>
      </c>
      <c r="F112" s="2" t="s">
        <v>108</v>
      </c>
      <c r="G112" s="2" t="s">
        <v>109</v>
      </c>
      <c r="H112" s="2" t="s">
        <v>114</v>
      </c>
      <c r="I112" s="2" t="s">
        <v>111</v>
      </c>
      <c r="J112" s="2" t="s">
        <v>112</v>
      </c>
    </row>
    <row r="113" spans="1:10" x14ac:dyDescent="0.25">
      <c r="B113">
        <v>9.3000000000000002E-11</v>
      </c>
      <c r="C113">
        <v>1.4735555555555557E-8</v>
      </c>
      <c r="D113" s="1">
        <v>2.3999999999999998E-3</v>
      </c>
      <c r="E113">
        <v>-1.1000000000000001E-3</v>
      </c>
      <c r="F113" s="1">
        <v>2</v>
      </c>
      <c r="G113" s="1">
        <f>(0.5-E113/D113)^F113</f>
        <v>0.91840277777777801</v>
      </c>
      <c r="H113" s="1">
        <v>0.4</v>
      </c>
      <c r="I113" s="1">
        <f t="shared" ref="I113:I124" si="35">1+2*E113/D113</f>
        <v>8.3333333333333148E-2</v>
      </c>
      <c r="J113" s="1">
        <f>(C113-B113)*G113+B113-(B113+C113)*(H113/2)*I113</f>
        <v>1.3293621103395067E-8</v>
      </c>
    </row>
    <row r="114" spans="1:10" x14ac:dyDescent="0.25">
      <c r="B114">
        <v>9.3000000000000002E-11</v>
      </c>
      <c r="C114">
        <v>1.4735555555555557E-8</v>
      </c>
      <c r="D114" s="1">
        <v>2.3999999999999998E-3</v>
      </c>
      <c r="E114">
        <f>-0.001+0.0001</f>
        <v>-8.9999999999999998E-4</v>
      </c>
      <c r="F114" s="1">
        <v>2</v>
      </c>
      <c r="G114" s="1">
        <f t="shared" ref="G114:G124" si="36">(0.5-E114/D114)^F114</f>
        <v>0.765625</v>
      </c>
      <c r="H114" s="1">
        <v>0.4</v>
      </c>
      <c r="I114" s="1">
        <f t="shared" si="35"/>
        <v>0.25</v>
      </c>
      <c r="J114" s="1">
        <f t="shared" ref="J114:J124" si="37">(C114-B114)*G114+B114-(B114+C114)*(H114/2)*I114</f>
        <v>1.0562278819444445E-8</v>
      </c>
    </row>
    <row r="115" spans="1:10" x14ac:dyDescent="0.25">
      <c r="B115">
        <v>9.3000000000000002E-11</v>
      </c>
      <c r="C115">
        <v>1.4735555555555557E-8</v>
      </c>
      <c r="D115" s="1">
        <v>2.3999999999999998E-3</v>
      </c>
      <c r="E115">
        <f>E114+0.0002</f>
        <v>-6.9999999999999999E-4</v>
      </c>
      <c r="F115" s="1">
        <v>2</v>
      </c>
      <c r="G115" s="1">
        <f t="shared" si="36"/>
        <v>0.62673611111111127</v>
      </c>
      <c r="H115" s="1">
        <v>0.4</v>
      </c>
      <c r="I115" s="1">
        <f t="shared" si="35"/>
        <v>0.41666666666666663</v>
      </c>
      <c r="J115" s="1">
        <f t="shared" si="37"/>
        <v>8.0343053626543247E-9</v>
      </c>
    </row>
    <row r="116" spans="1:10" x14ac:dyDescent="0.25">
      <c r="B116">
        <v>9.3000000000000002E-11</v>
      </c>
      <c r="C116">
        <v>1.4735555555555557E-8</v>
      </c>
      <c r="D116" s="1">
        <v>2.3999999999999998E-3</v>
      </c>
      <c r="E116">
        <f t="shared" ref="E116:E123" si="38">E115+0.0002</f>
        <v>-5.0000000000000001E-4</v>
      </c>
      <c r="F116" s="1">
        <v>2</v>
      </c>
      <c r="G116" s="1">
        <f t="shared" si="36"/>
        <v>0.50173611111111116</v>
      </c>
      <c r="H116" s="1">
        <v>0.4</v>
      </c>
      <c r="I116" s="1">
        <f t="shared" si="35"/>
        <v>0.58333333333333326</v>
      </c>
      <c r="J116" s="1">
        <f t="shared" si="37"/>
        <v>5.709700733024693E-9</v>
      </c>
    </row>
    <row r="117" spans="1:10" x14ac:dyDescent="0.25">
      <c r="B117">
        <v>9.3000000000000002E-11</v>
      </c>
      <c r="C117">
        <v>1.4735555555555557E-8</v>
      </c>
      <c r="D117" s="1">
        <v>2.3999999999999998E-3</v>
      </c>
      <c r="E117">
        <f t="shared" si="38"/>
        <v>-3.0000000000000003E-4</v>
      </c>
      <c r="F117" s="1">
        <v>2</v>
      </c>
      <c r="G117" s="1">
        <f t="shared" si="36"/>
        <v>0.390625</v>
      </c>
      <c r="H117" s="1">
        <v>0.4</v>
      </c>
      <c r="I117" s="1">
        <f t="shared" si="35"/>
        <v>0.75</v>
      </c>
      <c r="J117" s="1">
        <f t="shared" si="37"/>
        <v>3.5884649305555561E-9</v>
      </c>
    </row>
    <row r="118" spans="1:10" x14ac:dyDescent="0.25">
      <c r="B118">
        <v>9.3000000000000002E-11</v>
      </c>
      <c r="C118">
        <v>1.4735555555555557E-8</v>
      </c>
      <c r="D118" s="1">
        <v>2.3999999999999998E-3</v>
      </c>
      <c r="E118">
        <f t="shared" si="38"/>
        <v>-1.0000000000000002E-4</v>
      </c>
      <c r="F118" s="1">
        <v>2</v>
      </c>
      <c r="G118" s="1">
        <f t="shared" si="36"/>
        <v>0.29340277777777773</v>
      </c>
      <c r="H118" s="1">
        <v>0.4</v>
      </c>
      <c r="I118" s="1">
        <f t="shared" si="35"/>
        <v>0.91666666666666663</v>
      </c>
      <c r="J118" s="1">
        <f t="shared" si="37"/>
        <v>1.6705979552469135E-9</v>
      </c>
    </row>
    <row r="119" spans="1:10" x14ac:dyDescent="0.25">
      <c r="B119">
        <v>9.3000000000000002E-11</v>
      </c>
      <c r="C119">
        <v>1.4735555555555557E-8</v>
      </c>
      <c r="D119" s="1">
        <v>2.3999999999999998E-3</v>
      </c>
      <c r="E119">
        <f t="shared" si="38"/>
        <v>9.9999999999999991E-5</v>
      </c>
      <c r="F119" s="1">
        <v>2</v>
      </c>
      <c r="G119" s="1">
        <f t="shared" si="36"/>
        <v>0.21006944444444442</v>
      </c>
      <c r="H119" s="1">
        <v>0.4</v>
      </c>
      <c r="I119" s="1">
        <f t="shared" si="35"/>
        <v>1.0833333333333333</v>
      </c>
      <c r="J119" s="1">
        <f t="shared" si="37"/>
        <v>-4.3900192901234712E-11</v>
      </c>
    </row>
    <row r="120" spans="1:10" x14ac:dyDescent="0.25">
      <c r="B120">
        <v>9.3000000000000002E-11</v>
      </c>
      <c r="C120">
        <v>1.4735555555555557E-8</v>
      </c>
      <c r="D120" s="1">
        <v>2.3999999999999998E-3</v>
      </c>
      <c r="E120">
        <f t="shared" si="38"/>
        <v>3.0000000000000003E-4</v>
      </c>
      <c r="F120" s="1">
        <v>2</v>
      </c>
      <c r="G120" s="1">
        <f t="shared" si="36"/>
        <v>0.140625</v>
      </c>
      <c r="H120" s="1">
        <v>0.4</v>
      </c>
      <c r="I120" s="1">
        <f t="shared" si="35"/>
        <v>1.25</v>
      </c>
      <c r="J120" s="1">
        <f t="shared" si="37"/>
        <v>-1.555029513888889E-9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f t="shared" si="38"/>
        <v>5.0000000000000001E-4</v>
      </c>
      <c r="F121" s="1">
        <v>2</v>
      </c>
      <c r="G121" s="1">
        <f t="shared" si="36"/>
        <v>8.506944444444442E-2</v>
      </c>
      <c r="H121" s="1">
        <v>0.4</v>
      </c>
      <c r="I121" s="1">
        <f t="shared" si="35"/>
        <v>1.4166666666666667</v>
      </c>
      <c r="J121" s="1">
        <f t="shared" si="37"/>
        <v>-2.8627900077160497E-9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>
        <f t="shared" si="38"/>
        <v>6.9999999999999999E-4</v>
      </c>
      <c r="F122" s="1">
        <v>2</v>
      </c>
      <c r="G122" s="1">
        <f t="shared" si="36"/>
        <v>4.3402777777777769E-2</v>
      </c>
      <c r="H122" s="1">
        <v>0.4</v>
      </c>
      <c r="I122" s="1">
        <f t="shared" si="35"/>
        <v>1.5833333333333335</v>
      </c>
      <c r="J122" s="1">
        <f t="shared" si="37"/>
        <v>-3.9671816743827169E-9</v>
      </c>
    </row>
    <row r="123" spans="1:10" x14ac:dyDescent="0.25">
      <c r="B123">
        <v>9.3000000000000002E-11</v>
      </c>
      <c r="C123">
        <v>1.4735555555555557E-8</v>
      </c>
      <c r="D123" s="1">
        <v>2.3999999999999998E-3</v>
      </c>
      <c r="E123">
        <f t="shared" si="38"/>
        <v>8.9999999999999998E-4</v>
      </c>
      <c r="F123" s="1">
        <v>2</v>
      </c>
      <c r="G123" s="1">
        <f t="shared" si="36"/>
        <v>1.5625E-2</v>
      </c>
      <c r="H123" s="1">
        <v>0.4</v>
      </c>
      <c r="I123" s="1">
        <f t="shared" si="35"/>
        <v>1.75</v>
      </c>
      <c r="J123" s="1">
        <f t="shared" si="37"/>
        <v>-4.8682045138888894E-9</v>
      </c>
    </row>
    <row r="124" spans="1:10" x14ac:dyDescent="0.25">
      <c r="B124">
        <v>9.3000000000000002E-11</v>
      </c>
      <c r="C124">
        <v>1.4735555555555557E-8</v>
      </c>
      <c r="D124" s="1">
        <v>2.3999999999999998E-3</v>
      </c>
      <c r="E124" s="13">
        <v>1.1000000000000001E-3</v>
      </c>
      <c r="F124" s="1">
        <v>2</v>
      </c>
      <c r="G124" s="1">
        <f t="shared" si="36"/>
        <v>1.7361111111111034E-3</v>
      </c>
      <c r="H124" s="1">
        <v>0.4</v>
      </c>
      <c r="I124" s="1">
        <f t="shared" si="35"/>
        <v>1.916666666666667</v>
      </c>
      <c r="J124" s="1">
        <f t="shared" si="37"/>
        <v>-5.5658585262345695E-9</v>
      </c>
    </row>
    <row r="125" spans="1:10" x14ac:dyDescent="0.25">
      <c r="A125" s="9" t="s">
        <v>43</v>
      </c>
      <c r="B125" s="2" t="s">
        <v>221</v>
      </c>
      <c r="C125" s="2" t="s">
        <v>220</v>
      </c>
      <c r="D125" s="2" t="s">
        <v>106</v>
      </c>
      <c r="E125" s="2" t="s">
        <v>107</v>
      </c>
      <c r="F125" s="2" t="s">
        <v>108</v>
      </c>
      <c r="G125" s="2" t="s">
        <v>109</v>
      </c>
      <c r="H125" s="2" t="s">
        <v>114</v>
      </c>
      <c r="I125" s="2" t="s">
        <v>111</v>
      </c>
      <c r="J125" s="2" t="s">
        <v>112</v>
      </c>
    </row>
    <row r="126" spans="1:10" x14ac:dyDescent="0.25">
      <c r="B126" s="1">
        <v>1.5699999999999999E-4</v>
      </c>
      <c r="C126" s="1">
        <v>1.0000000000000001E-5</v>
      </c>
      <c r="D126" s="1">
        <v>2.3999999999999998E-3</v>
      </c>
      <c r="E126">
        <v>-1.1000000000000001E-3</v>
      </c>
      <c r="F126" s="1">
        <v>2</v>
      </c>
      <c r="G126" s="1">
        <f>(0.5-E126/D126)^F126</f>
        <v>0.91840277777777801</v>
      </c>
      <c r="H126" s="1">
        <v>0.4</v>
      </c>
      <c r="I126" s="1">
        <f>1+2*E126/D126</f>
        <v>8.3333333333333148E-2</v>
      </c>
      <c r="J126" s="1">
        <f>(C126-B126)*G126+B126-(B126+C126)*(H126/2)*I126</f>
        <v>1.9211458333333308E-5</v>
      </c>
    </row>
    <row r="127" spans="1:10" x14ac:dyDescent="0.25">
      <c r="B127" s="1">
        <v>1.5699999999999999E-4</v>
      </c>
      <c r="C127" s="1">
        <v>1.0000000000000001E-5</v>
      </c>
      <c r="D127" s="1">
        <v>2.3999999999999998E-3</v>
      </c>
      <c r="E127">
        <f>-0.001+0.0001</f>
        <v>-8.9999999999999998E-4</v>
      </c>
      <c r="F127" s="1">
        <v>2</v>
      </c>
      <c r="G127" s="1">
        <f t="shared" ref="G127:G137" si="39">(0.5-E127/D127)^F127</f>
        <v>0.765625</v>
      </c>
      <c r="H127" s="1">
        <v>0.4</v>
      </c>
      <c r="I127" s="1">
        <f t="shared" ref="I127:I137" si="40">1+2*E127/D127</f>
        <v>0.25</v>
      </c>
      <c r="J127" s="1">
        <f t="shared" ref="J127:J137" si="41">(C127-B127)*G127+B127-(B127+C127)*(H127/2)*I127</f>
        <v>3.6103125000000005E-5</v>
      </c>
    </row>
    <row r="128" spans="1:10" x14ac:dyDescent="0.25">
      <c r="B128" s="1">
        <v>1.5699999999999999E-4</v>
      </c>
      <c r="C128" s="1">
        <v>1.0000000000000001E-5</v>
      </c>
      <c r="D128" s="1">
        <v>2.3999999999999998E-3</v>
      </c>
      <c r="E128">
        <f>E127+0.0002</f>
        <v>-6.9999999999999999E-4</v>
      </c>
      <c r="F128" s="1">
        <v>2</v>
      </c>
      <c r="G128" s="1">
        <f t="shared" si="39"/>
        <v>0.62673611111111127</v>
      </c>
      <c r="H128" s="1">
        <v>0.4</v>
      </c>
      <c r="I128" s="1">
        <f t="shared" si="40"/>
        <v>0.41666666666666663</v>
      </c>
      <c r="J128" s="1">
        <f t="shared" si="41"/>
        <v>5.0953124999999973E-5</v>
      </c>
    </row>
    <row r="129" spans="1:10" x14ac:dyDescent="0.25">
      <c r="B129" s="1">
        <v>1.5699999999999999E-4</v>
      </c>
      <c r="C129" s="1">
        <v>1.0000000000000001E-5</v>
      </c>
      <c r="D129" s="1">
        <v>2.3999999999999998E-3</v>
      </c>
      <c r="E129">
        <f t="shared" ref="E129:E136" si="42">E128+0.0002</f>
        <v>-5.0000000000000001E-4</v>
      </c>
      <c r="F129" s="1">
        <v>2</v>
      </c>
      <c r="G129" s="1">
        <f t="shared" si="39"/>
        <v>0.50173611111111116</v>
      </c>
      <c r="H129" s="1">
        <v>0.4</v>
      </c>
      <c r="I129" s="1">
        <f t="shared" si="40"/>
        <v>0.58333333333333326</v>
      </c>
      <c r="J129" s="1">
        <f t="shared" si="41"/>
        <v>6.3761458333333324E-5</v>
      </c>
    </row>
    <row r="130" spans="1:10" x14ac:dyDescent="0.25">
      <c r="B130" s="1">
        <v>1.5699999999999999E-4</v>
      </c>
      <c r="C130" s="1">
        <v>1.0000000000000001E-5</v>
      </c>
      <c r="D130" s="1">
        <v>2.3999999999999998E-3</v>
      </c>
      <c r="E130">
        <f t="shared" si="42"/>
        <v>-3.0000000000000003E-4</v>
      </c>
      <c r="F130" s="1">
        <v>2</v>
      </c>
      <c r="G130" s="1">
        <f t="shared" si="39"/>
        <v>0.390625</v>
      </c>
      <c r="H130" s="1">
        <v>0.4</v>
      </c>
      <c r="I130" s="1">
        <f t="shared" si="40"/>
        <v>0.75</v>
      </c>
      <c r="J130" s="1">
        <f t="shared" si="41"/>
        <v>7.4528125000000004E-5</v>
      </c>
    </row>
    <row r="131" spans="1:10" x14ac:dyDescent="0.25">
      <c r="B131" s="1">
        <v>1.5699999999999999E-4</v>
      </c>
      <c r="C131" s="1">
        <v>1.0000000000000001E-5</v>
      </c>
      <c r="D131" s="1">
        <v>2.3999999999999998E-3</v>
      </c>
      <c r="E131">
        <f t="shared" si="42"/>
        <v>-1.0000000000000002E-4</v>
      </c>
      <c r="F131" s="1">
        <v>2</v>
      </c>
      <c r="G131" s="1">
        <f t="shared" si="39"/>
        <v>0.29340277777777773</v>
      </c>
      <c r="H131" s="1">
        <v>0.4</v>
      </c>
      <c r="I131" s="1">
        <f t="shared" si="40"/>
        <v>0.91666666666666663</v>
      </c>
      <c r="J131" s="1">
        <f t="shared" si="41"/>
        <v>8.3253124999999999E-5</v>
      </c>
    </row>
    <row r="132" spans="1:10" x14ac:dyDescent="0.25">
      <c r="B132" s="1">
        <v>1.5699999999999999E-4</v>
      </c>
      <c r="C132" s="1">
        <v>1.0000000000000001E-5</v>
      </c>
      <c r="D132" s="1">
        <v>2.3999999999999998E-3</v>
      </c>
      <c r="E132">
        <f t="shared" si="42"/>
        <v>9.9999999999999991E-5</v>
      </c>
      <c r="F132" s="1">
        <v>2</v>
      </c>
      <c r="G132" s="1">
        <f t="shared" si="39"/>
        <v>0.21006944444444442</v>
      </c>
      <c r="H132" s="1">
        <v>0.4</v>
      </c>
      <c r="I132" s="1">
        <f t="shared" si="40"/>
        <v>1.0833333333333333</v>
      </c>
      <c r="J132" s="1">
        <f t="shared" si="41"/>
        <v>8.9936458333333323E-5</v>
      </c>
    </row>
    <row r="133" spans="1:10" x14ac:dyDescent="0.25">
      <c r="B133" s="1">
        <v>1.5699999999999999E-4</v>
      </c>
      <c r="C133" s="1">
        <v>1.0000000000000001E-5</v>
      </c>
      <c r="D133" s="1">
        <v>2.3999999999999998E-3</v>
      </c>
      <c r="E133">
        <f t="shared" si="42"/>
        <v>3.0000000000000003E-4</v>
      </c>
      <c r="F133" s="1">
        <v>2</v>
      </c>
      <c r="G133" s="1">
        <f t="shared" si="39"/>
        <v>0.140625</v>
      </c>
      <c r="H133" s="1">
        <v>0.4</v>
      </c>
      <c r="I133" s="1">
        <f t="shared" si="40"/>
        <v>1.25</v>
      </c>
      <c r="J133" s="1">
        <f t="shared" si="41"/>
        <v>9.4578125000000003E-5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f t="shared" si="42"/>
        <v>5.0000000000000001E-4</v>
      </c>
      <c r="F134" s="1">
        <v>2</v>
      </c>
      <c r="G134" s="1">
        <f t="shared" si="39"/>
        <v>8.506944444444442E-2</v>
      </c>
      <c r="H134" s="1">
        <v>0.4</v>
      </c>
      <c r="I134" s="1">
        <f t="shared" si="40"/>
        <v>1.4166666666666667</v>
      </c>
      <c r="J134" s="1">
        <f t="shared" si="41"/>
        <v>9.7178124999999999E-5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>
        <f t="shared" si="42"/>
        <v>6.9999999999999999E-4</v>
      </c>
      <c r="F135" s="1">
        <v>2</v>
      </c>
      <c r="G135" s="1">
        <f t="shared" si="39"/>
        <v>4.3402777777777769E-2</v>
      </c>
      <c r="H135" s="1">
        <v>0.4</v>
      </c>
      <c r="I135" s="1">
        <f t="shared" si="40"/>
        <v>1.5833333333333335</v>
      </c>
      <c r="J135" s="1">
        <f t="shared" si="41"/>
        <v>9.7736458333333323E-5</v>
      </c>
    </row>
    <row r="136" spans="1:10" x14ac:dyDescent="0.25">
      <c r="B136" s="1">
        <v>1.5699999999999999E-4</v>
      </c>
      <c r="C136" s="1">
        <v>1.0000000000000001E-5</v>
      </c>
      <c r="D136" s="1">
        <v>2.3999999999999998E-3</v>
      </c>
      <c r="E136">
        <f t="shared" si="42"/>
        <v>8.9999999999999998E-4</v>
      </c>
      <c r="F136" s="1">
        <v>2</v>
      </c>
      <c r="G136" s="1">
        <f t="shared" si="39"/>
        <v>1.5625E-2</v>
      </c>
      <c r="H136" s="1">
        <v>0.4</v>
      </c>
      <c r="I136" s="1">
        <f t="shared" si="40"/>
        <v>1.75</v>
      </c>
      <c r="J136" s="1">
        <f t="shared" si="41"/>
        <v>9.6253125000000004E-5</v>
      </c>
    </row>
    <row r="137" spans="1:10" x14ac:dyDescent="0.25">
      <c r="B137" s="1">
        <v>1.5699999999999999E-4</v>
      </c>
      <c r="C137" s="1">
        <v>1.0000000000000001E-5</v>
      </c>
      <c r="D137" s="1">
        <v>2.3999999999999998E-3</v>
      </c>
      <c r="E137" s="13">
        <v>1.1000000000000001E-3</v>
      </c>
      <c r="F137" s="1">
        <v>2</v>
      </c>
      <c r="G137" s="1">
        <f t="shared" si="39"/>
        <v>1.7361111111111034E-3</v>
      </c>
      <c r="H137" s="1">
        <v>0.4</v>
      </c>
      <c r="I137" s="1">
        <f t="shared" si="40"/>
        <v>1.916666666666667</v>
      </c>
      <c r="J137" s="1">
        <f t="shared" si="41"/>
        <v>9.2728124999999986E-5</v>
      </c>
    </row>
    <row r="138" spans="1:10" x14ac:dyDescent="0.25">
      <c r="A138" s="9" t="s">
        <v>98</v>
      </c>
      <c r="B138" s="2" t="s">
        <v>221</v>
      </c>
      <c r="C138" s="2" t="s">
        <v>220</v>
      </c>
      <c r="D138" s="2" t="s">
        <v>106</v>
      </c>
      <c r="E138" s="2" t="s">
        <v>107</v>
      </c>
      <c r="F138" s="2" t="s">
        <v>108</v>
      </c>
      <c r="G138" s="2" t="s">
        <v>109</v>
      </c>
      <c r="H138" s="2" t="s">
        <v>114</v>
      </c>
      <c r="I138" s="2" t="s">
        <v>111</v>
      </c>
      <c r="J138" s="2" t="s">
        <v>112</v>
      </c>
    </row>
    <row r="139" spans="1:10" x14ac:dyDescent="0.25">
      <c r="B139" s="1">
        <v>1.0000000000000001E-5</v>
      </c>
      <c r="C139" s="1">
        <v>1.5699999999999999E-5</v>
      </c>
      <c r="D139" s="1">
        <v>2.3999999999999998E-3</v>
      </c>
      <c r="E139">
        <v>-1.1000000000000001E-3</v>
      </c>
      <c r="F139" s="1">
        <v>2</v>
      </c>
      <c r="G139" s="1">
        <f>(0.5-E139/D139)^F139</f>
        <v>0.91840277777777801</v>
      </c>
      <c r="H139" s="1">
        <v>0.4</v>
      </c>
      <c r="I139" s="1">
        <f>1+2*E139/D139</f>
        <v>8.3333333333333148E-2</v>
      </c>
      <c r="J139" s="1">
        <f>(C139-B139)*G139+B139-(B139+C139)*(H139/2)*I139</f>
        <v>1.4806562500000001E-5</v>
      </c>
    </row>
    <row r="140" spans="1:10" x14ac:dyDescent="0.25">
      <c r="B140" s="1">
        <v>1.0000000000000001E-5</v>
      </c>
      <c r="C140" s="1">
        <v>1.5699999999999999E-5</v>
      </c>
      <c r="D140" s="1">
        <v>2.3999999999999998E-3</v>
      </c>
      <c r="E140">
        <f>-0.001+0.0001</f>
        <v>-8.9999999999999998E-4</v>
      </c>
      <c r="F140" s="1">
        <v>2</v>
      </c>
      <c r="G140" s="1">
        <f t="shared" ref="G140:G150" si="43">(0.5-E140/D140)^F140</f>
        <v>0.765625</v>
      </c>
      <c r="H140" s="1">
        <v>0.4</v>
      </c>
      <c r="I140" s="1">
        <f t="shared" ref="I140:I150" si="44">1+2*E140/D140</f>
        <v>0.25</v>
      </c>
      <c r="J140" s="1">
        <f t="shared" ref="J140:J150" si="45">(C140-B140)*G140+B140-(B140+C140)*(H140/2)*I140</f>
        <v>1.3079062499999999E-5</v>
      </c>
    </row>
    <row r="141" spans="1:10" x14ac:dyDescent="0.25">
      <c r="B141" s="1">
        <v>1.0000000000000001E-5</v>
      </c>
      <c r="C141" s="1">
        <v>1.5699999999999999E-5</v>
      </c>
      <c r="D141" s="1">
        <v>2.3999999999999998E-3</v>
      </c>
      <c r="E141">
        <f>E140+0.0002</f>
        <v>-6.9999999999999999E-4</v>
      </c>
      <c r="F141" s="1">
        <v>2</v>
      </c>
      <c r="G141" s="1">
        <f t="shared" si="43"/>
        <v>0.62673611111111127</v>
      </c>
      <c r="H141" s="1">
        <v>0.4</v>
      </c>
      <c r="I141" s="1">
        <f t="shared" si="44"/>
        <v>0.41666666666666663</v>
      </c>
      <c r="J141" s="1">
        <f t="shared" si="45"/>
        <v>1.1430729166666666E-5</v>
      </c>
    </row>
    <row r="142" spans="1:10" x14ac:dyDescent="0.25">
      <c r="B142" s="1">
        <v>1.0000000000000001E-5</v>
      </c>
      <c r="C142" s="1">
        <v>1.5699999999999999E-5</v>
      </c>
      <c r="D142" s="1">
        <v>2.3999999999999998E-3</v>
      </c>
      <c r="E142">
        <f t="shared" ref="E142:E149" si="46">E141+0.0002</f>
        <v>-5.0000000000000001E-4</v>
      </c>
      <c r="F142" s="1">
        <v>2</v>
      </c>
      <c r="G142" s="1">
        <f t="shared" si="43"/>
        <v>0.50173611111111116</v>
      </c>
      <c r="H142" s="1">
        <v>0.4</v>
      </c>
      <c r="I142" s="1">
        <f t="shared" si="44"/>
        <v>0.58333333333333326</v>
      </c>
      <c r="J142" s="1">
        <f t="shared" si="45"/>
        <v>9.8615624999999997E-6</v>
      </c>
    </row>
    <row r="143" spans="1:10" x14ac:dyDescent="0.25">
      <c r="B143" s="1">
        <v>1.0000000000000001E-5</v>
      </c>
      <c r="C143" s="1">
        <v>1.5699999999999999E-5</v>
      </c>
      <c r="D143" s="1">
        <v>2.3999999999999998E-3</v>
      </c>
      <c r="E143">
        <f t="shared" si="46"/>
        <v>-3.0000000000000003E-4</v>
      </c>
      <c r="F143" s="1">
        <v>2</v>
      </c>
      <c r="G143" s="1">
        <f t="shared" si="43"/>
        <v>0.390625</v>
      </c>
      <c r="H143" s="1">
        <v>0.4</v>
      </c>
      <c r="I143" s="1">
        <f t="shared" si="44"/>
        <v>0.75</v>
      </c>
      <c r="J143" s="1">
        <f t="shared" si="45"/>
        <v>8.3715625000000004E-6</v>
      </c>
    </row>
    <row r="144" spans="1:10" x14ac:dyDescent="0.25">
      <c r="B144" s="1">
        <v>1.0000000000000001E-5</v>
      </c>
      <c r="C144" s="1">
        <v>1.5699999999999999E-5</v>
      </c>
      <c r="D144" s="1">
        <v>2.3999999999999998E-3</v>
      </c>
      <c r="E144">
        <f t="shared" si="46"/>
        <v>-1.0000000000000002E-4</v>
      </c>
      <c r="F144" s="1">
        <v>2</v>
      </c>
      <c r="G144" s="1">
        <f t="shared" si="43"/>
        <v>0.29340277777777773</v>
      </c>
      <c r="H144" s="1">
        <v>0.4</v>
      </c>
      <c r="I144" s="1">
        <f t="shared" si="44"/>
        <v>0.91666666666666663</v>
      </c>
      <c r="J144" s="1">
        <f t="shared" si="45"/>
        <v>6.9607291666666652E-6</v>
      </c>
    </row>
    <row r="145" spans="1:11" x14ac:dyDescent="0.25">
      <c r="B145" s="1">
        <v>1.0000000000000001E-5</v>
      </c>
      <c r="C145" s="1">
        <v>1.5699999999999999E-5</v>
      </c>
      <c r="D145" s="1">
        <v>2.3999999999999998E-3</v>
      </c>
      <c r="E145">
        <f t="shared" si="46"/>
        <v>9.9999999999999991E-5</v>
      </c>
      <c r="F145" s="1">
        <v>2</v>
      </c>
      <c r="G145" s="1">
        <f t="shared" si="43"/>
        <v>0.21006944444444442</v>
      </c>
      <c r="H145" s="1">
        <v>0.4</v>
      </c>
      <c r="I145" s="1">
        <f t="shared" si="44"/>
        <v>1.0833333333333333</v>
      </c>
      <c r="J145" s="1">
        <f t="shared" si="45"/>
        <v>5.6290624999999991E-6</v>
      </c>
    </row>
    <row r="146" spans="1:11" x14ac:dyDescent="0.25">
      <c r="B146" s="1">
        <v>1.0000000000000001E-5</v>
      </c>
      <c r="C146" s="1">
        <v>1.5699999999999999E-5</v>
      </c>
      <c r="D146" s="1">
        <v>2.3999999999999998E-3</v>
      </c>
      <c r="E146">
        <f t="shared" si="46"/>
        <v>3.0000000000000003E-4</v>
      </c>
      <c r="F146" s="1">
        <v>2</v>
      </c>
      <c r="G146" s="1">
        <f t="shared" si="43"/>
        <v>0.140625</v>
      </c>
      <c r="H146" s="1">
        <v>0.4</v>
      </c>
      <c r="I146" s="1">
        <f t="shared" si="44"/>
        <v>1.25</v>
      </c>
      <c r="J146" s="1">
        <f t="shared" si="45"/>
        <v>4.3765624999999997E-6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f t="shared" si="46"/>
        <v>5.0000000000000001E-4</v>
      </c>
      <c r="F147" s="1">
        <v>2</v>
      </c>
      <c r="G147" s="1">
        <f t="shared" si="43"/>
        <v>8.506944444444442E-2</v>
      </c>
      <c r="H147" s="1">
        <v>0.4</v>
      </c>
      <c r="I147" s="1">
        <f t="shared" si="44"/>
        <v>1.4166666666666667</v>
      </c>
      <c r="J147" s="1">
        <f t="shared" si="45"/>
        <v>3.203229166666666E-6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>
        <f t="shared" si="46"/>
        <v>6.9999999999999999E-4</v>
      </c>
      <c r="F148" s="1">
        <v>2</v>
      </c>
      <c r="G148" s="1">
        <f t="shared" si="43"/>
        <v>4.3402777777777769E-2</v>
      </c>
      <c r="H148" s="1">
        <v>0.4</v>
      </c>
      <c r="I148" s="1">
        <f t="shared" si="44"/>
        <v>1.5833333333333335</v>
      </c>
      <c r="J148" s="1">
        <f t="shared" si="45"/>
        <v>2.1090624999999989E-6</v>
      </c>
    </row>
    <row r="149" spans="1:11" x14ac:dyDescent="0.25">
      <c r="B149" s="1">
        <v>1.0000000000000001E-5</v>
      </c>
      <c r="C149" s="1">
        <v>1.5699999999999999E-5</v>
      </c>
      <c r="D149" s="1">
        <v>2.3999999999999998E-3</v>
      </c>
      <c r="E149">
        <f t="shared" si="46"/>
        <v>8.9999999999999998E-4</v>
      </c>
      <c r="F149" s="1">
        <v>2</v>
      </c>
      <c r="G149" s="1">
        <f t="shared" si="43"/>
        <v>1.5625E-2</v>
      </c>
      <c r="H149" s="1">
        <v>0.4</v>
      </c>
      <c r="I149" s="1">
        <f t="shared" si="44"/>
        <v>1.75</v>
      </c>
      <c r="J149" s="1">
        <f t="shared" si="45"/>
        <v>1.0940624999999993E-6</v>
      </c>
    </row>
    <row r="150" spans="1:11" x14ac:dyDescent="0.25">
      <c r="B150" s="1">
        <v>1.0000000000000001E-5</v>
      </c>
      <c r="C150" s="1">
        <v>1.5699999999999999E-5</v>
      </c>
      <c r="D150" s="1">
        <v>2.3999999999999998E-3</v>
      </c>
      <c r="E150" s="13">
        <v>1.1000000000000001E-3</v>
      </c>
      <c r="F150" s="1">
        <v>2</v>
      </c>
      <c r="G150" s="1">
        <f t="shared" si="43"/>
        <v>1.7361111111111034E-3</v>
      </c>
      <c r="H150" s="1">
        <v>0.4</v>
      </c>
      <c r="I150" s="1">
        <f t="shared" si="44"/>
        <v>1.916666666666667</v>
      </c>
      <c r="J150" s="1">
        <f t="shared" si="45"/>
        <v>1.5822916666666549E-7</v>
      </c>
    </row>
    <row r="151" spans="1:11" x14ac:dyDescent="0.25">
      <c r="A151" s="9" t="s">
        <v>102</v>
      </c>
      <c r="B151" s="2" t="s">
        <v>221</v>
      </c>
      <c r="C151" s="2" t="s">
        <v>220</v>
      </c>
      <c r="D151" s="2" t="s">
        <v>116</v>
      </c>
      <c r="E151" s="2" t="s">
        <v>117</v>
      </c>
      <c r="F151" s="2" t="s">
        <v>118</v>
      </c>
      <c r="G151" s="2" t="s">
        <v>109</v>
      </c>
      <c r="H151" s="2" t="s">
        <v>114</v>
      </c>
      <c r="I151" s="2" t="s">
        <v>111</v>
      </c>
      <c r="J151" s="2" t="s">
        <v>112</v>
      </c>
      <c r="K151" s="2" t="s">
        <v>119</v>
      </c>
    </row>
    <row r="152" spans="1:11" x14ac:dyDescent="0.25">
      <c r="B152" s="1">
        <v>2.5</v>
      </c>
      <c r="C152" s="1">
        <v>3.2</v>
      </c>
      <c r="D152" s="1">
        <v>2.3999999999999998E-3</v>
      </c>
      <c r="E152">
        <v>-1.1000000000000001E-3</v>
      </c>
      <c r="F152" s="1">
        <v>2</v>
      </c>
      <c r="G152" s="1">
        <f>(0.5-E152/D152)^F152</f>
        <v>0.91840277777777801</v>
      </c>
      <c r="H152" s="1">
        <v>0.4</v>
      </c>
      <c r="I152" s="1">
        <f>1+2*E152/D152</f>
        <v>8.3333333333333148E-2</v>
      </c>
      <c r="J152" s="1">
        <f>(C152-B152)*G152+B152-(B152+C152)*(H152/2)*I152</f>
        <v>3.0478819444444452</v>
      </c>
      <c r="K152" s="1">
        <f>1/J152</f>
        <v>0.32809669738775782</v>
      </c>
    </row>
    <row r="153" spans="1:11" x14ac:dyDescent="0.25">
      <c r="B153" s="1">
        <v>2.5</v>
      </c>
      <c r="C153" s="1">
        <v>3.2</v>
      </c>
      <c r="D153" s="1">
        <v>2.3999999999999998E-3</v>
      </c>
      <c r="E153">
        <f>-0.001+0.0001</f>
        <v>-8.9999999999999998E-4</v>
      </c>
      <c r="F153" s="1">
        <v>2</v>
      </c>
      <c r="G153" s="1">
        <f t="shared" ref="G153:G163" si="47">(0.5-E153/D153)^F153</f>
        <v>0.765625</v>
      </c>
      <c r="H153" s="1">
        <v>0.4</v>
      </c>
      <c r="I153" s="1">
        <f t="shared" ref="I153:I163" si="48">1+2*E153/D153</f>
        <v>0.25</v>
      </c>
      <c r="J153" s="1">
        <f t="shared" ref="J153:J163" si="49">(C153-B153)*G153+B153-(B153+C153)*(H153/2)*I153</f>
        <v>2.7509375</v>
      </c>
      <c r="K153" s="1">
        <f t="shared" ref="K153:K163" si="50">1/J153</f>
        <v>0.36351243894127</v>
      </c>
    </row>
    <row r="154" spans="1:11" x14ac:dyDescent="0.25">
      <c r="B154" s="1">
        <v>2.5</v>
      </c>
      <c r="C154" s="1">
        <v>3.2</v>
      </c>
      <c r="D154" s="1">
        <v>2.3999999999999998E-3</v>
      </c>
      <c r="E154">
        <f>E153+0.0002</f>
        <v>-6.9999999999999999E-4</v>
      </c>
      <c r="F154" s="1">
        <v>2</v>
      </c>
      <c r="G154" s="1">
        <f t="shared" si="47"/>
        <v>0.62673611111111127</v>
      </c>
      <c r="H154" s="1">
        <v>0.4</v>
      </c>
      <c r="I154" s="1">
        <f t="shared" si="48"/>
        <v>0.41666666666666663</v>
      </c>
      <c r="J154" s="1">
        <f t="shared" si="49"/>
        <v>2.4637152777777778</v>
      </c>
      <c r="K154" s="1">
        <f t="shared" si="50"/>
        <v>0.40589105771263478</v>
      </c>
    </row>
    <row r="155" spans="1:11" x14ac:dyDescent="0.25">
      <c r="B155" s="1">
        <v>2.5</v>
      </c>
      <c r="C155" s="1">
        <v>3.2</v>
      </c>
      <c r="D155" s="1">
        <v>2.3999999999999998E-3</v>
      </c>
      <c r="E155">
        <f t="shared" ref="E155:E162" si="51">E154+0.0002</f>
        <v>-5.0000000000000001E-4</v>
      </c>
      <c r="F155" s="1">
        <v>2</v>
      </c>
      <c r="G155" s="1">
        <f t="shared" si="47"/>
        <v>0.50173611111111116</v>
      </c>
      <c r="H155" s="1">
        <v>0.4</v>
      </c>
      <c r="I155" s="1">
        <f t="shared" si="48"/>
        <v>0.58333333333333326</v>
      </c>
      <c r="J155" s="1">
        <f t="shared" si="49"/>
        <v>2.1862152777777779</v>
      </c>
      <c r="K155" s="1">
        <f t="shared" si="50"/>
        <v>0.45741149564029665</v>
      </c>
    </row>
    <row r="156" spans="1:11" x14ac:dyDescent="0.25">
      <c r="B156" s="1">
        <v>2.5</v>
      </c>
      <c r="C156" s="1">
        <v>3.2</v>
      </c>
      <c r="D156" s="1">
        <v>2.3999999999999998E-3</v>
      </c>
      <c r="E156">
        <f t="shared" si="51"/>
        <v>-3.0000000000000003E-4</v>
      </c>
      <c r="F156" s="1">
        <v>2</v>
      </c>
      <c r="G156" s="1">
        <f t="shared" si="47"/>
        <v>0.390625</v>
      </c>
      <c r="H156" s="1">
        <v>0.4</v>
      </c>
      <c r="I156" s="1">
        <f t="shared" si="48"/>
        <v>0.75</v>
      </c>
      <c r="J156" s="1">
        <f t="shared" si="49"/>
        <v>1.9184375</v>
      </c>
      <c r="K156" s="1">
        <f t="shared" si="50"/>
        <v>0.52125753380029316</v>
      </c>
    </row>
    <row r="157" spans="1:11" x14ac:dyDescent="0.25">
      <c r="B157" s="1">
        <v>2.5</v>
      </c>
      <c r="C157" s="1">
        <v>3.2</v>
      </c>
      <c r="D157" s="1">
        <v>2.3999999999999998E-3</v>
      </c>
      <c r="E157">
        <f t="shared" si="51"/>
        <v>-1.0000000000000002E-4</v>
      </c>
      <c r="F157" s="1">
        <v>2</v>
      </c>
      <c r="G157" s="1">
        <f t="shared" si="47"/>
        <v>0.29340277777777773</v>
      </c>
      <c r="H157" s="1">
        <v>0.4</v>
      </c>
      <c r="I157" s="1">
        <f t="shared" si="48"/>
        <v>0.91666666666666663</v>
      </c>
      <c r="J157" s="1">
        <f t="shared" si="49"/>
        <v>1.6603819444444443</v>
      </c>
      <c r="K157" s="1">
        <f t="shared" si="50"/>
        <v>0.60227106380309092</v>
      </c>
    </row>
    <row r="158" spans="1:11" x14ac:dyDescent="0.25">
      <c r="B158" s="1">
        <v>2.5</v>
      </c>
      <c r="C158" s="1">
        <v>3.2</v>
      </c>
      <c r="D158" s="1">
        <v>2.3999999999999998E-3</v>
      </c>
      <c r="E158">
        <f t="shared" si="51"/>
        <v>9.9999999999999991E-5</v>
      </c>
      <c r="F158" s="1">
        <v>2</v>
      </c>
      <c r="G158" s="1">
        <f t="shared" si="47"/>
        <v>0.21006944444444442</v>
      </c>
      <c r="H158" s="1">
        <v>0.4</v>
      </c>
      <c r="I158" s="1">
        <f t="shared" si="48"/>
        <v>1.0833333333333333</v>
      </c>
      <c r="J158" s="1">
        <f t="shared" si="49"/>
        <v>1.4120486111111112</v>
      </c>
      <c r="K158" s="1">
        <f t="shared" si="50"/>
        <v>0.70819091646789778</v>
      </c>
    </row>
    <row r="159" spans="1:11" x14ac:dyDescent="0.25">
      <c r="B159" s="1">
        <v>2.5</v>
      </c>
      <c r="C159" s="1">
        <v>3.2</v>
      </c>
      <c r="D159" s="1">
        <v>2.3999999999999998E-3</v>
      </c>
      <c r="E159">
        <f t="shared" si="51"/>
        <v>3.0000000000000003E-4</v>
      </c>
      <c r="F159" s="1">
        <v>2</v>
      </c>
      <c r="G159" s="1">
        <f t="shared" si="47"/>
        <v>0.140625</v>
      </c>
      <c r="H159" s="1">
        <v>0.4</v>
      </c>
      <c r="I159" s="1">
        <f t="shared" si="48"/>
        <v>1.25</v>
      </c>
      <c r="J159" s="1">
        <f t="shared" si="49"/>
        <v>1.1734374999999999</v>
      </c>
      <c r="K159" s="1">
        <f t="shared" si="50"/>
        <v>0.85219707057256999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f t="shared" si="51"/>
        <v>5.0000000000000001E-4</v>
      </c>
      <c r="F160" s="1">
        <v>2</v>
      </c>
      <c r="G160" s="1">
        <f t="shared" si="47"/>
        <v>8.506944444444442E-2</v>
      </c>
      <c r="H160" s="1">
        <v>0.4</v>
      </c>
      <c r="I160" s="1">
        <f t="shared" si="48"/>
        <v>1.4166666666666667</v>
      </c>
      <c r="J160" s="1">
        <f t="shared" si="49"/>
        <v>0.94454861111111077</v>
      </c>
      <c r="K160" s="1">
        <f t="shared" si="50"/>
        <v>1.0587067602837925</v>
      </c>
    </row>
    <row r="161" spans="1:11" x14ac:dyDescent="0.25">
      <c r="B161" s="1">
        <v>2.5</v>
      </c>
      <c r="C161" s="1">
        <v>3.2</v>
      </c>
      <c r="D161" s="1">
        <v>2.3999999999999998E-3</v>
      </c>
      <c r="E161">
        <f t="shared" si="51"/>
        <v>6.9999999999999999E-4</v>
      </c>
      <c r="F161" s="1">
        <v>2</v>
      </c>
      <c r="G161" s="1">
        <f t="shared" si="47"/>
        <v>4.3402777777777769E-2</v>
      </c>
      <c r="H161" s="1">
        <v>0.4</v>
      </c>
      <c r="I161" s="1">
        <f t="shared" si="48"/>
        <v>1.5833333333333335</v>
      </c>
      <c r="J161" s="1">
        <f t="shared" si="49"/>
        <v>0.72538194444444426</v>
      </c>
      <c r="K161" s="1">
        <f t="shared" si="50"/>
        <v>1.3785840792685848</v>
      </c>
    </row>
    <row r="162" spans="1:11" x14ac:dyDescent="0.25">
      <c r="B162" s="1">
        <v>2.5</v>
      </c>
      <c r="C162" s="1">
        <v>3.2</v>
      </c>
      <c r="D162" s="1">
        <v>2.3999999999999998E-3</v>
      </c>
      <c r="E162">
        <f t="shared" si="51"/>
        <v>8.9999999999999998E-4</v>
      </c>
      <c r="F162" s="1">
        <v>2</v>
      </c>
      <c r="G162" s="1">
        <f t="shared" si="47"/>
        <v>1.5625E-2</v>
      </c>
      <c r="H162" s="1">
        <v>0.4</v>
      </c>
      <c r="I162" s="1">
        <f t="shared" si="48"/>
        <v>1.75</v>
      </c>
      <c r="J162" s="1">
        <f t="shared" si="49"/>
        <v>0.51593749999999972</v>
      </c>
      <c r="K162" s="1">
        <f t="shared" si="50"/>
        <v>1.9382192610539077</v>
      </c>
    </row>
    <row r="163" spans="1:11" x14ac:dyDescent="0.25">
      <c r="B163" s="1">
        <v>2.5</v>
      </c>
      <c r="C163" s="1">
        <v>3.2</v>
      </c>
      <c r="D163" s="1">
        <v>2.3999999999999998E-3</v>
      </c>
      <c r="E163" s="13">
        <v>1.1000000000000001E-3</v>
      </c>
      <c r="F163" s="1">
        <v>2</v>
      </c>
      <c r="G163" s="1">
        <f t="shared" si="47"/>
        <v>1.7361111111111034E-3</v>
      </c>
      <c r="H163" s="1">
        <v>0.4</v>
      </c>
      <c r="I163" s="1">
        <f t="shared" si="48"/>
        <v>1.916666666666667</v>
      </c>
      <c r="J163" s="1">
        <f t="shared" si="49"/>
        <v>0.31621527777777736</v>
      </c>
      <c r="K163" s="1">
        <f t="shared" si="50"/>
        <v>3.1624025474909452</v>
      </c>
    </row>
    <row r="165" spans="1:11" x14ac:dyDescent="0.25">
      <c r="A165" s="9" t="s">
        <v>49</v>
      </c>
      <c r="B165" s="2" t="s">
        <v>221</v>
      </c>
      <c r="C165" s="2" t="s">
        <v>220</v>
      </c>
      <c r="D165" s="2" t="s">
        <v>106</v>
      </c>
      <c r="E165" s="2" t="s">
        <v>107</v>
      </c>
      <c r="F165" s="2" t="s">
        <v>108</v>
      </c>
      <c r="G165" s="2" t="s">
        <v>109</v>
      </c>
      <c r="H165" s="2" t="s">
        <v>114</v>
      </c>
      <c r="I165" s="2" t="s">
        <v>111</v>
      </c>
      <c r="J165" s="2" t="s">
        <v>112</v>
      </c>
    </row>
    <row r="166" spans="1:11" x14ac:dyDescent="0.25">
      <c r="B166" s="1">
        <v>5300</v>
      </c>
      <c r="C166" s="1">
        <v>5800</v>
      </c>
      <c r="D166" s="1">
        <v>2.3999999999999998E-3</v>
      </c>
      <c r="E166">
        <v>-1.1000000000000001E-3</v>
      </c>
      <c r="F166" s="1">
        <v>2</v>
      </c>
      <c r="G166" s="1">
        <f>(0.5-E166/D166)^F166</f>
        <v>0.91840277777777801</v>
      </c>
      <c r="H166" s="1">
        <v>0.4</v>
      </c>
      <c r="I166" s="1">
        <f>1+2*E166/D166</f>
        <v>8.3333333333333148E-2</v>
      </c>
      <c r="J166" s="1">
        <f>(C166-B166)*G166+B166-(B166+C166)*(H166/2)*I166</f>
        <v>5574.2013888888887</v>
      </c>
    </row>
    <row r="167" spans="1:11" x14ac:dyDescent="0.25">
      <c r="B167" s="1">
        <v>5300</v>
      </c>
      <c r="C167" s="1">
        <v>5800</v>
      </c>
      <c r="D167" s="1">
        <v>2.3999999999999998E-3</v>
      </c>
      <c r="E167">
        <f>-0.001+0.0001</f>
        <v>-8.9999999999999998E-4</v>
      </c>
      <c r="F167" s="1">
        <v>2</v>
      </c>
      <c r="G167" s="1">
        <f t="shared" ref="G167:G177" si="52">(0.5-E167/D167)^F167</f>
        <v>0.765625</v>
      </c>
      <c r="H167" s="1">
        <v>0.4</v>
      </c>
      <c r="I167" s="1">
        <f t="shared" ref="I167:I177" si="53">1+2*E167/D167</f>
        <v>0.25</v>
      </c>
      <c r="J167" s="1">
        <f t="shared" ref="J167:J177" si="54">(C167-B167)*G167+B167-(B167+C167)*(H167/2)*I167</f>
        <v>5127.8125</v>
      </c>
    </row>
    <row r="168" spans="1:11" x14ac:dyDescent="0.25">
      <c r="B168" s="1">
        <v>5300</v>
      </c>
      <c r="C168" s="1">
        <v>5800</v>
      </c>
      <c r="D168" s="1">
        <v>2.3999999999999998E-3</v>
      </c>
      <c r="E168">
        <f>E167+0.0002</f>
        <v>-6.9999999999999999E-4</v>
      </c>
      <c r="F168" s="1">
        <v>2</v>
      </c>
      <c r="G168" s="1">
        <f t="shared" si="52"/>
        <v>0.62673611111111127</v>
      </c>
      <c r="H168" s="1">
        <v>0.4</v>
      </c>
      <c r="I168" s="1">
        <f t="shared" si="53"/>
        <v>0.41666666666666663</v>
      </c>
      <c r="J168" s="1">
        <f t="shared" si="54"/>
        <v>4688.3680555555557</v>
      </c>
    </row>
    <row r="169" spans="1:11" x14ac:dyDescent="0.25">
      <c r="B169" s="1">
        <v>5300</v>
      </c>
      <c r="C169" s="1">
        <v>5800</v>
      </c>
      <c r="D169" s="1">
        <v>2.3999999999999998E-3</v>
      </c>
      <c r="E169">
        <f t="shared" ref="E169:E176" si="55">E168+0.0002</f>
        <v>-5.0000000000000001E-4</v>
      </c>
      <c r="F169" s="1">
        <v>2</v>
      </c>
      <c r="G169" s="1">
        <f t="shared" si="52"/>
        <v>0.50173611111111116</v>
      </c>
      <c r="H169" s="1">
        <v>0.4</v>
      </c>
      <c r="I169" s="1">
        <f t="shared" si="53"/>
        <v>0.58333333333333326</v>
      </c>
      <c r="J169" s="1">
        <f t="shared" si="54"/>
        <v>4255.8680555555557</v>
      </c>
    </row>
    <row r="170" spans="1:11" x14ac:dyDescent="0.25">
      <c r="B170" s="1">
        <v>5300</v>
      </c>
      <c r="C170" s="1">
        <v>5800</v>
      </c>
      <c r="D170" s="1">
        <v>2.3999999999999998E-3</v>
      </c>
      <c r="E170">
        <f t="shared" si="55"/>
        <v>-3.0000000000000003E-4</v>
      </c>
      <c r="F170" s="1">
        <v>2</v>
      </c>
      <c r="G170" s="1">
        <f t="shared" si="52"/>
        <v>0.390625</v>
      </c>
      <c r="H170" s="1">
        <v>0.4</v>
      </c>
      <c r="I170" s="1">
        <f t="shared" si="53"/>
        <v>0.75</v>
      </c>
      <c r="J170" s="1">
        <f t="shared" si="54"/>
        <v>3830.3125</v>
      </c>
    </row>
    <row r="171" spans="1:11" x14ac:dyDescent="0.25">
      <c r="B171" s="1">
        <v>5300</v>
      </c>
      <c r="C171" s="1">
        <v>5800</v>
      </c>
      <c r="D171" s="1">
        <v>2.3999999999999998E-3</v>
      </c>
      <c r="E171">
        <f t="shared" si="55"/>
        <v>-1.0000000000000002E-4</v>
      </c>
      <c r="F171" s="1">
        <v>2</v>
      </c>
      <c r="G171" s="1">
        <f t="shared" si="52"/>
        <v>0.29340277777777773</v>
      </c>
      <c r="H171" s="1">
        <v>0.4</v>
      </c>
      <c r="I171" s="1">
        <f t="shared" si="53"/>
        <v>0.91666666666666663</v>
      </c>
      <c r="J171" s="1">
        <f t="shared" si="54"/>
        <v>3411.7013888888887</v>
      </c>
    </row>
    <row r="172" spans="1:11" x14ac:dyDescent="0.25">
      <c r="B172" s="1">
        <v>5300</v>
      </c>
      <c r="C172" s="1">
        <v>5800</v>
      </c>
      <c r="D172" s="1">
        <v>2.3999999999999998E-3</v>
      </c>
      <c r="E172">
        <f t="shared" si="55"/>
        <v>9.9999999999999991E-5</v>
      </c>
      <c r="F172" s="1">
        <v>2</v>
      </c>
      <c r="G172" s="1">
        <f t="shared" si="52"/>
        <v>0.21006944444444442</v>
      </c>
      <c r="H172" s="1">
        <v>0.4</v>
      </c>
      <c r="I172" s="1">
        <f t="shared" si="53"/>
        <v>1.0833333333333333</v>
      </c>
      <c r="J172" s="1">
        <f t="shared" si="54"/>
        <v>3000.0347222222226</v>
      </c>
    </row>
    <row r="173" spans="1:11" x14ac:dyDescent="0.25">
      <c r="B173" s="1">
        <v>5300</v>
      </c>
      <c r="C173" s="1">
        <v>5800</v>
      </c>
      <c r="D173" s="1">
        <v>2.3999999999999998E-3</v>
      </c>
      <c r="E173">
        <f t="shared" si="55"/>
        <v>3.0000000000000003E-4</v>
      </c>
      <c r="F173" s="1">
        <v>2</v>
      </c>
      <c r="G173" s="1">
        <f t="shared" si="52"/>
        <v>0.140625</v>
      </c>
      <c r="H173" s="1">
        <v>0.4</v>
      </c>
      <c r="I173" s="1">
        <f t="shared" si="53"/>
        <v>1.25</v>
      </c>
      <c r="J173" s="1">
        <f t="shared" si="54"/>
        <v>2595.3125</v>
      </c>
    </row>
    <row r="174" spans="1:11" x14ac:dyDescent="0.25">
      <c r="B174" s="1">
        <v>5300</v>
      </c>
      <c r="C174" s="1">
        <v>5800</v>
      </c>
      <c r="D174" s="1">
        <v>2.3999999999999998E-3</v>
      </c>
      <c r="E174">
        <f t="shared" si="55"/>
        <v>5.0000000000000001E-4</v>
      </c>
      <c r="F174" s="1">
        <v>2</v>
      </c>
      <c r="G174" s="1">
        <f t="shared" si="52"/>
        <v>8.506944444444442E-2</v>
      </c>
      <c r="H174" s="1">
        <v>0.4</v>
      </c>
      <c r="I174" s="1">
        <f t="shared" si="53"/>
        <v>1.4166666666666667</v>
      </c>
      <c r="J174" s="1">
        <f t="shared" si="54"/>
        <v>2197.5347222222226</v>
      </c>
    </row>
    <row r="175" spans="1:11" x14ac:dyDescent="0.25">
      <c r="B175" s="1">
        <v>5300</v>
      </c>
      <c r="C175" s="1">
        <v>5800</v>
      </c>
      <c r="D175" s="1">
        <v>2.3999999999999998E-3</v>
      </c>
      <c r="E175">
        <f t="shared" si="55"/>
        <v>6.9999999999999999E-4</v>
      </c>
      <c r="F175" s="1">
        <v>2</v>
      </c>
      <c r="G175" s="1">
        <f t="shared" si="52"/>
        <v>4.3402777777777769E-2</v>
      </c>
      <c r="H175" s="1">
        <v>0.4</v>
      </c>
      <c r="I175" s="1">
        <f t="shared" si="53"/>
        <v>1.5833333333333335</v>
      </c>
      <c r="J175" s="1">
        <f t="shared" si="54"/>
        <v>1806.7013888888882</v>
      </c>
    </row>
    <row r="176" spans="1:11" x14ac:dyDescent="0.25">
      <c r="B176" s="1">
        <v>5300</v>
      </c>
      <c r="C176" s="1">
        <v>5800</v>
      </c>
      <c r="D176" s="1">
        <v>2.3999999999999998E-3</v>
      </c>
      <c r="E176">
        <f t="shared" si="55"/>
        <v>8.9999999999999998E-4</v>
      </c>
      <c r="F176" s="1">
        <v>2</v>
      </c>
      <c r="G176" s="1">
        <f t="shared" si="52"/>
        <v>1.5625E-2</v>
      </c>
      <c r="H176" s="1">
        <v>0.4</v>
      </c>
      <c r="I176" s="1">
        <f t="shared" si="53"/>
        <v>1.75</v>
      </c>
      <c r="J176" s="1">
        <f t="shared" si="54"/>
        <v>1422.8125</v>
      </c>
    </row>
    <row r="177" spans="1:28" x14ac:dyDescent="0.25">
      <c r="B177" s="1">
        <v>5300</v>
      </c>
      <c r="C177" s="1">
        <v>5800</v>
      </c>
      <c r="D177" s="1">
        <v>2.3999999999999998E-3</v>
      </c>
      <c r="E177" s="13">
        <v>1.1000000000000001E-3</v>
      </c>
      <c r="F177" s="1">
        <v>2</v>
      </c>
      <c r="G177" s="1">
        <f t="shared" si="52"/>
        <v>1.7361111111111034E-3</v>
      </c>
      <c r="H177" s="1">
        <v>0.4</v>
      </c>
      <c r="I177" s="1">
        <f t="shared" si="53"/>
        <v>1.916666666666667</v>
      </c>
      <c r="J177" s="1">
        <f t="shared" si="54"/>
        <v>1045.8680555555547</v>
      </c>
    </row>
    <row r="182" spans="1:28" x14ac:dyDescent="0.25">
      <c r="A182" t="s">
        <v>227</v>
      </c>
      <c r="H182" t="s">
        <v>227</v>
      </c>
      <c r="O182" t="s">
        <v>227</v>
      </c>
    </row>
    <row r="183" spans="1:28" x14ac:dyDescent="0.25">
      <c r="A183" t="s">
        <v>227</v>
      </c>
      <c r="H183" t="s">
        <v>227</v>
      </c>
      <c r="O183" t="s">
        <v>227</v>
      </c>
    </row>
    <row r="184" spans="1:28" x14ac:dyDescent="0.25">
      <c r="A184" t="s">
        <v>227</v>
      </c>
      <c r="H184" t="s">
        <v>227</v>
      </c>
      <c r="O184" t="s">
        <v>227</v>
      </c>
    </row>
    <row r="185" spans="1:28" x14ac:dyDescent="0.25">
      <c r="A185" t="s">
        <v>227</v>
      </c>
      <c r="H185" t="s">
        <v>227</v>
      </c>
      <c r="O185" t="s">
        <v>227</v>
      </c>
    </row>
    <row r="186" spans="1:28" x14ac:dyDescent="0.25">
      <c r="A186" t="s">
        <v>227</v>
      </c>
      <c r="H186" t="s">
        <v>227</v>
      </c>
      <c r="O186" t="s">
        <v>227</v>
      </c>
    </row>
    <row r="187" spans="1:28" x14ac:dyDescent="0.25">
      <c r="A187" t="s">
        <v>227</v>
      </c>
      <c r="H187" t="s">
        <v>227</v>
      </c>
      <c r="O187" t="s">
        <v>227</v>
      </c>
    </row>
    <row r="188" spans="1:28" x14ac:dyDescent="0.25">
      <c r="A188" t="s">
        <v>227</v>
      </c>
      <c r="H188" t="s">
        <v>227</v>
      </c>
      <c r="O188" t="s">
        <v>227</v>
      </c>
    </row>
    <row r="190" spans="1:28" x14ac:dyDescent="0.25">
      <c r="A190" s="14" t="s">
        <v>228</v>
      </c>
      <c r="C190" s="9" t="s">
        <v>27</v>
      </c>
      <c r="D190" s="9" t="s">
        <v>28</v>
      </c>
      <c r="E190" s="9" t="s">
        <v>29</v>
      </c>
      <c r="F190" s="9" t="s">
        <v>30</v>
      </c>
      <c r="G190" s="9" t="s">
        <v>31</v>
      </c>
      <c r="H190" s="9" t="s">
        <v>229</v>
      </c>
      <c r="I190" s="9" t="s">
        <v>33</v>
      </c>
      <c r="J190" s="9" t="s">
        <v>34</v>
      </c>
      <c r="K190" s="9" t="s">
        <v>35</v>
      </c>
      <c r="L190" s="9" t="s">
        <v>36</v>
      </c>
      <c r="M190" s="9" t="s">
        <v>37</v>
      </c>
      <c r="N190" s="9" t="s">
        <v>38</v>
      </c>
      <c r="O190" s="9" t="s">
        <v>39</v>
      </c>
      <c r="P190" s="9" t="s">
        <v>40</v>
      </c>
      <c r="Q190" s="9" t="s">
        <v>41</v>
      </c>
      <c r="R190" s="9" t="s">
        <v>42</v>
      </c>
      <c r="S190" s="9" t="s">
        <v>43</v>
      </c>
      <c r="T190" s="9" t="s">
        <v>230</v>
      </c>
      <c r="U190" s="9" t="s">
        <v>231</v>
      </c>
      <c r="V190" s="9" t="s">
        <v>232</v>
      </c>
      <c r="W190" s="9" t="s">
        <v>233</v>
      </c>
      <c r="X190" s="9" t="s">
        <v>234</v>
      </c>
      <c r="Y190" s="9" t="s">
        <v>49</v>
      </c>
      <c r="Z190" s="9" t="s">
        <v>50</v>
      </c>
      <c r="AA190" s="9" t="s">
        <v>51</v>
      </c>
      <c r="AB190" s="9" t="s">
        <v>52</v>
      </c>
    </row>
    <row r="191" spans="1:28" x14ac:dyDescent="0.25">
      <c r="A191" s="11" t="s">
        <v>235</v>
      </c>
      <c r="B191" t="s">
        <v>75</v>
      </c>
      <c r="C191" s="10">
        <v>1</v>
      </c>
      <c r="D191" s="4">
        <v>119451549066.13531</v>
      </c>
      <c r="E191" s="4">
        <v>119451549066.13531</v>
      </c>
      <c r="F191" s="4">
        <v>0.31205368721702659</v>
      </c>
      <c r="G191" s="4">
        <v>0</v>
      </c>
      <c r="H191" s="4">
        <v>45479166666.666664</v>
      </c>
      <c r="I191" s="4">
        <v>51648958333.333336</v>
      </c>
      <c r="J191" s="4">
        <v>51648958333.333336</v>
      </c>
      <c r="K191" s="4">
        <v>-7.3323386691028495E-11</v>
      </c>
      <c r="L191" s="4">
        <v>-7.3323386691028495E-11</v>
      </c>
      <c r="M191" s="4">
        <v>0</v>
      </c>
      <c r="N191" s="4">
        <v>2.0000000000000001E-4</v>
      </c>
      <c r="O191" s="4">
        <v>11.296446608946567</v>
      </c>
      <c r="P191" s="4">
        <v>11.296446608946567</v>
      </c>
      <c r="Q191" s="4">
        <v>1.3540763695987659E-8</v>
      </c>
      <c r="R191" s="4">
        <v>0</v>
      </c>
      <c r="S191" s="4">
        <v>2.1994791666666636E-5</v>
      </c>
      <c r="T191" s="4">
        <v>1.5234895833333333E-5</v>
      </c>
      <c r="U191" s="4">
        <v>1.5234895833333333E-5</v>
      </c>
      <c r="V191" s="4">
        <v>0</v>
      </c>
      <c r="W191" s="4">
        <v>0</v>
      </c>
      <c r="X191" s="4">
        <v>3.1428819444444449</v>
      </c>
      <c r="Y191" s="4">
        <v>5759.2013888888887</v>
      </c>
      <c r="Z191" s="4">
        <v>-1.1999999999999999E-3</v>
      </c>
      <c r="AA191" s="4">
        <v>-1E-3</v>
      </c>
      <c r="AB191" s="3">
        <v>2</v>
      </c>
    </row>
    <row r="192" spans="1:28" x14ac:dyDescent="0.25">
      <c r="C192" s="3">
        <v>2</v>
      </c>
      <c r="D192" s="4">
        <v>125293689672.03632</v>
      </c>
      <c r="E192" s="4">
        <v>125293689672.03632</v>
      </c>
      <c r="F192" s="4">
        <v>0.32134098555343393</v>
      </c>
      <c r="G192" s="4">
        <v>0</v>
      </c>
      <c r="H192" s="4">
        <v>47312500000</v>
      </c>
      <c r="I192" s="4">
        <v>51740625000</v>
      </c>
      <c r="J192" s="4">
        <v>51740625000</v>
      </c>
      <c r="K192" s="4">
        <v>-6.1125923498570052E-11</v>
      </c>
      <c r="L192" s="4">
        <v>-6.1125923498570052E-11</v>
      </c>
      <c r="M192" s="4">
        <v>0</v>
      </c>
      <c r="N192" s="4">
        <v>2.0000000000000001E-4</v>
      </c>
      <c r="O192" s="4">
        <v>32.447240259740255</v>
      </c>
      <c r="P192" s="4">
        <v>32.447240259740255</v>
      </c>
      <c r="Q192" s="4">
        <v>1.1303706597222224E-8</v>
      </c>
      <c r="R192" s="4">
        <v>0</v>
      </c>
      <c r="S192" s="4">
        <v>4.4453125000000005E-5</v>
      </c>
      <c r="T192" s="4">
        <v>1.4364062499999999E-5</v>
      </c>
      <c r="U192" s="4">
        <v>1.4364062499999999E-5</v>
      </c>
      <c r="V192" s="4">
        <v>0</v>
      </c>
      <c r="W192" s="4">
        <v>0</v>
      </c>
      <c r="X192" s="4">
        <v>3.0359375000000002</v>
      </c>
      <c r="Y192" s="4">
        <v>5682.8125</v>
      </c>
      <c r="Z192" s="4">
        <f t="shared" ref="Z192:AA202" si="56">Z191+0.0002</f>
        <v>-9.999999999999998E-4</v>
      </c>
      <c r="AA192" s="4">
        <f t="shared" si="56"/>
        <v>-8.0000000000000004E-4</v>
      </c>
      <c r="AB192" s="3">
        <v>2</v>
      </c>
    </row>
    <row r="193" spans="1:28" x14ac:dyDescent="0.25">
      <c r="C193" s="3">
        <v>3</v>
      </c>
      <c r="D193" s="4">
        <v>130604726586.49174</v>
      </c>
      <c r="E193" s="4">
        <v>130604726586.49174</v>
      </c>
      <c r="F193" s="4">
        <v>0.32978398404107689</v>
      </c>
      <c r="G193" s="4">
        <v>0</v>
      </c>
      <c r="H193" s="4">
        <v>48979166666.666664</v>
      </c>
      <c r="I193" s="4">
        <v>51823958333.333336</v>
      </c>
      <c r="J193" s="4">
        <v>51823958333.333336</v>
      </c>
      <c r="K193" s="4">
        <v>-5.0037320596335138E-11</v>
      </c>
      <c r="L193" s="4">
        <v>-5.0037320596335138E-11</v>
      </c>
      <c r="M193" s="4">
        <v>0</v>
      </c>
      <c r="N193" s="4">
        <v>2.0000000000000001E-4</v>
      </c>
      <c r="O193" s="4">
        <v>51.675234487734457</v>
      </c>
      <c r="P193" s="4">
        <v>51.675234487734457</v>
      </c>
      <c r="Q193" s="4">
        <v>9.2700183256172878E-9</v>
      </c>
      <c r="R193" s="4">
        <v>0</v>
      </c>
      <c r="S193" s="4">
        <v>6.4869791666666635E-5</v>
      </c>
      <c r="T193" s="4">
        <v>1.3572395833333333E-5</v>
      </c>
      <c r="U193" s="4">
        <v>1.3572395833333333E-5</v>
      </c>
      <c r="V193" s="4">
        <v>0</v>
      </c>
      <c r="W193" s="4">
        <v>0</v>
      </c>
      <c r="X193" s="4">
        <v>2.9387152777777779</v>
      </c>
      <c r="Y193" s="4">
        <v>5613.3680555555557</v>
      </c>
      <c r="Z193" s="4">
        <f t="shared" si="56"/>
        <v>-7.9999999999999982E-4</v>
      </c>
      <c r="AA193" s="4">
        <f t="shared" si="56"/>
        <v>-6.0000000000000006E-4</v>
      </c>
      <c r="AB193" s="3">
        <v>2</v>
      </c>
    </row>
    <row r="194" spans="1:28" x14ac:dyDescent="0.25">
      <c r="C194" s="3">
        <v>4</v>
      </c>
      <c r="D194" s="4">
        <v>135384659809.50165</v>
      </c>
      <c r="E194" s="4">
        <v>135384659809.50165</v>
      </c>
      <c r="F194" s="4">
        <v>0.33738268267995564</v>
      </c>
      <c r="G194" s="4">
        <v>0</v>
      </c>
      <c r="H194" s="4">
        <v>50479166666.666664</v>
      </c>
      <c r="I194" s="4">
        <v>51898958333.333336</v>
      </c>
      <c r="J194" s="4">
        <v>51898958333.333336</v>
      </c>
      <c r="K194" s="4">
        <v>-4.0057577984323686E-11</v>
      </c>
      <c r="L194" s="4">
        <v>-4.0057577984323686E-11</v>
      </c>
      <c r="M194" s="4">
        <v>0</v>
      </c>
      <c r="N194" s="4">
        <v>2.0000000000000001E-4</v>
      </c>
      <c r="O194" s="4">
        <v>68.980429292929273</v>
      </c>
      <c r="P194" s="4">
        <v>68.980429292929273</v>
      </c>
      <c r="Q194" s="4">
        <v>7.4396988811728414E-9</v>
      </c>
      <c r="R194" s="4">
        <v>0</v>
      </c>
      <c r="S194" s="4">
        <v>8.3244791666666661E-5</v>
      </c>
      <c r="T194" s="4">
        <v>1.2859895833333333E-5</v>
      </c>
      <c r="U194" s="4">
        <v>1.2859895833333333E-5</v>
      </c>
      <c r="V194" s="4">
        <v>0</v>
      </c>
      <c r="W194" s="4">
        <v>0</v>
      </c>
      <c r="X194" s="4">
        <v>2.8512152777777779</v>
      </c>
      <c r="Y194" s="4">
        <v>5550.8680555555557</v>
      </c>
      <c r="Z194" s="4">
        <f t="shared" si="56"/>
        <v>-5.9999999999999984E-4</v>
      </c>
      <c r="AA194" s="4">
        <f t="shared" si="56"/>
        <v>-4.0000000000000007E-4</v>
      </c>
      <c r="AB194" s="3">
        <v>2</v>
      </c>
    </row>
    <row r="195" spans="1:28" x14ac:dyDescent="0.25">
      <c r="C195" s="3">
        <v>5</v>
      </c>
      <c r="D195" s="4">
        <v>139633489341.06601</v>
      </c>
      <c r="E195" s="4">
        <v>139633489341.06601</v>
      </c>
      <c r="F195" s="4">
        <v>0.34413708147007005</v>
      </c>
      <c r="G195" s="4">
        <v>0</v>
      </c>
      <c r="H195" s="4">
        <v>51812500000</v>
      </c>
      <c r="I195" s="4">
        <v>51965625000</v>
      </c>
      <c r="J195" s="4">
        <v>51965625000</v>
      </c>
      <c r="K195" s="4">
        <v>-3.1186695662535743E-11</v>
      </c>
      <c r="L195" s="4">
        <v>-3.1186695662535743E-11</v>
      </c>
      <c r="M195" s="4">
        <v>0</v>
      </c>
      <c r="N195" s="4">
        <v>2.0000000000000001E-4</v>
      </c>
      <c r="O195" s="4">
        <v>84.36282467532466</v>
      </c>
      <c r="P195" s="4">
        <v>84.36282467532466</v>
      </c>
      <c r="Q195" s="4">
        <v>5.8127482638888899E-9</v>
      </c>
      <c r="R195" s="4">
        <v>0</v>
      </c>
      <c r="S195" s="4">
        <v>9.9578125000000003E-5</v>
      </c>
      <c r="T195" s="4">
        <v>1.22265625E-5</v>
      </c>
      <c r="U195" s="4">
        <v>1.22265625E-5</v>
      </c>
      <c r="V195" s="4">
        <v>0</v>
      </c>
      <c r="W195" s="4">
        <v>0</v>
      </c>
      <c r="X195" s="4">
        <v>2.7734375</v>
      </c>
      <c r="Y195" s="4">
        <v>5495.3125</v>
      </c>
      <c r="Z195" s="4">
        <f t="shared" si="56"/>
        <v>-3.9999999999999986E-4</v>
      </c>
      <c r="AA195" s="4">
        <f t="shared" si="56"/>
        <v>-2.0000000000000006E-4</v>
      </c>
      <c r="AB195" s="3">
        <v>2</v>
      </c>
    </row>
    <row r="196" spans="1:28" x14ac:dyDescent="0.25">
      <c r="C196" s="3">
        <v>6</v>
      </c>
      <c r="D196" s="4">
        <v>143351215181.18481</v>
      </c>
      <c r="E196" s="4">
        <v>143351215181.18481</v>
      </c>
      <c r="F196" s="4">
        <v>0.35004718041142019</v>
      </c>
      <c r="G196" s="4">
        <v>0</v>
      </c>
      <c r="H196" s="4">
        <v>52979166666.666664</v>
      </c>
      <c r="I196" s="4">
        <v>52023958333.333336</v>
      </c>
      <c r="J196" s="4">
        <v>52023958333.333336</v>
      </c>
      <c r="K196" s="4">
        <v>-2.3424673630971285E-11</v>
      </c>
      <c r="L196" s="4">
        <v>-2.3424673630971285E-11</v>
      </c>
      <c r="M196" s="4">
        <v>0</v>
      </c>
      <c r="N196" s="4">
        <v>2.0000000000000001E-4</v>
      </c>
      <c r="O196" s="4">
        <v>97.822420634920618</v>
      </c>
      <c r="P196" s="4">
        <v>97.822420634920618</v>
      </c>
      <c r="Q196" s="4">
        <v>4.3891664737654323E-9</v>
      </c>
      <c r="R196" s="4">
        <v>0</v>
      </c>
      <c r="S196" s="4">
        <v>1.1386979166666666E-4</v>
      </c>
      <c r="T196" s="4">
        <v>1.1672395833333333E-5</v>
      </c>
      <c r="U196" s="4">
        <v>1.1672395833333333E-5</v>
      </c>
      <c r="V196" s="4">
        <v>0</v>
      </c>
      <c r="W196" s="4">
        <v>0</v>
      </c>
      <c r="X196" s="4">
        <v>2.7053819444444445</v>
      </c>
      <c r="Y196" s="4">
        <v>5446.7013888888887</v>
      </c>
      <c r="Z196" s="4">
        <f t="shared" si="56"/>
        <v>-1.9999999999999985E-4</v>
      </c>
      <c r="AA196" s="4">
        <f t="shared" si="56"/>
        <v>0</v>
      </c>
      <c r="AB196" s="3">
        <v>2</v>
      </c>
    </row>
    <row r="197" spans="1:28" x14ac:dyDescent="0.25">
      <c r="C197" s="3">
        <v>7</v>
      </c>
      <c r="D197" s="4">
        <v>146537837329.85809</v>
      </c>
      <c r="E197" s="4">
        <v>146537837329.85809</v>
      </c>
      <c r="F197" s="4">
        <v>0.355112979504006</v>
      </c>
      <c r="G197" s="4">
        <v>0</v>
      </c>
      <c r="H197" s="4">
        <v>53979166666.666664</v>
      </c>
      <c r="I197" s="4">
        <v>52073958333.333336</v>
      </c>
      <c r="J197" s="4">
        <v>52073958333.333336</v>
      </c>
      <c r="K197" s="4">
        <v>-1.6771511889630329E-11</v>
      </c>
      <c r="L197" s="4">
        <v>-1.6771511889630329E-11</v>
      </c>
      <c r="M197" s="4">
        <v>0</v>
      </c>
      <c r="N197" s="4">
        <v>2.0000000000000001E-4</v>
      </c>
      <c r="O197" s="4">
        <v>109.35921717171715</v>
      </c>
      <c r="P197" s="4">
        <v>109.35921717171715</v>
      </c>
      <c r="Q197" s="4">
        <v>3.168953510802469E-9</v>
      </c>
      <c r="R197" s="4">
        <v>0</v>
      </c>
      <c r="S197" s="4">
        <v>1.2611979166666666E-4</v>
      </c>
      <c r="T197" s="4">
        <v>1.1197395833333333E-5</v>
      </c>
      <c r="U197" s="4">
        <v>1.1197395833333333E-5</v>
      </c>
      <c r="V197" s="4">
        <v>0</v>
      </c>
      <c r="W197" s="4">
        <v>0</v>
      </c>
      <c r="X197" s="4">
        <v>2.6470486111111113</v>
      </c>
      <c r="Y197" s="4">
        <v>5405.0347222222226</v>
      </c>
      <c r="Z197" s="4">
        <f t="shared" si="56"/>
        <v>0</v>
      </c>
      <c r="AA197" s="4">
        <f t="shared" si="56"/>
        <v>2.0000000000000001E-4</v>
      </c>
      <c r="AB197" s="3">
        <v>2</v>
      </c>
    </row>
    <row r="198" spans="1:28" x14ac:dyDescent="0.25">
      <c r="C198" s="3">
        <v>8</v>
      </c>
      <c r="D198" s="4">
        <v>149193355787.08582</v>
      </c>
      <c r="E198" s="4">
        <v>149193355787.08582</v>
      </c>
      <c r="F198" s="4">
        <v>0.35933447874782748</v>
      </c>
      <c r="G198" s="4">
        <v>0</v>
      </c>
      <c r="H198" s="4">
        <v>54812500000</v>
      </c>
      <c r="I198" s="4">
        <v>52115625000</v>
      </c>
      <c r="J198" s="4">
        <v>52115625000</v>
      </c>
      <c r="K198" s="4">
        <v>-1.1227210438512867E-11</v>
      </c>
      <c r="L198" s="4">
        <v>-1.1227210438512867E-11</v>
      </c>
      <c r="M198" s="4">
        <v>0</v>
      </c>
      <c r="N198" s="4">
        <v>2.0000000000000001E-4</v>
      </c>
      <c r="O198" s="4">
        <v>118.97321428571426</v>
      </c>
      <c r="P198" s="4">
        <v>118.97321428571426</v>
      </c>
      <c r="Q198" s="4">
        <v>2.1521093750000001E-9</v>
      </c>
      <c r="R198" s="4">
        <v>0</v>
      </c>
      <c r="S198" s="4">
        <v>1.36328125E-4</v>
      </c>
      <c r="T198" s="4">
        <v>1.0801562500000001E-5</v>
      </c>
      <c r="U198" s="4">
        <v>1.0801562500000001E-5</v>
      </c>
      <c r="V198" s="4">
        <v>0</v>
      </c>
      <c r="W198" s="4">
        <v>0</v>
      </c>
      <c r="X198" s="4">
        <v>2.5984375000000002</v>
      </c>
      <c r="Y198" s="4">
        <v>5370.3125</v>
      </c>
      <c r="Z198" s="4">
        <f t="shared" si="56"/>
        <v>2.0000000000000001E-4</v>
      </c>
      <c r="AA198" s="4">
        <f t="shared" si="56"/>
        <v>4.0000000000000002E-4</v>
      </c>
      <c r="AB198" s="3">
        <v>2</v>
      </c>
    </row>
    <row r="199" spans="1:28" x14ac:dyDescent="0.25">
      <c r="C199" s="3">
        <v>9</v>
      </c>
      <c r="D199" s="4">
        <v>151317770552.86798</v>
      </c>
      <c r="E199" s="4">
        <v>151317770552.86798</v>
      </c>
      <c r="F199" s="4">
        <v>0.36271167814288469</v>
      </c>
      <c r="G199" s="4">
        <v>0</v>
      </c>
      <c r="H199" s="4">
        <v>55479166666.666664</v>
      </c>
      <c r="I199" s="4">
        <v>52148958333.333336</v>
      </c>
      <c r="J199" s="4">
        <v>52148958333.333336</v>
      </c>
      <c r="K199" s="4">
        <v>-6.7917692776188928E-12</v>
      </c>
      <c r="L199" s="4">
        <v>-6.7917692776188928E-12</v>
      </c>
      <c r="M199" s="4">
        <v>0</v>
      </c>
      <c r="N199" s="4">
        <v>2.0000000000000001E-4</v>
      </c>
      <c r="O199" s="4">
        <v>126.66441197691195</v>
      </c>
      <c r="P199" s="4">
        <v>126.66441197691195</v>
      </c>
      <c r="Q199" s="4">
        <v>1.3386340663580246E-9</v>
      </c>
      <c r="R199" s="4">
        <v>0</v>
      </c>
      <c r="S199" s="4">
        <v>1.4449479166666666E-4</v>
      </c>
      <c r="T199" s="4">
        <v>1.0484895833333334E-5</v>
      </c>
      <c r="U199" s="4">
        <v>1.0484895833333334E-5</v>
      </c>
      <c r="V199" s="4">
        <v>0</v>
      </c>
      <c r="W199" s="4">
        <v>0</v>
      </c>
      <c r="X199" s="4">
        <v>2.559548611111111</v>
      </c>
      <c r="Y199" s="4">
        <v>5342.5347222222226</v>
      </c>
      <c r="Z199" s="4">
        <f t="shared" si="56"/>
        <v>4.0000000000000002E-4</v>
      </c>
      <c r="AA199" s="4">
        <f t="shared" si="56"/>
        <v>6.0000000000000006E-4</v>
      </c>
      <c r="AB199" s="3">
        <v>2</v>
      </c>
    </row>
    <row r="200" spans="1:28" x14ac:dyDescent="0.25">
      <c r="C200" s="3">
        <v>10</v>
      </c>
      <c r="D200" s="4">
        <v>152911081627.20462</v>
      </c>
      <c r="E200" s="4">
        <v>152911081627.20462</v>
      </c>
      <c r="F200" s="4">
        <v>0.36524457768917762</v>
      </c>
      <c r="G200" s="4">
        <v>0</v>
      </c>
      <c r="H200" s="4">
        <v>55979166666.666664</v>
      </c>
      <c r="I200" s="4">
        <v>52173958333.333336</v>
      </c>
      <c r="J200" s="4">
        <v>52173958333.333336</v>
      </c>
      <c r="K200" s="4">
        <v>-3.4651884069484149E-12</v>
      </c>
      <c r="L200" s="4">
        <v>-3.4651884069484149E-12</v>
      </c>
      <c r="M200" s="4">
        <v>0</v>
      </c>
      <c r="N200" s="4">
        <v>2.0000000000000001E-4</v>
      </c>
      <c r="O200" s="4">
        <v>132.43281024531021</v>
      </c>
      <c r="P200" s="4">
        <v>132.43281024531021</v>
      </c>
      <c r="Q200" s="4">
        <v>7.2852758487654315E-10</v>
      </c>
      <c r="R200" s="4">
        <v>0</v>
      </c>
      <c r="S200" s="4">
        <v>1.5061979166666666E-4</v>
      </c>
      <c r="T200" s="4">
        <v>1.0247395833333334E-5</v>
      </c>
      <c r="U200" s="4">
        <v>1.0247395833333334E-5</v>
      </c>
      <c r="V200" s="4">
        <v>0</v>
      </c>
      <c r="W200" s="4">
        <v>0</v>
      </c>
      <c r="X200" s="4">
        <v>2.5303819444444446</v>
      </c>
      <c r="Y200" s="4">
        <v>5321.7013888888887</v>
      </c>
      <c r="Z200" s="4">
        <f t="shared" si="56"/>
        <v>6.0000000000000006E-4</v>
      </c>
      <c r="AA200" s="4">
        <f t="shared" si="56"/>
        <v>8.0000000000000004E-4</v>
      </c>
      <c r="AB200" s="3">
        <v>2</v>
      </c>
    </row>
    <row r="201" spans="1:28" x14ac:dyDescent="0.25">
      <c r="C201" s="3">
        <v>11</v>
      </c>
      <c r="D201" s="4">
        <v>153973289010.0957</v>
      </c>
      <c r="E201" s="4">
        <v>153973289010.0957</v>
      </c>
      <c r="F201" s="4">
        <v>0.36693317738670622</v>
      </c>
      <c r="G201" s="4">
        <v>0</v>
      </c>
      <c r="H201" s="4">
        <v>56312500000</v>
      </c>
      <c r="I201" s="4">
        <v>52190625000</v>
      </c>
      <c r="J201" s="4">
        <v>52190625000</v>
      </c>
      <c r="K201" s="4">
        <v>-1.2474678265014296E-12</v>
      </c>
      <c r="L201" s="4">
        <v>-1.2474678265014296E-12</v>
      </c>
      <c r="M201" s="4">
        <v>0</v>
      </c>
      <c r="N201" s="4">
        <v>2.0000000000000001E-4</v>
      </c>
      <c r="O201" s="4">
        <v>136.27840909090907</v>
      </c>
      <c r="P201" s="4">
        <v>136.27840909090907</v>
      </c>
      <c r="Q201" s="4">
        <v>3.2178993055555557E-10</v>
      </c>
      <c r="R201" s="4">
        <v>0</v>
      </c>
      <c r="S201" s="4">
        <v>1.54703125E-4</v>
      </c>
      <c r="T201" s="4">
        <v>1.00890625E-5</v>
      </c>
      <c r="U201" s="4">
        <v>1.00890625E-5</v>
      </c>
      <c r="V201" s="4">
        <v>0</v>
      </c>
      <c r="W201" s="4">
        <v>0</v>
      </c>
      <c r="X201" s="4">
        <v>2.5109374999999998</v>
      </c>
      <c r="Y201" s="4">
        <v>5307.8125</v>
      </c>
      <c r="Z201" s="4">
        <f t="shared" si="56"/>
        <v>8.0000000000000004E-4</v>
      </c>
      <c r="AA201" s="4">
        <f t="shared" si="56"/>
        <v>1E-3</v>
      </c>
      <c r="AB201" s="3">
        <v>2</v>
      </c>
    </row>
    <row r="202" spans="1:28" x14ac:dyDescent="0.25">
      <c r="B202" t="s">
        <v>240</v>
      </c>
      <c r="C202" s="10">
        <v>12</v>
      </c>
      <c r="D202" s="4">
        <v>154504392701.54129</v>
      </c>
      <c r="E202" s="4">
        <v>154504392701.54129</v>
      </c>
      <c r="F202" s="4">
        <v>0.3677774772354705</v>
      </c>
      <c r="G202" s="4">
        <v>0</v>
      </c>
      <c r="H202" s="4">
        <v>56479166666.666664</v>
      </c>
      <c r="I202" s="4">
        <v>52198958333.333336</v>
      </c>
      <c r="J202" s="4">
        <v>52198958333.333336</v>
      </c>
      <c r="K202" s="4">
        <v>-1.3860753627793601E-13</v>
      </c>
      <c r="L202" s="4">
        <v>-1.3860753627793601E-13</v>
      </c>
      <c r="M202" s="4">
        <v>0</v>
      </c>
      <c r="N202" s="4">
        <v>2.0000000000000001E-4</v>
      </c>
      <c r="O202" s="4">
        <v>138.20120851370848</v>
      </c>
      <c r="P202" s="4">
        <v>138.20120851370848</v>
      </c>
      <c r="Q202" s="4">
        <v>1.1842110339506163E-10</v>
      </c>
      <c r="R202" s="4">
        <v>0</v>
      </c>
      <c r="S202" s="4">
        <v>1.5674479166666666E-4</v>
      </c>
      <c r="T202" s="4">
        <v>1.0009895833333335E-5</v>
      </c>
      <c r="U202" s="4">
        <v>1.0009895833333335E-5</v>
      </c>
      <c r="V202" s="4">
        <v>0</v>
      </c>
      <c r="W202" s="4">
        <v>0</v>
      </c>
      <c r="X202" s="4">
        <v>2.5012152777777779</v>
      </c>
      <c r="Y202" s="4">
        <v>5300.8680555555557</v>
      </c>
      <c r="Z202" s="4">
        <f t="shared" si="56"/>
        <v>1E-3</v>
      </c>
      <c r="AA202" s="4">
        <f t="shared" si="56"/>
        <v>1.2000000000000001E-3</v>
      </c>
      <c r="AB202" s="3">
        <v>2</v>
      </c>
    </row>
    <row r="203" spans="1:28" x14ac:dyDescent="0.25"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"/>
    </row>
    <row r="204" spans="1:28" x14ac:dyDescent="0.25">
      <c r="C204" s="10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3"/>
    </row>
    <row r="205" spans="1:28" x14ac:dyDescent="0.25">
      <c r="A205" t="s">
        <v>227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"/>
    </row>
    <row r="206" spans="1:28" x14ac:dyDescent="0.25">
      <c r="A206" t="s">
        <v>227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3"/>
    </row>
    <row r="207" spans="1:28" x14ac:dyDescent="0.25">
      <c r="A207" t="s">
        <v>227</v>
      </c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3"/>
    </row>
    <row r="208" spans="1:28" x14ac:dyDescent="0.25">
      <c r="A208" s="14" t="s">
        <v>236</v>
      </c>
      <c r="C208" s="9" t="s">
        <v>27</v>
      </c>
      <c r="D208" s="9" t="s">
        <v>28</v>
      </c>
      <c r="E208" s="9" t="s">
        <v>29</v>
      </c>
      <c r="F208" s="9" t="s">
        <v>30</v>
      </c>
      <c r="G208" s="9" t="s">
        <v>31</v>
      </c>
      <c r="H208" s="9" t="s">
        <v>229</v>
      </c>
      <c r="I208" s="9" t="s">
        <v>33</v>
      </c>
      <c r="J208" s="9" t="s">
        <v>34</v>
      </c>
      <c r="K208" s="9" t="s">
        <v>35</v>
      </c>
      <c r="L208" s="9" t="s">
        <v>36</v>
      </c>
      <c r="M208" s="9" t="s">
        <v>37</v>
      </c>
      <c r="N208" s="9" t="s">
        <v>38</v>
      </c>
      <c r="O208" s="9" t="s">
        <v>39</v>
      </c>
      <c r="P208" s="9" t="s">
        <v>40</v>
      </c>
      <c r="Q208" s="9" t="s">
        <v>41</v>
      </c>
      <c r="R208" s="9" t="s">
        <v>42</v>
      </c>
      <c r="S208" s="9" t="s">
        <v>43</v>
      </c>
      <c r="T208" s="9" t="s">
        <v>230</v>
      </c>
      <c r="U208" s="9" t="s">
        <v>231</v>
      </c>
      <c r="V208" s="9" t="s">
        <v>232</v>
      </c>
      <c r="W208" s="9" t="s">
        <v>233</v>
      </c>
      <c r="X208" s="9" t="s">
        <v>234</v>
      </c>
      <c r="Y208" s="9" t="s">
        <v>49</v>
      </c>
      <c r="Z208" s="9" t="s">
        <v>50</v>
      </c>
      <c r="AA208" s="9" t="s">
        <v>51</v>
      </c>
      <c r="AB208" s="9" t="s">
        <v>52</v>
      </c>
    </row>
    <row r="209" spans="1:28" x14ac:dyDescent="0.25">
      <c r="A209" s="11" t="s">
        <v>235</v>
      </c>
      <c r="B209" t="s">
        <v>75</v>
      </c>
      <c r="C209" s="10">
        <v>1</v>
      </c>
      <c r="D209" s="4">
        <v>118322790334.71088</v>
      </c>
      <c r="E209" s="4">
        <v>118322790334.71088</v>
      </c>
      <c r="F209" s="4">
        <v>0.30924128538235118</v>
      </c>
      <c r="G209" s="4">
        <v>0</v>
      </c>
      <c r="H209" s="4">
        <v>45058333333.333328</v>
      </c>
      <c r="I209" s="4">
        <v>51216458333.333336</v>
      </c>
      <c r="J209" s="4">
        <v>51216458333.333336</v>
      </c>
      <c r="K209" s="4">
        <v>-7.2990728603961444E-11</v>
      </c>
      <c r="L209" s="4">
        <v>-7.2990728603961444E-11</v>
      </c>
      <c r="M209" s="4">
        <v>0</v>
      </c>
      <c r="N209" s="4">
        <v>2.0000000000000001E-4</v>
      </c>
      <c r="O209" s="4">
        <v>10.719606782106743</v>
      </c>
      <c r="P209" s="4">
        <v>10.719606782106743</v>
      </c>
      <c r="Q209" s="4">
        <v>1.3478978047839512E-8</v>
      </c>
      <c r="R209" s="4">
        <v>0</v>
      </c>
      <c r="S209" s="4">
        <v>2.1298958333333305E-5</v>
      </c>
      <c r="T209" s="4">
        <v>1.51278125E-5</v>
      </c>
      <c r="U209" s="4">
        <v>1.51278125E-5</v>
      </c>
      <c r="V209" s="4">
        <v>0</v>
      </c>
      <c r="W209" s="4">
        <v>0</v>
      </c>
      <c r="X209" s="4">
        <v>3.1191319444444447</v>
      </c>
      <c r="Y209" s="4">
        <v>5712.9513888888887</v>
      </c>
      <c r="Z209" s="4">
        <v>-1.1999999999999999E-3</v>
      </c>
      <c r="AA209" s="4">
        <v>-1E-3</v>
      </c>
      <c r="AB209" s="3">
        <v>2</v>
      </c>
    </row>
    <row r="210" spans="1:28" x14ac:dyDescent="0.25">
      <c r="C210" s="3">
        <v>2</v>
      </c>
      <c r="D210" s="4">
        <v>121907413477.763</v>
      </c>
      <c r="E210" s="4">
        <v>121907413477.763</v>
      </c>
      <c r="F210" s="4">
        <v>0.31290378004940766</v>
      </c>
      <c r="G210" s="4">
        <v>0</v>
      </c>
      <c r="H210" s="4">
        <v>46050000000</v>
      </c>
      <c r="I210" s="4">
        <v>50443125000</v>
      </c>
      <c r="J210" s="4">
        <v>50443125000</v>
      </c>
      <c r="K210" s="4">
        <v>-6.0127949237368914E-11</v>
      </c>
      <c r="L210" s="4">
        <v>-6.0127949237368914E-11</v>
      </c>
      <c r="M210" s="4">
        <v>0</v>
      </c>
      <c r="N210" s="4">
        <v>2.0000000000000001E-4</v>
      </c>
      <c r="O210" s="4">
        <v>30.716720779220775</v>
      </c>
      <c r="P210" s="4">
        <v>30.716720779220775</v>
      </c>
      <c r="Q210" s="4">
        <v>1.1118349652777779E-8</v>
      </c>
      <c r="R210" s="4">
        <v>0</v>
      </c>
      <c r="S210" s="4">
        <v>4.2365625000000001E-5</v>
      </c>
      <c r="T210" s="4">
        <v>1.40428125E-5</v>
      </c>
      <c r="U210" s="4">
        <v>1.40428125E-5</v>
      </c>
      <c r="V210" s="4">
        <v>0</v>
      </c>
      <c r="W210" s="4">
        <v>0</v>
      </c>
      <c r="X210" s="4">
        <v>2.9646875000000001</v>
      </c>
      <c r="Y210" s="4">
        <v>5544.0625</v>
      </c>
      <c r="Z210" s="4">
        <f t="shared" ref="Z210:AA210" si="57">Z209+0.0002</f>
        <v>-9.999999999999998E-4</v>
      </c>
      <c r="AA210" s="4">
        <f t="shared" si="57"/>
        <v>-8.0000000000000004E-4</v>
      </c>
      <c r="AB210" s="3">
        <v>2</v>
      </c>
    </row>
    <row r="211" spans="1:28" x14ac:dyDescent="0.25">
      <c r="C211" s="3">
        <v>3</v>
      </c>
      <c r="D211" s="4">
        <v>124960932929.36957</v>
      </c>
      <c r="E211" s="4">
        <v>124960932929.36957</v>
      </c>
      <c r="F211" s="4">
        <v>0.31572197486769976</v>
      </c>
      <c r="G211" s="4">
        <v>0</v>
      </c>
      <c r="H211" s="4">
        <v>46875000000</v>
      </c>
      <c r="I211" s="4">
        <v>49661458333.333336</v>
      </c>
      <c r="J211" s="4">
        <v>49661458333.333336</v>
      </c>
      <c r="K211" s="4">
        <v>-4.8374030160999898E-11</v>
      </c>
      <c r="L211" s="4">
        <v>-4.8374030160999898E-11</v>
      </c>
      <c r="M211" s="4">
        <v>0</v>
      </c>
      <c r="N211" s="4">
        <v>2.0000000000000001E-4</v>
      </c>
      <c r="O211" s="4">
        <v>48.791035353535321</v>
      </c>
      <c r="P211" s="4">
        <v>48.791035353535321</v>
      </c>
      <c r="Q211" s="4">
        <v>8.9610900848765466E-9</v>
      </c>
      <c r="R211" s="4">
        <v>0</v>
      </c>
      <c r="S211" s="4">
        <v>6.1390624999999962E-5</v>
      </c>
      <c r="T211" s="4">
        <v>1.3036979166666666E-5</v>
      </c>
      <c r="U211" s="4">
        <v>1.3036979166666666E-5</v>
      </c>
      <c r="V211" s="4">
        <v>0</v>
      </c>
      <c r="W211" s="4">
        <v>0</v>
      </c>
      <c r="X211" s="4">
        <v>2.8199652777777779</v>
      </c>
      <c r="Y211" s="4">
        <v>5382.1180555555557</v>
      </c>
      <c r="Z211" s="4">
        <f t="shared" ref="Z211:AA211" si="58">Z210+0.0002</f>
        <v>-7.9999999999999982E-4</v>
      </c>
      <c r="AA211" s="4">
        <f t="shared" si="58"/>
        <v>-6.0000000000000006E-4</v>
      </c>
      <c r="AB211" s="3">
        <v>2</v>
      </c>
    </row>
    <row r="212" spans="1:28" x14ac:dyDescent="0.25">
      <c r="C212" s="3">
        <v>4</v>
      </c>
      <c r="D212" s="4">
        <v>127483348689.53059</v>
      </c>
      <c r="E212" s="4">
        <v>127483348689.53059</v>
      </c>
      <c r="F212" s="4">
        <v>0.31769586983722764</v>
      </c>
      <c r="G212" s="4">
        <v>0</v>
      </c>
      <c r="H212" s="4">
        <v>47533333333.333328</v>
      </c>
      <c r="I212" s="4">
        <v>48871458333.333336</v>
      </c>
      <c r="J212" s="4">
        <v>48871458333.333336</v>
      </c>
      <c r="K212" s="4">
        <v>-3.7728971374854352E-11</v>
      </c>
      <c r="L212" s="4">
        <v>-3.7728971374854352E-11</v>
      </c>
      <c r="M212" s="4">
        <v>0</v>
      </c>
      <c r="N212" s="4">
        <v>2.0000000000000001E-4</v>
      </c>
      <c r="O212" s="4">
        <v>64.942550505050491</v>
      </c>
      <c r="P212" s="4">
        <v>64.942550505050491</v>
      </c>
      <c r="Q212" s="4">
        <v>7.0071993441358041E-9</v>
      </c>
      <c r="R212" s="4">
        <v>0</v>
      </c>
      <c r="S212" s="4">
        <v>7.8373958333333334E-5</v>
      </c>
      <c r="T212" s="4">
        <v>1.2110312499999999E-5</v>
      </c>
      <c r="U212" s="4">
        <v>1.2110312499999999E-5</v>
      </c>
      <c r="V212" s="4">
        <v>0</v>
      </c>
      <c r="W212" s="4">
        <v>0</v>
      </c>
      <c r="X212" s="4">
        <v>2.6849652777777777</v>
      </c>
      <c r="Y212" s="4">
        <v>5227.1180555555557</v>
      </c>
      <c r="Z212" s="4">
        <f t="shared" ref="Z212:AA212" si="59">Z211+0.0002</f>
        <v>-5.9999999999999984E-4</v>
      </c>
      <c r="AA212" s="4">
        <f t="shared" si="59"/>
        <v>-4.0000000000000007E-4</v>
      </c>
      <c r="AB212" s="3">
        <v>2</v>
      </c>
    </row>
    <row r="213" spans="1:28" x14ac:dyDescent="0.25">
      <c r="C213" s="3">
        <v>5</v>
      </c>
      <c r="D213" s="4">
        <v>129474660758.24608</v>
      </c>
      <c r="E213" s="4">
        <v>129474660758.24608</v>
      </c>
      <c r="F213" s="4">
        <v>0.31882546495799119</v>
      </c>
      <c r="G213" s="4">
        <v>0</v>
      </c>
      <c r="H213" s="4">
        <v>48025000000</v>
      </c>
      <c r="I213" s="4">
        <v>48073125000</v>
      </c>
      <c r="J213" s="4">
        <v>48073125000</v>
      </c>
      <c r="K213" s="4">
        <v>-2.819277287893231E-11</v>
      </c>
      <c r="L213" s="4">
        <v>-2.819277287893231E-11</v>
      </c>
      <c r="M213" s="4">
        <v>0</v>
      </c>
      <c r="N213" s="4">
        <v>2.0000000000000001E-4</v>
      </c>
      <c r="O213" s="4">
        <v>79.171266233766218</v>
      </c>
      <c r="P213" s="4">
        <v>79.171266233766218</v>
      </c>
      <c r="Q213" s="4">
        <v>5.2566774305555564E-9</v>
      </c>
      <c r="R213" s="4">
        <v>0</v>
      </c>
      <c r="S213" s="4">
        <v>9.3315625000000007E-5</v>
      </c>
      <c r="T213" s="4">
        <v>1.1262812499999999E-5</v>
      </c>
      <c r="U213" s="4">
        <v>1.1262812499999999E-5</v>
      </c>
      <c r="V213" s="4">
        <v>0</v>
      </c>
      <c r="W213" s="4">
        <v>0</v>
      </c>
      <c r="X213" s="4">
        <v>2.5596874999999999</v>
      </c>
      <c r="Y213" s="4">
        <v>5079.0625</v>
      </c>
      <c r="Z213" s="4">
        <f t="shared" ref="Z213:AA213" si="60">Z212+0.0002</f>
        <v>-3.9999999999999986E-4</v>
      </c>
      <c r="AA213" s="4">
        <f t="shared" si="60"/>
        <v>-2.0000000000000006E-4</v>
      </c>
      <c r="AB213" s="3">
        <v>2</v>
      </c>
    </row>
    <row r="214" spans="1:28" x14ac:dyDescent="0.25">
      <c r="C214" s="3">
        <v>6</v>
      </c>
      <c r="D214" s="4">
        <v>130934869135.51602</v>
      </c>
      <c r="E214" s="4">
        <v>130934869135.51602</v>
      </c>
      <c r="F214" s="4">
        <v>0.31911076022999052</v>
      </c>
      <c r="G214" s="4">
        <v>0</v>
      </c>
      <c r="H214" s="4">
        <v>48350000000</v>
      </c>
      <c r="I214" s="4">
        <v>47266458333.333336</v>
      </c>
      <c r="J214" s="4">
        <v>47266458333.333336</v>
      </c>
      <c r="K214" s="4">
        <v>-1.9765434673233758E-11</v>
      </c>
      <c r="L214" s="4">
        <v>-1.9765434673233758E-11</v>
      </c>
      <c r="M214" s="4">
        <v>0</v>
      </c>
      <c r="N214" s="4">
        <v>2.0000000000000001E-4</v>
      </c>
      <c r="O214" s="4">
        <v>91.477182539682531</v>
      </c>
      <c r="P214" s="4">
        <v>91.477182539682531</v>
      </c>
      <c r="Q214" s="4">
        <v>3.7095243441358027E-9</v>
      </c>
      <c r="R214" s="4">
        <v>0</v>
      </c>
      <c r="S214" s="4">
        <v>1.0621562499999999E-4</v>
      </c>
      <c r="T214" s="4">
        <v>1.0494479166666667E-5</v>
      </c>
      <c r="U214" s="4">
        <v>1.0494479166666667E-5</v>
      </c>
      <c r="V214" s="4">
        <v>0</v>
      </c>
      <c r="W214" s="4">
        <v>0</v>
      </c>
      <c r="X214" s="4">
        <v>2.4441319444444445</v>
      </c>
      <c r="Y214" s="4">
        <v>4937.9513888888887</v>
      </c>
      <c r="Z214" s="4">
        <f t="shared" ref="Z214:AA214" si="61">Z213+0.0002</f>
        <v>-1.9999999999999985E-4</v>
      </c>
      <c r="AA214" s="4">
        <f t="shared" si="61"/>
        <v>0</v>
      </c>
      <c r="AB214" s="3">
        <v>2</v>
      </c>
    </row>
    <row r="215" spans="1:28" x14ac:dyDescent="0.25">
      <c r="C215" s="3">
        <v>7</v>
      </c>
      <c r="D215" s="4">
        <v>131863973821.34042</v>
      </c>
      <c r="E215" s="4">
        <v>131863973821.34042</v>
      </c>
      <c r="F215" s="4">
        <v>0.31855175565322547</v>
      </c>
      <c r="G215" s="4">
        <v>0</v>
      </c>
      <c r="H215" s="4">
        <v>48508333333.333328</v>
      </c>
      <c r="I215" s="4">
        <v>46451458333.333336</v>
      </c>
      <c r="J215" s="4">
        <v>46451458333.333336</v>
      </c>
      <c r="K215" s="4">
        <v>-1.2446956757758708E-11</v>
      </c>
      <c r="L215" s="4">
        <v>-1.2446956757758708E-11</v>
      </c>
      <c r="M215" s="4">
        <v>0</v>
      </c>
      <c r="N215" s="4">
        <v>2.0000000000000001E-4</v>
      </c>
      <c r="O215" s="4">
        <v>101.8602994227994</v>
      </c>
      <c r="P215" s="4">
        <v>101.8602994227994</v>
      </c>
      <c r="Q215" s="4">
        <v>2.3657400848765429E-9</v>
      </c>
      <c r="R215" s="4">
        <v>0</v>
      </c>
      <c r="S215" s="4">
        <v>1.1707395833333333E-4</v>
      </c>
      <c r="T215" s="4">
        <v>9.8053125E-6</v>
      </c>
      <c r="U215" s="4">
        <v>9.8053125E-6</v>
      </c>
      <c r="V215" s="4">
        <v>0</v>
      </c>
      <c r="W215" s="4">
        <v>0</v>
      </c>
      <c r="X215" s="4">
        <v>2.3382986111111115</v>
      </c>
      <c r="Y215" s="4">
        <v>4803.7847222222226</v>
      </c>
      <c r="Z215" s="4">
        <f t="shared" ref="Z215:AA215" si="62">Z214+0.0002</f>
        <v>0</v>
      </c>
      <c r="AA215" s="4">
        <f t="shared" si="62"/>
        <v>2.0000000000000001E-4</v>
      </c>
      <c r="AB215" s="3">
        <v>2</v>
      </c>
    </row>
    <row r="216" spans="1:28" x14ac:dyDescent="0.25">
      <c r="C216" s="3">
        <v>8</v>
      </c>
      <c r="D216" s="4">
        <v>132261974815.71927</v>
      </c>
      <c r="E216" s="4">
        <v>132261974815.71927</v>
      </c>
      <c r="F216" s="4">
        <v>0.31714845122769608</v>
      </c>
      <c r="G216" s="4">
        <v>0</v>
      </c>
      <c r="H216" s="4">
        <v>48500000000</v>
      </c>
      <c r="I216" s="4">
        <v>45628125000</v>
      </c>
      <c r="J216" s="4">
        <v>45628125000</v>
      </c>
      <c r="K216" s="4">
        <v>-6.2373391325071484E-12</v>
      </c>
      <c r="L216" s="4">
        <v>-6.2373391325071484E-12</v>
      </c>
      <c r="M216" s="4">
        <v>0</v>
      </c>
      <c r="N216" s="4">
        <v>2.0000000000000001E-4</v>
      </c>
      <c r="O216" s="4">
        <v>110.32061688311686</v>
      </c>
      <c r="P216" s="4">
        <v>110.32061688311686</v>
      </c>
      <c r="Q216" s="4">
        <v>1.2253246527777779E-9</v>
      </c>
      <c r="R216" s="4">
        <v>0</v>
      </c>
      <c r="S216" s="4">
        <v>1.25890625E-4</v>
      </c>
      <c r="T216" s="4">
        <v>9.1953125000000007E-6</v>
      </c>
      <c r="U216" s="4">
        <v>9.1953125000000007E-6</v>
      </c>
      <c r="V216" s="4">
        <v>0</v>
      </c>
      <c r="W216" s="4">
        <v>0</v>
      </c>
      <c r="X216" s="4">
        <v>2.2421875</v>
      </c>
      <c r="Y216" s="4">
        <v>4676.5625</v>
      </c>
      <c r="Z216" s="4">
        <f t="shared" ref="Z216:AA216" si="63">Z215+0.0002</f>
        <v>2.0000000000000001E-4</v>
      </c>
      <c r="AA216" s="4">
        <f t="shared" si="63"/>
        <v>4.0000000000000002E-4</v>
      </c>
      <c r="AB216" s="3">
        <v>2</v>
      </c>
    </row>
    <row r="217" spans="1:28" x14ac:dyDescent="0.25">
      <c r="C217" s="3">
        <v>9</v>
      </c>
      <c r="D217" s="4">
        <v>132128872118.65256</v>
      </c>
      <c r="E217" s="4">
        <v>132128872118.65256</v>
      </c>
      <c r="F217" s="4">
        <v>0.31490084695340242</v>
      </c>
      <c r="G217" s="4">
        <v>0</v>
      </c>
      <c r="H217" s="4">
        <v>48325000000</v>
      </c>
      <c r="I217" s="4">
        <v>44796458333.333336</v>
      </c>
      <c r="J217" s="4">
        <v>44796458333.333336</v>
      </c>
      <c r="K217" s="4">
        <v>-1.136581797479078E-12</v>
      </c>
      <c r="L217" s="4">
        <v>-1.136581797479078E-12</v>
      </c>
      <c r="M217" s="4">
        <v>0</v>
      </c>
      <c r="N217" s="4">
        <v>2.0000000000000001E-4</v>
      </c>
      <c r="O217" s="4">
        <v>116.8581349206349</v>
      </c>
      <c r="P217" s="4">
        <v>116.8581349206349</v>
      </c>
      <c r="Q217" s="4">
        <v>2.8827804783950594E-10</v>
      </c>
      <c r="R217" s="4">
        <v>0</v>
      </c>
      <c r="S217" s="4">
        <v>1.3266562499999999E-4</v>
      </c>
      <c r="T217" s="4">
        <v>8.6644791666666673E-6</v>
      </c>
      <c r="U217" s="4">
        <v>8.6644791666666673E-6</v>
      </c>
      <c r="V217" s="4">
        <v>0</v>
      </c>
      <c r="W217" s="4">
        <v>0</v>
      </c>
      <c r="X217" s="4">
        <v>2.1557986111111109</v>
      </c>
      <c r="Y217" s="4">
        <v>4556.2847222222226</v>
      </c>
      <c r="Z217" s="4">
        <f t="shared" ref="Z217:AA217" si="64">Z216+0.0002</f>
        <v>4.0000000000000002E-4</v>
      </c>
      <c r="AA217" s="4">
        <f t="shared" si="64"/>
        <v>6.0000000000000006E-4</v>
      </c>
      <c r="AB217" s="3">
        <v>2</v>
      </c>
    </row>
    <row r="218" spans="1:28" x14ac:dyDescent="0.25">
      <c r="C218" s="3">
        <v>10</v>
      </c>
      <c r="D218" s="4">
        <v>131464665730.14034</v>
      </c>
      <c r="E218" s="4">
        <v>131464665730.14034</v>
      </c>
      <c r="F218" s="4">
        <v>0.31180894283034449</v>
      </c>
      <c r="G218" s="4">
        <v>0</v>
      </c>
      <c r="H218" s="4">
        <v>47983333333.333328</v>
      </c>
      <c r="I218" s="4">
        <v>43956458333.333336</v>
      </c>
      <c r="J218" s="4">
        <v>43956458333.333336</v>
      </c>
      <c r="K218" s="4">
        <v>2.8553152473254962E-12</v>
      </c>
      <c r="L218" s="4">
        <v>2.8553152473254962E-12</v>
      </c>
      <c r="M218" s="4">
        <v>0</v>
      </c>
      <c r="N218" s="4">
        <v>2.0000000000000001E-4</v>
      </c>
      <c r="O218" s="4">
        <v>121.47285353535349</v>
      </c>
      <c r="P218" s="4">
        <v>121.47285353535349</v>
      </c>
      <c r="Q218" s="4">
        <v>-4.4539972993827182E-10</v>
      </c>
      <c r="R218" s="4">
        <v>0</v>
      </c>
      <c r="S218" s="4">
        <v>1.3739895833333332E-4</v>
      </c>
      <c r="T218" s="4">
        <v>8.2128124999999996E-6</v>
      </c>
      <c r="U218" s="4">
        <v>8.2128124999999996E-6</v>
      </c>
      <c r="V218" s="4">
        <v>0</v>
      </c>
      <c r="W218" s="4">
        <v>0</v>
      </c>
      <c r="X218" s="4">
        <v>2.0791319444444447</v>
      </c>
      <c r="Y218" s="4">
        <v>4442.9513888888887</v>
      </c>
      <c r="Z218" s="4">
        <f t="shared" ref="Z218:AA218" si="65">Z217+0.0002</f>
        <v>6.0000000000000006E-4</v>
      </c>
      <c r="AA218" s="4">
        <f t="shared" si="65"/>
        <v>8.0000000000000004E-4</v>
      </c>
      <c r="AB218" s="3">
        <v>2</v>
      </c>
    </row>
    <row r="219" spans="1:28" x14ac:dyDescent="0.25">
      <c r="C219" s="3">
        <v>11</v>
      </c>
      <c r="D219" s="4">
        <v>130269355650.18254</v>
      </c>
      <c r="E219" s="4">
        <v>130269355650.18254</v>
      </c>
      <c r="F219" s="4">
        <v>0.30787273885852229</v>
      </c>
      <c r="G219" s="4">
        <v>0</v>
      </c>
      <c r="H219" s="4">
        <v>47475000000</v>
      </c>
      <c r="I219" s="4">
        <v>43108125000</v>
      </c>
      <c r="J219" s="4">
        <v>43108125000</v>
      </c>
      <c r="K219" s="4">
        <v>5.7383520019065766E-12</v>
      </c>
      <c r="L219" s="4">
        <v>5.7383520019065766E-12</v>
      </c>
      <c r="M219" s="4">
        <v>0</v>
      </c>
      <c r="N219" s="4">
        <v>2.0000000000000001E-4</v>
      </c>
      <c r="O219" s="4">
        <v>124.16477272727271</v>
      </c>
      <c r="P219" s="4">
        <v>124.16477272727271</v>
      </c>
      <c r="Q219" s="4">
        <v>-9.7570868055555564E-10</v>
      </c>
      <c r="R219" s="4">
        <v>0</v>
      </c>
      <c r="S219" s="4">
        <v>1.4009062499999999E-4</v>
      </c>
      <c r="T219" s="4">
        <v>7.840312500000001E-6</v>
      </c>
      <c r="U219" s="4">
        <v>7.840312500000001E-6</v>
      </c>
      <c r="V219" s="4">
        <v>0</v>
      </c>
      <c r="W219" s="4">
        <v>0</v>
      </c>
      <c r="X219" s="4">
        <v>2.0121874999999996</v>
      </c>
      <c r="Y219" s="4">
        <v>4336.5625</v>
      </c>
      <c r="Z219" s="4">
        <f t="shared" ref="Z219:AA219" si="66">Z218+0.0002</f>
        <v>8.0000000000000004E-4</v>
      </c>
      <c r="AA219" s="4">
        <f t="shared" si="66"/>
        <v>1E-3</v>
      </c>
      <c r="AB219" s="3">
        <v>2</v>
      </c>
    </row>
    <row r="220" spans="1:28" x14ac:dyDescent="0.25">
      <c r="B220" t="s">
        <v>240</v>
      </c>
      <c r="C220" s="10">
        <v>12</v>
      </c>
      <c r="D220" s="4">
        <v>128542941878.77924</v>
      </c>
      <c r="E220" s="4">
        <v>128542941878.77924</v>
      </c>
      <c r="F220" s="4">
        <v>0.3030922350379357</v>
      </c>
      <c r="G220" s="4">
        <v>0</v>
      </c>
      <c r="H220" s="4">
        <v>46800000000</v>
      </c>
      <c r="I220" s="4">
        <v>42251458333.333336</v>
      </c>
      <c r="J220" s="4">
        <v>42251458333.333336</v>
      </c>
      <c r="K220" s="4">
        <v>7.5125284662641666E-12</v>
      </c>
      <c r="L220" s="4">
        <v>7.5125284662641666E-12</v>
      </c>
      <c r="M220" s="4">
        <v>0</v>
      </c>
      <c r="N220" s="4">
        <v>2.0000000000000001E-4</v>
      </c>
      <c r="O220" s="4">
        <v>124.93389249639246</v>
      </c>
      <c r="P220" s="4">
        <v>124.93389249639246</v>
      </c>
      <c r="Q220" s="4">
        <v>-1.3026488040123461E-9</v>
      </c>
      <c r="R220" s="4">
        <v>0</v>
      </c>
      <c r="S220" s="4">
        <v>1.4074062499999998E-4</v>
      </c>
      <c r="T220" s="4">
        <v>7.5469791666666674E-6</v>
      </c>
      <c r="U220" s="4">
        <v>7.5469791666666674E-6</v>
      </c>
      <c r="V220" s="4">
        <v>0</v>
      </c>
      <c r="W220" s="4">
        <v>0</v>
      </c>
      <c r="X220" s="4">
        <v>1.9549652777777777</v>
      </c>
      <c r="Y220" s="4">
        <v>4237.1180555555557</v>
      </c>
      <c r="Z220" s="4">
        <f t="shared" ref="Z220:AA220" si="67">Z219+0.0002</f>
        <v>1E-3</v>
      </c>
      <c r="AA220" s="4">
        <f t="shared" si="67"/>
        <v>1.2000000000000001E-3</v>
      </c>
      <c r="AB220" s="3">
        <v>2</v>
      </c>
    </row>
    <row r="221" spans="1:28" x14ac:dyDescent="0.25"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3"/>
    </row>
    <row r="222" spans="1:28" x14ac:dyDescent="0.25"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3"/>
    </row>
    <row r="223" spans="1:28" x14ac:dyDescent="0.25">
      <c r="C223" s="10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3"/>
    </row>
    <row r="224" spans="1:28" x14ac:dyDescent="0.25">
      <c r="A224" s="14" t="s">
        <v>237</v>
      </c>
      <c r="C224" s="9" t="s">
        <v>27</v>
      </c>
      <c r="D224" s="9" t="s">
        <v>28</v>
      </c>
      <c r="E224" s="9" t="s">
        <v>29</v>
      </c>
      <c r="F224" s="9" t="s">
        <v>30</v>
      </c>
      <c r="G224" s="9" t="s">
        <v>31</v>
      </c>
      <c r="H224" s="9" t="s">
        <v>229</v>
      </c>
      <c r="I224" s="9" t="s">
        <v>33</v>
      </c>
      <c r="J224" s="9" t="s">
        <v>34</v>
      </c>
      <c r="K224" s="9" t="s">
        <v>35</v>
      </c>
      <c r="L224" s="9" t="s">
        <v>36</v>
      </c>
      <c r="M224" s="9" t="s">
        <v>37</v>
      </c>
      <c r="N224" s="9" t="s">
        <v>38</v>
      </c>
      <c r="O224" s="9" t="s">
        <v>39</v>
      </c>
      <c r="P224" s="9" t="s">
        <v>40</v>
      </c>
      <c r="Q224" s="9" t="s">
        <v>41</v>
      </c>
      <c r="R224" s="9" t="s">
        <v>42</v>
      </c>
      <c r="S224" s="9" t="s">
        <v>43</v>
      </c>
      <c r="T224" s="9" t="s">
        <v>230</v>
      </c>
      <c r="U224" s="9" t="s">
        <v>231</v>
      </c>
      <c r="V224" s="9" t="s">
        <v>232</v>
      </c>
      <c r="W224" s="9" t="s">
        <v>233</v>
      </c>
      <c r="X224" s="9" t="s">
        <v>234</v>
      </c>
      <c r="Y224" s="9" t="s">
        <v>49</v>
      </c>
      <c r="Z224" s="9" t="s">
        <v>50</v>
      </c>
      <c r="AA224" s="9" t="s">
        <v>51</v>
      </c>
      <c r="AB224" s="9" t="s">
        <v>52</v>
      </c>
    </row>
    <row r="225" spans="1:28" x14ac:dyDescent="0.25">
      <c r="A225" s="11" t="s">
        <v>235</v>
      </c>
      <c r="B225" t="s">
        <v>75</v>
      </c>
      <c r="C225" s="10">
        <v>1</v>
      </c>
      <c r="D225" s="4">
        <v>117194031603.28645</v>
      </c>
      <c r="E225" s="4">
        <v>117194031603.28645</v>
      </c>
      <c r="F225" s="4">
        <v>0.30642888354767572</v>
      </c>
      <c r="G225" s="4">
        <v>0</v>
      </c>
      <c r="H225" s="4">
        <v>44637500000</v>
      </c>
      <c r="I225" s="4">
        <v>50783958333.333336</v>
      </c>
      <c r="J225" s="4">
        <v>50783958333.333336</v>
      </c>
      <c r="K225" s="4">
        <v>-7.2658070516894407E-11</v>
      </c>
      <c r="L225" s="4">
        <v>-7.2658070516894407E-11</v>
      </c>
      <c r="M225" s="4">
        <v>0</v>
      </c>
      <c r="N225" s="4">
        <v>2.0000000000000001E-4</v>
      </c>
      <c r="O225" s="4">
        <v>10.142766955266916</v>
      </c>
      <c r="P225" s="4">
        <v>10.142766955266916</v>
      </c>
      <c r="Q225" s="4">
        <v>1.3417192399691363E-8</v>
      </c>
      <c r="R225" s="4">
        <v>0</v>
      </c>
      <c r="S225" s="4">
        <v>2.0603124999999974E-5</v>
      </c>
      <c r="T225" s="4">
        <v>1.5020729166666666E-5</v>
      </c>
      <c r="U225" s="4">
        <v>1.5020729166666666E-5</v>
      </c>
      <c r="V225" s="4">
        <v>0</v>
      </c>
      <c r="W225" s="4">
        <v>0</v>
      </c>
      <c r="X225" s="4">
        <v>3.095381944444445</v>
      </c>
      <c r="Y225" s="4">
        <v>5666.7013888888887</v>
      </c>
      <c r="Z225" s="4">
        <v>-1.1999999999999999E-3</v>
      </c>
      <c r="AA225" s="4">
        <v>-1E-3</v>
      </c>
      <c r="AB225" s="3">
        <v>2</v>
      </c>
    </row>
    <row r="226" spans="1:28" x14ac:dyDescent="0.25">
      <c r="C226" s="3">
        <v>2</v>
      </c>
      <c r="D226" s="4">
        <v>118521137283.4897</v>
      </c>
      <c r="E226" s="4">
        <v>118521137283.4897</v>
      </c>
      <c r="F226" s="4">
        <v>0.3044665745453814</v>
      </c>
      <c r="G226" s="4">
        <v>0</v>
      </c>
      <c r="H226" s="4">
        <v>44787500000</v>
      </c>
      <c r="I226" s="4">
        <v>49145625000</v>
      </c>
      <c r="J226" s="4">
        <v>49145625000</v>
      </c>
      <c r="K226" s="4">
        <v>-5.9129974976167762E-11</v>
      </c>
      <c r="L226" s="4">
        <v>-5.9129974976167762E-11</v>
      </c>
      <c r="M226" s="4">
        <v>0</v>
      </c>
      <c r="N226" s="4">
        <v>2.0000000000000001E-4</v>
      </c>
      <c r="O226" s="4">
        <v>28.986201298701296</v>
      </c>
      <c r="P226" s="4">
        <v>28.986201298701296</v>
      </c>
      <c r="Q226" s="4">
        <v>1.0932992708333335E-8</v>
      </c>
      <c r="R226" s="4">
        <v>0</v>
      </c>
      <c r="S226" s="4">
        <v>4.0278125000000005E-5</v>
      </c>
      <c r="T226" s="4">
        <v>1.37215625E-5</v>
      </c>
      <c r="U226" s="4">
        <v>1.37215625E-5</v>
      </c>
      <c r="V226" s="4">
        <v>0</v>
      </c>
      <c r="W226" s="4">
        <v>0</v>
      </c>
      <c r="X226" s="4">
        <v>2.8934375000000001</v>
      </c>
      <c r="Y226" s="4">
        <v>5405.3125</v>
      </c>
      <c r="Z226" s="4">
        <f t="shared" ref="Z226:AA226" si="68">Z225+0.0002</f>
        <v>-9.999999999999998E-4</v>
      </c>
      <c r="AA226" s="4">
        <f t="shared" si="68"/>
        <v>-8.0000000000000004E-4</v>
      </c>
      <c r="AB226" s="3">
        <v>2</v>
      </c>
    </row>
    <row r="227" spans="1:28" x14ac:dyDescent="0.25">
      <c r="C227" s="3">
        <v>3</v>
      </c>
      <c r="D227" s="4">
        <v>119317139272.24738</v>
      </c>
      <c r="E227" s="4">
        <v>119317139272.24738</v>
      </c>
      <c r="F227" s="4">
        <v>0.30165996569432263</v>
      </c>
      <c r="G227" s="4">
        <v>0</v>
      </c>
      <c r="H227" s="4">
        <v>44770833333.333328</v>
      </c>
      <c r="I227" s="4">
        <v>47498958333.333336</v>
      </c>
      <c r="J227" s="4">
        <v>47498958333.333336</v>
      </c>
      <c r="K227" s="4">
        <v>-4.6710739725664658E-11</v>
      </c>
      <c r="L227" s="4">
        <v>-4.6710739725664658E-11</v>
      </c>
      <c r="M227" s="4">
        <v>0</v>
      </c>
      <c r="N227" s="4">
        <v>2.0000000000000001E-4</v>
      </c>
      <c r="O227" s="4">
        <v>45.906836219336192</v>
      </c>
      <c r="P227" s="4">
        <v>45.906836219336192</v>
      </c>
      <c r="Q227" s="4">
        <v>8.6521618441358054E-9</v>
      </c>
      <c r="R227" s="4">
        <v>0</v>
      </c>
      <c r="S227" s="4">
        <v>5.7911458333333304E-5</v>
      </c>
      <c r="T227" s="4">
        <v>1.25015625E-5</v>
      </c>
      <c r="U227" s="4">
        <v>1.25015625E-5</v>
      </c>
      <c r="V227" s="4">
        <v>0</v>
      </c>
      <c r="W227" s="4">
        <v>0</v>
      </c>
      <c r="X227" s="4">
        <v>2.701215277777778</v>
      </c>
      <c r="Y227" s="4">
        <v>5150.8680555555557</v>
      </c>
      <c r="Z227" s="4">
        <f t="shared" ref="Z227:AA227" si="69">Z226+0.0002</f>
        <v>-7.9999999999999982E-4</v>
      </c>
      <c r="AA227" s="4">
        <f t="shared" si="69"/>
        <v>-6.0000000000000006E-4</v>
      </c>
      <c r="AB227" s="3">
        <v>2</v>
      </c>
    </row>
    <row r="228" spans="1:28" x14ac:dyDescent="0.25">
      <c r="C228" s="3">
        <v>4</v>
      </c>
      <c r="D228" s="4">
        <v>119582037569.55954</v>
      </c>
      <c r="E228" s="4">
        <v>119582037569.55954</v>
      </c>
      <c r="F228" s="4">
        <v>0.29800905699449964</v>
      </c>
      <c r="G228" s="4">
        <v>0</v>
      </c>
      <c r="H228" s="4">
        <v>44587500000</v>
      </c>
      <c r="I228" s="4">
        <v>45843958333.333336</v>
      </c>
      <c r="J228" s="4">
        <v>45843958333.333336</v>
      </c>
      <c r="K228" s="4">
        <v>-3.5400364765385017E-11</v>
      </c>
      <c r="L228" s="4">
        <v>-3.5400364765385017E-11</v>
      </c>
      <c r="M228" s="4">
        <v>0</v>
      </c>
      <c r="N228" s="4">
        <v>2.0000000000000001E-4</v>
      </c>
      <c r="O228" s="4">
        <v>60.904671717171695</v>
      </c>
      <c r="P228" s="4">
        <v>60.904671717171695</v>
      </c>
      <c r="Q228" s="4">
        <v>6.5746998070987676E-9</v>
      </c>
      <c r="R228" s="4">
        <v>0</v>
      </c>
      <c r="S228" s="4">
        <v>7.3503124999999993E-5</v>
      </c>
      <c r="T228" s="4">
        <v>1.1360729166666665E-5</v>
      </c>
      <c r="U228" s="4">
        <v>1.1360729166666665E-5</v>
      </c>
      <c r="V228" s="4">
        <v>0</v>
      </c>
      <c r="W228" s="4">
        <v>0</v>
      </c>
      <c r="X228" s="4">
        <v>2.5187152777777779</v>
      </c>
      <c r="Y228" s="4">
        <v>4903.3680555555557</v>
      </c>
      <c r="Z228" s="4">
        <f t="shared" ref="Z228:AA228" si="70">Z227+0.0002</f>
        <v>-5.9999999999999984E-4</v>
      </c>
      <c r="AA228" s="4">
        <f t="shared" si="70"/>
        <v>-4.0000000000000007E-4</v>
      </c>
      <c r="AB228" s="3">
        <v>2</v>
      </c>
    </row>
    <row r="229" spans="1:28" x14ac:dyDescent="0.25">
      <c r="C229" s="3">
        <v>5</v>
      </c>
      <c r="D229" s="4">
        <v>119315832175.42615</v>
      </c>
      <c r="E229" s="4">
        <v>119315832175.42615</v>
      </c>
      <c r="F229" s="4">
        <v>0.29351384844591238</v>
      </c>
      <c r="G229" s="4">
        <v>0</v>
      </c>
      <c r="H229" s="4">
        <v>44237500000</v>
      </c>
      <c r="I229" s="4">
        <v>44180625000</v>
      </c>
      <c r="J229" s="4">
        <v>44180625000</v>
      </c>
      <c r="K229" s="4">
        <v>-2.5198850095328878E-11</v>
      </c>
      <c r="L229" s="4">
        <v>-2.5198850095328878E-11</v>
      </c>
      <c r="M229" s="4">
        <v>0</v>
      </c>
      <c r="N229" s="4">
        <v>2.0000000000000001E-4</v>
      </c>
      <c r="O229" s="4">
        <v>73.979707792207776</v>
      </c>
      <c r="P229" s="4">
        <v>73.979707792207776</v>
      </c>
      <c r="Q229" s="4">
        <v>4.700606597222223E-9</v>
      </c>
      <c r="R229" s="4">
        <v>0</v>
      </c>
      <c r="S229" s="4">
        <v>8.705312500000001E-5</v>
      </c>
      <c r="T229" s="4">
        <v>1.02990625E-5</v>
      </c>
      <c r="U229" s="4">
        <v>1.02990625E-5</v>
      </c>
      <c r="V229" s="4">
        <v>0</v>
      </c>
      <c r="W229" s="4">
        <v>0</v>
      </c>
      <c r="X229" s="4">
        <v>2.3459374999999998</v>
      </c>
      <c r="Y229" s="4">
        <v>4662.8125</v>
      </c>
      <c r="Z229" s="4">
        <f t="shared" ref="Z229:AA229" si="71">Z228+0.0002</f>
        <v>-3.9999999999999986E-4</v>
      </c>
      <c r="AA229" s="4">
        <f t="shared" si="71"/>
        <v>-2.0000000000000006E-4</v>
      </c>
      <c r="AB229" s="3">
        <v>2</v>
      </c>
    </row>
    <row r="230" spans="1:28" x14ac:dyDescent="0.25">
      <c r="C230" s="3">
        <v>6</v>
      </c>
      <c r="D230" s="4">
        <v>118518523089.84721</v>
      </c>
      <c r="E230" s="4">
        <v>118518523089.84721</v>
      </c>
      <c r="F230" s="4">
        <v>0.2881743400485608</v>
      </c>
      <c r="G230" s="4">
        <v>0</v>
      </c>
      <c r="H230" s="4">
        <v>43720833333.333328</v>
      </c>
      <c r="I230" s="4">
        <v>42508958333.333336</v>
      </c>
      <c r="J230" s="4">
        <v>42508958333.333336</v>
      </c>
      <c r="K230" s="4">
        <v>-1.6106195715496231E-11</v>
      </c>
      <c r="L230" s="4">
        <v>-1.6106195715496231E-11</v>
      </c>
      <c r="M230" s="4">
        <v>0</v>
      </c>
      <c r="N230" s="4">
        <v>2.0000000000000001E-4</v>
      </c>
      <c r="O230" s="4">
        <v>85.131944444444429</v>
      </c>
      <c r="P230" s="4">
        <v>85.131944444444429</v>
      </c>
      <c r="Q230" s="4">
        <v>3.0298822145061731E-9</v>
      </c>
      <c r="R230" s="4">
        <v>0</v>
      </c>
      <c r="S230" s="4">
        <v>9.856145833333333E-5</v>
      </c>
      <c r="T230" s="4">
        <v>9.3165624999999989E-6</v>
      </c>
      <c r="U230" s="4">
        <v>9.3165624999999989E-6</v>
      </c>
      <c r="V230" s="4">
        <v>0</v>
      </c>
      <c r="W230" s="4">
        <v>0</v>
      </c>
      <c r="X230" s="4">
        <v>2.1828819444444445</v>
      </c>
      <c r="Y230" s="4">
        <v>4429.2013888888887</v>
      </c>
      <c r="Z230" s="4">
        <f t="shared" ref="Z230:AA230" si="72">Z229+0.0002</f>
        <v>-1.9999999999999985E-4</v>
      </c>
      <c r="AA230" s="4">
        <f t="shared" si="72"/>
        <v>0</v>
      </c>
      <c r="AB230" s="3">
        <v>2</v>
      </c>
    </row>
    <row r="231" spans="1:28" x14ac:dyDescent="0.25">
      <c r="C231" s="3">
        <v>7</v>
      </c>
      <c r="D231" s="4">
        <v>117190110312.82275</v>
      </c>
      <c r="E231" s="4">
        <v>117190110312.82275</v>
      </c>
      <c r="F231" s="4">
        <v>0.28199053180244493</v>
      </c>
      <c r="G231" s="4">
        <v>0</v>
      </c>
      <c r="H231" s="4">
        <v>43037500000</v>
      </c>
      <c r="I231" s="4">
        <v>40828958333.333336</v>
      </c>
      <c r="J231" s="4">
        <v>40828958333.333336</v>
      </c>
      <c r="K231" s="4">
        <v>-8.1224016258870845E-12</v>
      </c>
      <c r="L231" s="4">
        <v>-8.1224016258870845E-12</v>
      </c>
      <c r="M231" s="4">
        <v>0</v>
      </c>
      <c r="N231" s="4">
        <v>2.0000000000000001E-4</v>
      </c>
      <c r="O231" s="4">
        <v>94.361381673881652</v>
      </c>
      <c r="P231" s="4">
        <v>94.361381673881652</v>
      </c>
      <c r="Q231" s="4">
        <v>1.5625266589506172E-9</v>
      </c>
      <c r="R231" s="4">
        <v>0</v>
      </c>
      <c r="S231" s="4">
        <v>1.0802812499999999E-4</v>
      </c>
      <c r="T231" s="4">
        <v>8.4132291666666669E-6</v>
      </c>
      <c r="U231" s="4">
        <v>8.4132291666666669E-6</v>
      </c>
      <c r="V231" s="4">
        <v>0</v>
      </c>
      <c r="W231" s="4">
        <v>0</v>
      </c>
      <c r="X231" s="4">
        <v>2.0295486111111112</v>
      </c>
      <c r="Y231" s="4">
        <v>4202.5347222222226</v>
      </c>
      <c r="Z231" s="4">
        <f t="shared" ref="Z231:AA231" si="73">Z230+0.0002</f>
        <v>0</v>
      </c>
      <c r="AA231" s="4">
        <f t="shared" si="73"/>
        <v>2.0000000000000001E-4</v>
      </c>
      <c r="AB231" s="3">
        <v>2</v>
      </c>
    </row>
    <row r="232" spans="1:28" x14ac:dyDescent="0.25">
      <c r="C232" s="3">
        <v>8</v>
      </c>
      <c r="D232" s="4">
        <v>115330593844.35272</v>
      </c>
      <c r="E232" s="4">
        <v>115330593844.35272</v>
      </c>
      <c r="F232" s="4">
        <v>0.27496242370756468</v>
      </c>
      <c r="G232" s="4">
        <v>0</v>
      </c>
      <c r="H232" s="4">
        <v>42187500000</v>
      </c>
      <c r="I232" s="4">
        <v>39140625000</v>
      </c>
      <c r="J232" s="4">
        <v>39140625000</v>
      </c>
      <c r="K232" s="4">
        <v>-1.2474678265014298E-12</v>
      </c>
      <c r="L232" s="4">
        <v>-1.2474678265014298E-12</v>
      </c>
      <c r="M232" s="4">
        <v>0</v>
      </c>
      <c r="N232" s="4">
        <v>2.0000000000000001E-4</v>
      </c>
      <c r="O232" s="4">
        <v>101.66801948051946</v>
      </c>
      <c r="P232" s="4">
        <v>101.66801948051946</v>
      </c>
      <c r="Q232" s="4">
        <v>2.9853993055555558E-10</v>
      </c>
      <c r="R232" s="4">
        <v>0</v>
      </c>
      <c r="S232" s="4">
        <v>1.15453125E-4</v>
      </c>
      <c r="T232" s="4">
        <v>7.5890625000000007E-6</v>
      </c>
      <c r="U232" s="4">
        <v>7.5890625000000007E-6</v>
      </c>
      <c r="V232" s="4">
        <v>0</v>
      </c>
      <c r="W232" s="4">
        <v>0</v>
      </c>
      <c r="X232" s="4">
        <v>1.8859375</v>
      </c>
      <c r="Y232" s="4">
        <v>3982.8125</v>
      </c>
      <c r="Z232" s="4">
        <f t="shared" ref="Z232:AA232" si="74">Z231+0.0002</f>
        <v>2.0000000000000001E-4</v>
      </c>
      <c r="AA232" s="4">
        <f t="shared" si="74"/>
        <v>4.0000000000000002E-4</v>
      </c>
      <c r="AB232" s="3">
        <v>2</v>
      </c>
    </row>
    <row r="233" spans="1:28" x14ac:dyDescent="0.25">
      <c r="C233" s="3">
        <v>9</v>
      </c>
      <c r="D233" s="4">
        <v>112939973684.43715</v>
      </c>
      <c r="E233" s="4">
        <v>112939973684.43715</v>
      </c>
      <c r="F233" s="4">
        <v>0.26709001576392016</v>
      </c>
      <c r="G233" s="4">
        <v>0</v>
      </c>
      <c r="H233" s="4">
        <v>41170833333.333328</v>
      </c>
      <c r="I233" s="4">
        <v>37443958333.333336</v>
      </c>
      <c r="J233" s="4">
        <v>37443958333.333336</v>
      </c>
      <c r="K233" s="4">
        <v>4.5186056826607367E-12</v>
      </c>
      <c r="L233" s="4">
        <v>4.5186056826607367E-12</v>
      </c>
      <c r="M233" s="4">
        <v>0</v>
      </c>
      <c r="N233" s="4">
        <v>2.0000000000000001E-4</v>
      </c>
      <c r="O233" s="4">
        <v>107.05185786435784</v>
      </c>
      <c r="P233" s="4">
        <v>107.05185786435784</v>
      </c>
      <c r="Q233" s="4">
        <v>-7.6207797067901268E-10</v>
      </c>
      <c r="R233" s="4">
        <v>0</v>
      </c>
      <c r="S233" s="4">
        <v>1.2083645833333333E-4</v>
      </c>
      <c r="T233" s="4">
        <v>6.8440625000000002E-6</v>
      </c>
      <c r="U233" s="4">
        <v>6.8440625000000002E-6</v>
      </c>
      <c r="V233" s="4">
        <v>0</v>
      </c>
      <c r="W233" s="4">
        <v>0</v>
      </c>
      <c r="X233" s="4">
        <v>1.7520486111111109</v>
      </c>
      <c r="Y233" s="4">
        <v>3770.0347222222226</v>
      </c>
      <c r="Z233" s="4">
        <f t="shared" ref="Z233:AA233" si="75">Z232+0.0002</f>
        <v>4.0000000000000002E-4</v>
      </c>
      <c r="AA233" s="4">
        <f t="shared" si="75"/>
        <v>6.0000000000000006E-4</v>
      </c>
      <c r="AB233" s="3">
        <v>2</v>
      </c>
    </row>
    <row r="234" spans="1:28" x14ac:dyDescent="0.25">
      <c r="C234" s="3">
        <v>10</v>
      </c>
      <c r="D234" s="4">
        <v>110018249833.07605</v>
      </c>
      <c r="E234" s="4">
        <v>110018249833.07605</v>
      </c>
      <c r="F234" s="4">
        <v>0.25837330797151137</v>
      </c>
      <c r="G234" s="4">
        <v>0</v>
      </c>
      <c r="H234" s="4">
        <v>39987500000</v>
      </c>
      <c r="I234" s="4">
        <v>35738958333.333336</v>
      </c>
      <c r="J234" s="4">
        <v>35738958333.333336</v>
      </c>
      <c r="K234" s="4">
        <v>9.1758189015994064E-12</v>
      </c>
      <c r="L234" s="4">
        <v>9.1758189015994064E-12</v>
      </c>
      <c r="M234" s="4">
        <v>0</v>
      </c>
      <c r="N234" s="4">
        <v>2.0000000000000001E-4</v>
      </c>
      <c r="O234" s="4">
        <v>110.51289682539678</v>
      </c>
      <c r="P234" s="4">
        <v>110.51289682539678</v>
      </c>
      <c r="Q234" s="4">
        <v>-1.6193270447530868E-9</v>
      </c>
      <c r="R234" s="4">
        <v>0</v>
      </c>
      <c r="S234" s="4">
        <v>1.24178125E-4</v>
      </c>
      <c r="T234" s="4">
        <v>6.1782291666666663E-6</v>
      </c>
      <c r="U234" s="4">
        <v>6.1782291666666663E-6</v>
      </c>
      <c r="V234" s="4">
        <v>0</v>
      </c>
      <c r="W234" s="4">
        <v>0</v>
      </c>
      <c r="X234" s="4">
        <v>1.6278819444444443</v>
      </c>
      <c r="Y234" s="4">
        <v>3564.2013888888887</v>
      </c>
      <c r="Z234" s="4">
        <f t="shared" ref="Z234:AA234" si="76">Z233+0.0002</f>
        <v>6.0000000000000006E-4</v>
      </c>
      <c r="AA234" s="4">
        <f t="shared" si="76"/>
        <v>8.0000000000000004E-4</v>
      </c>
      <c r="AB234" s="3">
        <v>2</v>
      </c>
    </row>
    <row r="235" spans="1:28" x14ac:dyDescent="0.25">
      <c r="C235" s="3">
        <v>11</v>
      </c>
      <c r="D235" s="4">
        <v>106565422290.26938</v>
      </c>
      <c r="E235" s="4">
        <v>106565422290.26938</v>
      </c>
      <c r="F235" s="4">
        <v>0.2488123003303383</v>
      </c>
      <c r="G235" s="4">
        <v>0</v>
      </c>
      <c r="H235" s="4">
        <v>38637500000</v>
      </c>
      <c r="I235" s="4">
        <v>34025625000</v>
      </c>
      <c r="J235" s="4">
        <v>34025625000</v>
      </c>
      <c r="K235" s="4">
        <v>1.2724171830314583E-11</v>
      </c>
      <c r="L235" s="4">
        <v>1.2724171830314583E-11</v>
      </c>
      <c r="M235" s="4">
        <v>0</v>
      </c>
      <c r="N235" s="4">
        <v>2.0000000000000001E-4</v>
      </c>
      <c r="O235" s="4">
        <v>112.05113636363635</v>
      </c>
      <c r="P235" s="4">
        <v>112.05113636363635</v>
      </c>
      <c r="Q235" s="4">
        <v>-2.2732072916666672E-9</v>
      </c>
      <c r="R235" s="4">
        <v>0</v>
      </c>
      <c r="S235" s="4">
        <v>1.2547812500000001E-4</v>
      </c>
      <c r="T235" s="4">
        <v>5.5915624999999999E-6</v>
      </c>
      <c r="U235" s="4">
        <v>5.5915624999999999E-6</v>
      </c>
      <c r="V235" s="4">
        <v>0</v>
      </c>
      <c r="W235" s="4">
        <v>0</v>
      </c>
      <c r="X235" s="4">
        <v>1.5134374999999998</v>
      </c>
      <c r="Y235" s="4">
        <v>3365.3125</v>
      </c>
      <c r="Z235" s="4">
        <f t="shared" ref="Z235:AA235" si="77">Z234+0.0002</f>
        <v>8.0000000000000004E-4</v>
      </c>
      <c r="AA235" s="4">
        <f t="shared" si="77"/>
        <v>1E-3</v>
      </c>
      <c r="AB235" s="3">
        <v>2</v>
      </c>
    </row>
    <row r="236" spans="1:28" x14ac:dyDescent="0.25">
      <c r="B236" t="s">
        <v>240</v>
      </c>
      <c r="C236" s="10">
        <v>12</v>
      </c>
      <c r="D236" s="4">
        <v>102581491056.0172</v>
      </c>
      <c r="E236" s="4">
        <v>102581491056.0172</v>
      </c>
      <c r="F236" s="4">
        <v>0.23840699284040084</v>
      </c>
      <c r="G236" s="4">
        <v>0</v>
      </c>
      <c r="H236" s="4">
        <v>37120833333.333328</v>
      </c>
      <c r="I236" s="4">
        <v>32303958333.333332</v>
      </c>
      <c r="J236" s="4">
        <v>32303958333.333332</v>
      </c>
      <c r="K236" s="4">
        <v>1.5163664468806271E-11</v>
      </c>
      <c r="L236" s="4">
        <v>1.5163664468806271E-11</v>
      </c>
      <c r="M236" s="4">
        <v>0</v>
      </c>
      <c r="N236" s="4">
        <v>2.0000000000000001E-4</v>
      </c>
      <c r="O236" s="4">
        <v>111.66657647907644</v>
      </c>
      <c r="P236" s="4">
        <v>111.66657647907644</v>
      </c>
      <c r="Q236" s="4">
        <v>-2.7237187114197542E-9</v>
      </c>
      <c r="R236" s="4">
        <v>0</v>
      </c>
      <c r="S236" s="4">
        <v>1.2473645833333333E-4</v>
      </c>
      <c r="T236" s="4">
        <v>5.0840625000000001E-6</v>
      </c>
      <c r="U236" s="4">
        <v>5.0840625000000001E-6</v>
      </c>
      <c r="V236" s="4">
        <v>0</v>
      </c>
      <c r="W236" s="4">
        <v>0</v>
      </c>
      <c r="X236" s="4">
        <v>1.4087152777777776</v>
      </c>
      <c r="Y236" s="4">
        <v>3173.3680555555552</v>
      </c>
      <c r="Z236" s="4">
        <f t="shared" ref="Z236:AA236" si="78">Z235+0.0002</f>
        <v>1E-3</v>
      </c>
      <c r="AA236" s="4">
        <f t="shared" si="78"/>
        <v>1.2000000000000001E-3</v>
      </c>
      <c r="AB236" s="3">
        <v>2</v>
      </c>
    </row>
    <row r="240" spans="1:28" x14ac:dyDescent="0.25">
      <c r="A240" s="14" t="s">
        <v>238</v>
      </c>
      <c r="C240" s="9" t="s">
        <v>27</v>
      </c>
      <c r="D240" s="9" t="s">
        <v>28</v>
      </c>
      <c r="E240" s="9" t="s">
        <v>29</v>
      </c>
      <c r="F240" s="9" t="s">
        <v>30</v>
      </c>
      <c r="G240" s="9" t="s">
        <v>31</v>
      </c>
      <c r="H240" s="9" t="s">
        <v>229</v>
      </c>
      <c r="I240" s="9" t="s">
        <v>33</v>
      </c>
      <c r="J240" s="9" t="s">
        <v>34</v>
      </c>
      <c r="K240" s="9" t="s">
        <v>35</v>
      </c>
      <c r="L240" s="9" t="s">
        <v>36</v>
      </c>
      <c r="M240" s="9" t="s">
        <v>37</v>
      </c>
      <c r="N240" s="9" t="s">
        <v>38</v>
      </c>
      <c r="O240" s="9" t="s">
        <v>39</v>
      </c>
      <c r="P240" s="9" t="s">
        <v>40</v>
      </c>
      <c r="Q240" s="9" t="s">
        <v>41</v>
      </c>
      <c r="R240" s="9" t="s">
        <v>42</v>
      </c>
      <c r="S240" s="9" t="s">
        <v>43</v>
      </c>
      <c r="T240" s="9" t="s">
        <v>230</v>
      </c>
      <c r="U240" s="9" t="s">
        <v>231</v>
      </c>
      <c r="V240" s="9" t="s">
        <v>232</v>
      </c>
      <c r="W240" s="9" t="s">
        <v>233</v>
      </c>
      <c r="X240" s="9" t="s">
        <v>234</v>
      </c>
      <c r="Y240" s="9" t="s">
        <v>49</v>
      </c>
      <c r="Z240" s="9" t="s">
        <v>50</v>
      </c>
      <c r="AA240" s="9" t="s">
        <v>51</v>
      </c>
      <c r="AB240" s="9" t="s">
        <v>52</v>
      </c>
    </row>
    <row r="241" spans="1:28" x14ac:dyDescent="0.25">
      <c r="A241" s="11" t="s">
        <v>235</v>
      </c>
      <c r="B241" t="s">
        <v>75</v>
      </c>
      <c r="C241" s="10">
        <v>1</v>
      </c>
      <c r="D241" s="4">
        <v>116065272871.86201</v>
      </c>
      <c r="E241" s="4">
        <v>116065272871.86201</v>
      </c>
      <c r="F241" s="4">
        <v>0.30361648171300032</v>
      </c>
      <c r="G241" s="4">
        <v>0</v>
      </c>
      <c r="H241" s="4">
        <v>44216666666.666664</v>
      </c>
      <c r="I241" s="4">
        <v>50351458333.333336</v>
      </c>
      <c r="J241" s="4">
        <v>50351458333.333336</v>
      </c>
      <c r="K241" s="4">
        <v>-7.2325412429827356E-11</v>
      </c>
      <c r="L241" s="4">
        <v>-7.2325412429827356E-11</v>
      </c>
      <c r="M241" s="4">
        <v>0</v>
      </c>
      <c r="N241" s="4">
        <v>2.0000000000000001E-4</v>
      </c>
      <c r="O241" s="4">
        <v>9.5659271284270915</v>
      </c>
      <c r="P241" s="4">
        <v>9.5659271284270915</v>
      </c>
      <c r="Q241" s="4">
        <v>1.3355406751543216E-8</v>
      </c>
      <c r="R241" s="4">
        <v>0</v>
      </c>
      <c r="S241" s="4">
        <v>1.990729166666664E-5</v>
      </c>
      <c r="T241" s="4">
        <v>1.4913645833333333E-5</v>
      </c>
      <c r="U241" s="4">
        <v>1.4913645833333333E-5</v>
      </c>
      <c r="V241" s="4">
        <v>0</v>
      </c>
      <c r="W241" s="4">
        <v>0</v>
      </c>
      <c r="X241" s="4">
        <v>3.0716319444444449</v>
      </c>
      <c r="Y241" s="4">
        <v>5620.4513888888887</v>
      </c>
      <c r="Z241" s="4">
        <v>-1.1999999999999999E-3</v>
      </c>
      <c r="AA241" s="4">
        <v>-1E-3</v>
      </c>
      <c r="AB241" s="3">
        <v>2</v>
      </c>
    </row>
    <row r="242" spans="1:28" x14ac:dyDescent="0.25">
      <c r="C242" s="3">
        <v>2</v>
      </c>
      <c r="D242" s="4">
        <v>115134861089.21638</v>
      </c>
      <c r="E242" s="4">
        <v>115134861089.21638</v>
      </c>
      <c r="F242" s="4">
        <v>0.29602936904135507</v>
      </c>
      <c r="G242" s="4">
        <v>0</v>
      </c>
      <c r="H242" s="4">
        <v>43525000000</v>
      </c>
      <c r="I242" s="4">
        <v>47848125000</v>
      </c>
      <c r="J242" s="4">
        <v>47848125000</v>
      </c>
      <c r="K242" s="4">
        <v>-5.8132000714966623E-11</v>
      </c>
      <c r="L242" s="4">
        <v>-5.8132000714966623E-11</v>
      </c>
      <c r="M242" s="4">
        <v>0</v>
      </c>
      <c r="N242" s="4">
        <v>2.0000000000000001E-4</v>
      </c>
      <c r="O242" s="4">
        <v>27.255681818181813</v>
      </c>
      <c r="P242" s="4">
        <v>27.255681818181813</v>
      </c>
      <c r="Q242" s="4">
        <v>1.074763576388889E-8</v>
      </c>
      <c r="R242" s="4">
        <v>0</v>
      </c>
      <c r="S242" s="4">
        <v>3.8190625000000008E-5</v>
      </c>
      <c r="T242" s="4">
        <v>1.3400312499999999E-5</v>
      </c>
      <c r="U242" s="4">
        <v>1.3400312499999999E-5</v>
      </c>
      <c r="V242" s="4">
        <v>0</v>
      </c>
      <c r="W242" s="4">
        <v>0</v>
      </c>
      <c r="X242" s="4">
        <v>2.8221875000000001</v>
      </c>
      <c r="Y242" s="4">
        <v>5266.5625</v>
      </c>
      <c r="Z242" s="4">
        <f t="shared" ref="Z242:AA242" si="79">Z241+0.0002</f>
        <v>-9.999999999999998E-4</v>
      </c>
      <c r="AA242" s="4">
        <f t="shared" si="79"/>
        <v>-8.0000000000000004E-4</v>
      </c>
      <c r="AB242" s="3">
        <v>2</v>
      </c>
    </row>
    <row r="243" spans="1:28" x14ac:dyDescent="0.25">
      <c r="C243" s="3">
        <v>3</v>
      </c>
      <c r="D243" s="4">
        <v>113673345615.1252</v>
      </c>
      <c r="E243" s="4">
        <v>113673345615.1252</v>
      </c>
      <c r="F243" s="4">
        <v>0.2875979565209455</v>
      </c>
      <c r="G243" s="4">
        <v>0</v>
      </c>
      <c r="H243" s="4">
        <v>42666666666.666664</v>
      </c>
      <c r="I243" s="4">
        <v>45336458333.333336</v>
      </c>
      <c r="J243" s="4">
        <v>45336458333.333336</v>
      </c>
      <c r="K243" s="4">
        <v>-4.5047449290329418E-11</v>
      </c>
      <c r="L243" s="4">
        <v>-4.5047449290329418E-11</v>
      </c>
      <c r="M243" s="4">
        <v>0</v>
      </c>
      <c r="N243" s="4">
        <v>2.0000000000000001E-4</v>
      </c>
      <c r="O243" s="4">
        <v>43.022637085137056</v>
      </c>
      <c r="P243" s="4">
        <v>43.022637085137056</v>
      </c>
      <c r="Q243" s="4">
        <v>8.3432336033950659E-9</v>
      </c>
      <c r="R243" s="4">
        <v>0</v>
      </c>
      <c r="S243" s="4">
        <v>5.4432291666666638E-5</v>
      </c>
      <c r="T243" s="4">
        <v>1.1966145833333333E-5</v>
      </c>
      <c r="U243" s="4">
        <v>1.1966145833333333E-5</v>
      </c>
      <c r="V243" s="4">
        <v>0</v>
      </c>
      <c r="W243" s="4">
        <v>0</v>
      </c>
      <c r="X243" s="4">
        <v>2.5824652777777777</v>
      </c>
      <c r="Y243" s="4">
        <v>4919.6180555555557</v>
      </c>
      <c r="Z243" s="4">
        <f t="shared" ref="Z243:AA243" si="80">Z242+0.0002</f>
        <v>-7.9999999999999982E-4</v>
      </c>
      <c r="AA243" s="4">
        <f t="shared" si="80"/>
        <v>-6.0000000000000006E-4</v>
      </c>
      <c r="AB243" s="3">
        <v>2</v>
      </c>
    </row>
    <row r="244" spans="1:28" x14ac:dyDescent="0.25">
      <c r="C244" s="3">
        <v>4</v>
      </c>
      <c r="D244" s="4">
        <v>111680726449.5885</v>
      </c>
      <c r="E244" s="4">
        <v>111680726449.5885</v>
      </c>
      <c r="F244" s="4">
        <v>0.2783222441517717</v>
      </c>
      <c r="G244" s="4">
        <v>0</v>
      </c>
      <c r="H244" s="4">
        <v>41641666666.666664</v>
      </c>
      <c r="I244" s="4">
        <v>42816458333.333336</v>
      </c>
      <c r="J244" s="4">
        <v>42816458333.333336</v>
      </c>
      <c r="K244" s="4">
        <v>-3.3071758155915683E-11</v>
      </c>
      <c r="L244" s="4">
        <v>-3.3071758155915683E-11</v>
      </c>
      <c r="M244" s="4">
        <v>0</v>
      </c>
      <c r="N244" s="4">
        <v>2.0000000000000001E-4</v>
      </c>
      <c r="O244" s="4">
        <v>56.866792929292913</v>
      </c>
      <c r="P244" s="4">
        <v>56.866792929292913</v>
      </c>
      <c r="Q244" s="4">
        <v>6.1422002700617303E-9</v>
      </c>
      <c r="R244" s="4">
        <v>0</v>
      </c>
      <c r="S244" s="4">
        <v>6.8632291666666665E-5</v>
      </c>
      <c r="T244" s="4">
        <v>1.0611145833333333E-5</v>
      </c>
      <c r="U244" s="4">
        <v>1.0611145833333333E-5</v>
      </c>
      <c r="V244" s="4">
        <v>0</v>
      </c>
      <c r="W244" s="4">
        <v>0</v>
      </c>
      <c r="X244" s="4">
        <v>2.3524652777777781</v>
      </c>
      <c r="Y244" s="4">
        <v>4579.6180555555557</v>
      </c>
      <c r="Z244" s="4">
        <f t="shared" ref="Z244:AA244" si="81">Z243+0.0002</f>
        <v>-5.9999999999999984E-4</v>
      </c>
      <c r="AA244" s="4">
        <f t="shared" si="81"/>
        <v>-4.0000000000000007E-4</v>
      </c>
      <c r="AB244" s="3">
        <v>2</v>
      </c>
    </row>
    <row r="245" spans="1:28" x14ac:dyDescent="0.25">
      <c r="C245" s="3">
        <v>5</v>
      </c>
      <c r="D245" s="4">
        <v>109157003592.60623</v>
      </c>
      <c r="E245" s="4">
        <v>109157003592.60623</v>
      </c>
      <c r="F245" s="4">
        <v>0.26820223193383352</v>
      </c>
      <c r="G245" s="4">
        <v>0</v>
      </c>
      <c r="H245" s="4">
        <v>40450000000</v>
      </c>
      <c r="I245" s="4">
        <v>40288125000</v>
      </c>
      <c r="J245" s="4">
        <v>40288125000</v>
      </c>
      <c r="K245" s="4">
        <v>-2.2204927311725449E-11</v>
      </c>
      <c r="L245" s="4">
        <v>-2.2204927311725449E-11</v>
      </c>
      <c r="M245" s="4">
        <v>0</v>
      </c>
      <c r="N245" s="4">
        <v>2.0000000000000001E-4</v>
      </c>
      <c r="O245" s="4">
        <v>68.788149350649334</v>
      </c>
      <c r="P245" s="4">
        <v>68.788149350649334</v>
      </c>
      <c r="Q245" s="4">
        <v>4.1445357638888904E-9</v>
      </c>
      <c r="R245" s="4">
        <v>0</v>
      </c>
      <c r="S245" s="4">
        <v>8.0790625E-5</v>
      </c>
      <c r="T245" s="4">
        <v>9.3353124999999994E-6</v>
      </c>
      <c r="U245" s="4">
        <v>9.3353124999999994E-6</v>
      </c>
      <c r="V245" s="4">
        <v>0</v>
      </c>
      <c r="W245" s="4">
        <v>0</v>
      </c>
      <c r="X245" s="4">
        <v>2.1321875000000001</v>
      </c>
      <c r="Y245" s="4">
        <v>4246.5625</v>
      </c>
      <c r="Z245" s="4">
        <f t="shared" ref="Z245:AA245" si="82">Z244+0.0002</f>
        <v>-3.9999999999999986E-4</v>
      </c>
      <c r="AA245" s="4">
        <f t="shared" si="82"/>
        <v>-2.0000000000000006E-4</v>
      </c>
      <c r="AB245" s="3">
        <v>2</v>
      </c>
    </row>
    <row r="246" spans="1:28" x14ac:dyDescent="0.25">
      <c r="C246" s="3">
        <v>6</v>
      </c>
      <c r="D246" s="4">
        <v>106102177044.17842</v>
      </c>
      <c r="E246" s="4">
        <v>106102177044.17842</v>
      </c>
      <c r="F246" s="4">
        <v>0.25723791986713113</v>
      </c>
      <c r="G246" s="4">
        <v>0</v>
      </c>
      <c r="H246" s="4">
        <v>39091666666.666664</v>
      </c>
      <c r="I246" s="4">
        <v>37751458333.333336</v>
      </c>
      <c r="J246" s="4">
        <v>37751458333.333336</v>
      </c>
      <c r="K246" s="4">
        <v>-1.2446956757758704E-11</v>
      </c>
      <c r="L246" s="4">
        <v>-1.2446956757758704E-11</v>
      </c>
      <c r="M246" s="4">
        <v>0</v>
      </c>
      <c r="N246" s="4">
        <v>2.0000000000000001E-4</v>
      </c>
      <c r="O246" s="4">
        <v>78.786706349206341</v>
      </c>
      <c r="P246" s="4">
        <v>78.786706349206341</v>
      </c>
      <c r="Q246" s="4">
        <v>2.3502400848765435E-9</v>
      </c>
      <c r="R246" s="4">
        <v>0</v>
      </c>
      <c r="S246" s="4">
        <v>9.0907291666666664E-5</v>
      </c>
      <c r="T246" s="4">
        <v>8.1386458333333329E-6</v>
      </c>
      <c r="U246" s="4">
        <v>8.1386458333333329E-6</v>
      </c>
      <c r="V246" s="4">
        <v>0</v>
      </c>
      <c r="W246" s="4">
        <v>0</v>
      </c>
      <c r="X246" s="4">
        <v>1.9216319444444445</v>
      </c>
      <c r="Y246" s="4">
        <v>3920.4513888888887</v>
      </c>
      <c r="Z246" s="4">
        <f t="shared" ref="Z246:AA246" si="83">Z245+0.0002</f>
        <v>-1.9999999999999985E-4</v>
      </c>
      <c r="AA246" s="4">
        <f t="shared" si="83"/>
        <v>0</v>
      </c>
      <c r="AB246" s="3">
        <v>2</v>
      </c>
    </row>
    <row r="247" spans="1:28" x14ac:dyDescent="0.25">
      <c r="C247" s="3">
        <v>7</v>
      </c>
      <c r="D247" s="4">
        <v>102516246804.30508</v>
      </c>
      <c r="E247" s="4">
        <v>102516246804.30508</v>
      </c>
      <c r="F247" s="4">
        <v>0.2454293079516644</v>
      </c>
      <c r="G247" s="4">
        <v>0</v>
      </c>
      <c r="H247" s="4">
        <v>37566666666.666664</v>
      </c>
      <c r="I247" s="4">
        <v>35206458333.333336</v>
      </c>
      <c r="J247" s="4">
        <v>35206458333.333336</v>
      </c>
      <c r="K247" s="4">
        <v>-3.7978464940154614E-12</v>
      </c>
      <c r="L247" s="4">
        <v>-3.7978464940154614E-12</v>
      </c>
      <c r="M247" s="4">
        <v>0</v>
      </c>
      <c r="N247" s="4">
        <v>2.0000000000000001E-4</v>
      </c>
      <c r="O247" s="4">
        <v>86.862463924963905</v>
      </c>
      <c r="P247" s="4">
        <v>86.862463924963905</v>
      </c>
      <c r="Q247" s="4">
        <v>7.5931323302469143E-10</v>
      </c>
      <c r="R247" s="4">
        <v>0</v>
      </c>
      <c r="S247" s="4">
        <v>9.8982291666666657E-5</v>
      </c>
      <c r="T247" s="4">
        <v>7.021145833333333E-6</v>
      </c>
      <c r="U247" s="4">
        <v>7.021145833333333E-6</v>
      </c>
      <c r="V247" s="4">
        <v>0</v>
      </c>
      <c r="W247" s="4">
        <v>0</v>
      </c>
      <c r="X247" s="4">
        <v>1.7207986111111113</v>
      </c>
      <c r="Y247" s="4">
        <v>3601.2847222222226</v>
      </c>
      <c r="Z247" s="4">
        <f t="shared" ref="Z247:AA247" si="84">Z246+0.0002</f>
        <v>0</v>
      </c>
      <c r="AA247" s="4">
        <f t="shared" si="84"/>
        <v>2.0000000000000001E-4</v>
      </c>
      <c r="AB247" s="3">
        <v>2</v>
      </c>
    </row>
    <row r="248" spans="1:28" x14ac:dyDescent="0.25">
      <c r="C248" s="3">
        <v>8</v>
      </c>
      <c r="D248" s="4">
        <v>98399212872.986191</v>
      </c>
      <c r="E248" s="4">
        <v>98399212872.986191</v>
      </c>
      <c r="F248" s="4">
        <v>0.23277639618743329</v>
      </c>
      <c r="G248" s="4">
        <v>0</v>
      </c>
      <c r="H248" s="4">
        <v>35875000000</v>
      </c>
      <c r="I248" s="4">
        <v>32653125000</v>
      </c>
      <c r="J248" s="4">
        <v>32653125000</v>
      </c>
      <c r="K248" s="4">
        <v>3.7424034795042879E-12</v>
      </c>
      <c r="L248" s="4">
        <v>3.7424034795042879E-12</v>
      </c>
      <c r="M248" s="4">
        <v>0</v>
      </c>
      <c r="N248" s="4">
        <v>2.0000000000000001E-4</v>
      </c>
      <c r="O248" s="4">
        <v>93.015422077922068</v>
      </c>
      <c r="P248" s="4">
        <v>93.015422077922068</v>
      </c>
      <c r="Q248" s="4">
        <v>-6.2824479166666671E-10</v>
      </c>
      <c r="R248" s="4">
        <v>0</v>
      </c>
      <c r="S248" s="4">
        <v>1.0501562500000001E-4</v>
      </c>
      <c r="T248" s="4">
        <v>5.9828125000000006E-6</v>
      </c>
      <c r="U248" s="4">
        <v>5.9828125000000006E-6</v>
      </c>
      <c r="V248" s="4">
        <v>0</v>
      </c>
      <c r="W248" s="4">
        <v>0</v>
      </c>
      <c r="X248" s="4">
        <v>1.5296875000000001</v>
      </c>
      <c r="Y248" s="4">
        <v>3289.0625</v>
      </c>
      <c r="Z248" s="4">
        <f t="shared" ref="Z248:AA248" si="85">Z247+0.0002</f>
        <v>2.0000000000000001E-4</v>
      </c>
      <c r="AA248" s="4">
        <f t="shared" si="85"/>
        <v>4.0000000000000002E-4</v>
      </c>
      <c r="AB248" s="3">
        <v>2</v>
      </c>
    </row>
    <row r="249" spans="1:28" x14ac:dyDescent="0.25">
      <c r="C249" s="3">
        <v>9</v>
      </c>
      <c r="D249" s="4">
        <v>93751075250.221741</v>
      </c>
      <c r="E249" s="4">
        <v>93751075250.221741</v>
      </c>
      <c r="F249" s="4">
        <v>0.21927918457443793</v>
      </c>
      <c r="G249" s="4">
        <v>0</v>
      </c>
      <c r="H249" s="4">
        <v>34016666666.666664</v>
      </c>
      <c r="I249" s="4">
        <v>30091458333.333336</v>
      </c>
      <c r="J249" s="4">
        <v>30091458333.333336</v>
      </c>
      <c r="K249" s="4">
        <v>1.0173793162800548E-11</v>
      </c>
      <c r="L249" s="4">
        <v>1.0173793162800548E-11</v>
      </c>
      <c r="M249" s="4">
        <v>0</v>
      </c>
      <c r="N249" s="4">
        <v>2.0000000000000001E-4</v>
      </c>
      <c r="O249" s="4">
        <v>97.245580808080788</v>
      </c>
      <c r="P249" s="4">
        <v>97.245580808080788</v>
      </c>
      <c r="Q249" s="4">
        <v>-1.8124339891975311E-9</v>
      </c>
      <c r="R249" s="4">
        <v>0</v>
      </c>
      <c r="S249" s="4">
        <v>1.0900729166666666E-4</v>
      </c>
      <c r="T249" s="4">
        <v>5.0236458333333339E-6</v>
      </c>
      <c r="U249" s="4">
        <v>5.0236458333333339E-6</v>
      </c>
      <c r="V249" s="4">
        <v>0</v>
      </c>
      <c r="W249" s="4">
        <v>0</v>
      </c>
      <c r="X249" s="4">
        <v>1.348298611111111</v>
      </c>
      <c r="Y249" s="4">
        <v>2983.7847222222226</v>
      </c>
      <c r="Z249" s="4">
        <f t="shared" ref="Z249:AA249" si="86">Z248+0.0002</f>
        <v>4.0000000000000002E-4</v>
      </c>
      <c r="AA249" s="4">
        <f t="shared" si="86"/>
        <v>6.0000000000000006E-4</v>
      </c>
      <c r="AB249" s="3">
        <v>2</v>
      </c>
    </row>
    <row r="250" spans="1:28" x14ac:dyDescent="0.25">
      <c r="C250" s="3">
        <v>10</v>
      </c>
      <c r="D250" s="4">
        <v>88571833936.011749</v>
      </c>
      <c r="E250" s="4">
        <v>88571833936.011749</v>
      </c>
      <c r="F250" s="4">
        <v>0.2049376731126783</v>
      </c>
      <c r="G250" s="4">
        <v>0</v>
      </c>
      <c r="H250" s="4">
        <v>31991666666.66666</v>
      </c>
      <c r="I250" s="4">
        <v>27521458333.333332</v>
      </c>
      <c r="J250" s="4">
        <v>27521458333.333332</v>
      </c>
      <c r="K250" s="4">
        <v>1.5496322555873318E-11</v>
      </c>
      <c r="L250" s="4">
        <v>1.5496322555873318E-11</v>
      </c>
      <c r="M250" s="4">
        <v>0</v>
      </c>
      <c r="N250" s="4">
        <v>2.0000000000000001E-4</v>
      </c>
      <c r="O250" s="4">
        <v>99.55294011544008</v>
      </c>
      <c r="P250" s="4">
        <v>99.55294011544008</v>
      </c>
      <c r="Q250" s="4">
        <v>-2.793254359567902E-9</v>
      </c>
      <c r="R250" s="4">
        <v>0</v>
      </c>
      <c r="S250" s="4">
        <v>1.1095729166666666E-4</v>
      </c>
      <c r="T250" s="4">
        <v>4.1436458333333322E-6</v>
      </c>
      <c r="U250" s="4">
        <v>4.1436458333333322E-6</v>
      </c>
      <c r="V250" s="4">
        <v>0</v>
      </c>
      <c r="W250" s="4">
        <v>0</v>
      </c>
      <c r="X250" s="4">
        <v>1.1766319444444446</v>
      </c>
      <c r="Y250" s="4">
        <v>2685.4513888888882</v>
      </c>
      <c r="Z250" s="4">
        <f t="shared" ref="Z250:AA250" si="87">Z249+0.0002</f>
        <v>6.0000000000000006E-4</v>
      </c>
      <c r="AA250" s="4">
        <f t="shared" si="87"/>
        <v>8.0000000000000004E-4</v>
      </c>
      <c r="AB250" s="3">
        <v>2</v>
      </c>
    </row>
    <row r="251" spans="1:28" x14ac:dyDescent="0.25">
      <c r="C251" s="3">
        <v>11</v>
      </c>
      <c r="D251" s="4">
        <v>82861488930.356232</v>
      </c>
      <c r="E251" s="4">
        <v>82861488930.356232</v>
      </c>
      <c r="F251" s="4">
        <v>0.18975186180215436</v>
      </c>
      <c r="G251" s="4">
        <v>0</v>
      </c>
      <c r="H251" s="4">
        <v>29800000000</v>
      </c>
      <c r="I251" s="4">
        <v>24943125000</v>
      </c>
      <c r="J251" s="4">
        <v>24943125000</v>
      </c>
      <c r="K251" s="4">
        <v>1.9709991658722586E-11</v>
      </c>
      <c r="L251" s="4">
        <v>1.9709991658722586E-11</v>
      </c>
      <c r="M251" s="4">
        <v>0</v>
      </c>
      <c r="N251" s="4">
        <v>2.0000000000000001E-4</v>
      </c>
      <c r="O251" s="4">
        <v>99.937499999999986</v>
      </c>
      <c r="P251" s="4">
        <v>99.937499999999986</v>
      </c>
      <c r="Q251" s="4">
        <v>-3.5707059027777779E-9</v>
      </c>
      <c r="R251" s="4">
        <v>0</v>
      </c>
      <c r="S251" s="4">
        <v>1.10865625E-4</v>
      </c>
      <c r="T251" s="4">
        <v>3.3428124999999996E-6</v>
      </c>
      <c r="U251" s="4">
        <v>3.3428124999999996E-6</v>
      </c>
      <c r="V251" s="4">
        <v>0</v>
      </c>
      <c r="W251" s="4">
        <v>0</v>
      </c>
      <c r="X251" s="4">
        <v>1.0146875</v>
      </c>
      <c r="Y251" s="4">
        <v>2394.0625</v>
      </c>
      <c r="Z251" s="4">
        <f t="shared" ref="Z251:AA251" si="88">Z250+0.0002</f>
        <v>8.0000000000000004E-4</v>
      </c>
      <c r="AA251" s="4">
        <f t="shared" si="88"/>
        <v>1E-3</v>
      </c>
      <c r="AB251" s="3">
        <v>2</v>
      </c>
    </row>
    <row r="252" spans="1:28" x14ac:dyDescent="0.25">
      <c r="B252" t="s">
        <v>240</v>
      </c>
      <c r="C252" s="10">
        <v>12</v>
      </c>
      <c r="D252" s="4">
        <v>76620040233.255173</v>
      </c>
      <c r="E252" s="4">
        <v>76620040233.255173</v>
      </c>
      <c r="F252" s="4">
        <v>0.17372175064286605</v>
      </c>
      <c r="G252" s="4">
        <v>0</v>
      </c>
      <c r="H252" s="4">
        <v>27441666666.66666</v>
      </c>
      <c r="I252" s="4">
        <v>22356458333.333332</v>
      </c>
      <c r="J252" s="4">
        <v>22356458333.333332</v>
      </c>
      <c r="K252" s="4">
        <v>2.2814800471348375E-11</v>
      </c>
      <c r="L252" s="4">
        <v>2.2814800471348375E-11</v>
      </c>
      <c r="M252" s="4">
        <v>0</v>
      </c>
      <c r="N252" s="4">
        <v>2.0000000000000001E-4</v>
      </c>
      <c r="O252" s="4">
        <v>98.399260461760434</v>
      </c>
      <c r="P252" s="4">
        <v>98.399260461760434</v>
      </c>
      <c r="Q252" s="4">
        <v>-4.1447886188271615E-9</v>
      </c>
      <c r="R252" s="4">
        <v>0</v>
      </c>
      <c r="S252" s="4">
        <v>1.0873229166666665E-4</v>
      </c>
      <c r="T252" s="4">
        <v>2.6211458333333328E-6</v>
      </c>
      <c r="U252" s="4">
        <v>2.6211458333333328E-6</v>
      </c>
      <c r="V252" s="4">
        <v>0</v>
      </c>
      <c r="W252" s="4">
        <v>0</v>
      </c>
      <c r="X252" s="4">
        <v>0.86246527777777771</v>
      </c>
      <c r="Y252" s="4">
        <v>2109.6180555555552</v>
      </c>
      <c r="Z252" s="4">
        <f t="shared" ref="Z252:AA252" si="89">Z251+0.0002</f>
        <v>1E-3</v>
      </c>
      <c r="AA252" s="4">
        <f t="shared" si="89"/>
        <v>1.2000000000000001E-3</v>
      </c>
      <c r="AB252" s="3">
        <v>2</v>
      </c>
    </row>
    <row r="253" spans="1:28" x14ac:dyDescent="0.25"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3"/>
    </row>
    <row r="254" spans="1:28" x14ac:dyDescent="0.25">
      <c r="C254" s="10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3"/>
    </row>
    <row r="255" spans="1:28" x14ac:dyDescent="0.25">
      <c r="A255" s="14" t="s">
        <v>239</v>
      </c>
      <c r="C255" s="9" t="s">
        <v>27</v>
      </c>
      <c r="D255" s="9" t="s">
        <v>28</v>
      </c>
      <c r="E255" s="9" t="s">
        <v>29</v>
      </c>
      <c r="F255" s="9" t="s">
        <v>30</v>
      </c>
      <c r="G255" s="9" t="s">
        <v>31</v>
      </c>
      <c r="H255" s="9" t="s">
        <v>229</v>
      </c>
      <c r="I255" s="9" t="s">
        <v>33</v>
      </c>
      <c r="J255" s="9" t="s">
        <v>34</v>
      </c>
      <c r="K255" s="9" t="s">
        <v>35</v>
      </c>
      <c r="L255" s="9" t="s">
        <v>36</v>
      </c>
      <c r="M255" s="9" t="s">
        <v>37</v>
      </c>
      <c r="N255" s="9" t="s">
        <v>38</v>
      </c>
      <c r="O255" s="9" t="s">
        <v>39</v>
      </c>
      <c r="P255" s="9" t="s">
        <v>40</v>
      </c>
      <c r="Q255" s="9" t="s">
        <v>41</v>
      </c>
      <c r="R255" s="9" t="s">
        <v>42</v>
      </c>
      <c r="S255" s="9" t="s">
        <v>43</v>
      </c>
      <c r="T255" s="9" t="s">
        <v>230</v>
      </c>
      <c r="U255" s="9" t="s">
        <v>231</v>
      </c>
      <c r="V255" s="9" t="s">
        <v>232</v>
      </c>
      <c r="W255" s="9" t="s">
        <v>233</v>
      </c>
      <c r="X255" s="9" t="s">
        <v>234</v>
      </c>
      <c r="Y255" s="9" t="s">
        <v>49</v>
      </c>
      <c r="Z255" s="9" t="s">
        <v>50</v>
      </c>
      <c r="AA255" s="9" t="s">
        <v>51</v>
      </c>
      <c r="AB255" s="9" t="s">
        <v>52</v>
      </c>
    </row>
    <row r="256" spans="1:28" x14ac:dyDescent="0.25">
      <c r="A256" s="11" t="s">
        <v>235</v>
      </c>
      <c r="B256" t="s">
        <v>75</v>
      </c>
      <c r="C256" s="10">
        <v>1</v>
      </c>
      <c r="D256" s="4">
        <v>114936514140.43758</v>
      </c>
      <c r="E256" s="4">
        <v>114936514140.43758</v>
      </c>
      <c r="F256" s="4">
        <v>0.30080407987832491</v>
      </c>
      <c r="G256" s="4">
        <v>0</v>
      </c>
      <c r="H256" s="4">
        <v>43795833333.333336</v>
      </c>
      <c r="I256" s="4">
        <v>49918958333.333344</v>
      </c>
      <c r="J256" s="4">
        <v>49918958333.333344</v>
      </c>
      <c r="K256" s="4">
        <v>-7.1992754342760306E-11</v>
      </c>
      <c r="L256" s="4">
        <v>-7.1992754342760306E-11</v>
      </c>
      <c r="M256" s="4">
        <v>0</v>
      </c>
      <c r="N256" s="4">
        <v>2.0000000000000001E-4</v>
      </c>
      <c r="O256" s="4">
        <v>8.989087301587265</v>
      </c>
      <c r="P256" s="4">
        <v>8.989087301587265</v>
      </c>
      <c r="Q256" s="4">
        <v>1.3293621103395067E-8</v>
      </c>
      <c r="R256" s="4">
        <v>0</v>
      </c>
      <c r="S256" s="4">
        <v>1.9211458333333308E-5</v>
      </c>
      <c r="T256" s="4">
        <v>1.4806562500000001E-5</v>
      </c>
      <c r="U256" s="4">
        <v>1.4806562500000001E-5</v>
      </c>
      <c r="V256" s="4">
        <v>0</v>
      </c>
      <c r="W256" s="4">
        <v>0</v>
      </c>
      <c r="X256" s="4">
        <v>3.0478819444444452</v>
      </c>
      <c r="Y256" s="4">
        <v>5574.2013888888887</v>
      </c>
      <c r="Z256" s="4">
        <v>-1.1999999999999999E-3</v>
      </c>
      <c r="AA256" s="4">
        <v>-1E-3</v>
      </c>
      <c r="AB256" s="3">
        <v>2</v>
      </c>
    </row>
    <row r="257" spans="2:28" x14ac:dyDescent="0.25">
      <c r="C257" s="3">
        <v>2</v>
      </c>
      <c r="D257" s="4">
        <v>111748584894.94308</v>
      </c>
      <c r="E257" s="4">
        <v>111748584894.94308</v>
      </c>
      <c r="F257" s="4">
        <v>0.2875921635373288</v>
      </c>
      <c r="G257" s="4">
        <v>0</v>
      </c>
      <c r="H257" s="4">
        <v>42262500000</v>
      </c>
      <c r="I257" s="4">
        <v>46550625000</v>
      </c>
      <c r="J257" s="4">
        <v>46550625000</v>
      </c>
      <c r="K257" s="4">
        <v>-5.7134026453765478E-11</v>
      </c>
      <c r="L257" s="4">
        <v>-5.7134026453765478E-11</v>
      </c>
      <c r="M257" s="4">
        <v>0</v>
      </c>
      <c r="N257" s="4">
        <v>2.0000000000000001E-4</v>
      </c>
      <c r="O257" s="4">
        <v>25.525162337662334</v>
      </c>
      <c r="P257" s="4">
        <v>25.525162337662334</v>
      </c>
      <c r="Q257" s="4">
        <v>1.0562278819444445E-8</v>
      </c>
      <c r="R257" s="4">
        <v>0</v>
      </c>
      <c r="S257" s="4">
        <v>3.6103125000000005E-5</v>
      </c>
      <c r="T257" s="4">
        <v>1.3079062499999999E-5</v>
      </c>
      <c r="U257" s="4">
        <v>1.3079062499999999E-5</v>
      </c>
      <c r="V257" s="4">
        <v>0</v>
      </c>
      <c r="W257" s="4">
        <v>0</v>
      </c>
      <c r="X257" s="4">
        <v>2.7509375</v>
      </c>
      <c r="Y257" s="4">
        <v>5127.8125</v>
      </c>
      <c r="Z257" s="4">
        <f t="shared" ref="Z257:AA257" si="90">Z256+0.0002</f>
        <v>-9.999999999999998E-4</v>
      </c>
      <c r="AA257" s="4">
        <f t="shared" si="90"/>
        <v>-8.0000000000000004E-4</v>
      </c>
      <c r="AB257" s="3">
        <v>2</v>
      </c>
    </row>
    <row r="258" spans="2:28" x14ac:dyDescent="0.25">
      <c r="C258" s="3">
        <v>3</v>
      </c>
      <c r="D258" s="4">
        <v>108029551958.00302</v>
      </c>
      <c r="E258" s="4">
        <v>108029551958.00302</v>
      </c>
      <c r="F258" s="4">
        <v>0.27353594734756836</v>
      </c>
      <c r="G258" s="4">
        <v>0</v>
      </c>
      <c r="H258" s="4">
        <v>40562500000</v>
      </c>
      <c r="I258" s="4">
        <v>43173958333.333336</v>
      </c>
      <c r="J258" s="4">
        <v>43173958333.333336</v>
      </c>
      <c r="K258" s="4">
        <v>-4.3384158854994179E-11</v>
      </c>
      <c r="L258" s="4">
        <v>-4.3384158854994179E-11</v>
      </c>
      <c r="M258" s="4">
        <v>0</v>
      </c>
      <c r="N258" s="4">
        <v>2.0000000000000001E-4</v>
      </c>
      <c r="O258" s="4">
        <v>40.13843795093792</v>
      </c>
      <c r="P258" s="4">
        <v>40.13843795093792</v>
      </c>
      <c r="Q258" s="4">
        <v>8.0343053626543247E-9</v>
      </c>
      <c r="R258" s="4">
        <v>0</v>
      </c>
      <c r="S258" s="4">
        <v>5.0953124999999973E-5</v>
      </c>
      <c r="T258" s="4">
        <v>1.1430729166666666E-5</v>
      </c>
      <c r="U258" s="4">
        <v>1.1430729166666666E-5</v>
      </c>
      <c r="V258" s="4">
        <v>0</v>
      </c>
      <c r="W258" s="4">
        <v>0</v>
      </c>
      <c r="X258" s="4">
        <v>2.4637152777777778</v>
      </c>
      <c r="Y258" s="4">
        <v>4688.3680555555557</v>
      </c>
      <c r="Z258" s="4">
        <f t="shared" ref="Z258:AA258" si="91">Z257+0.0002</f>
        <v>-7.9999999999999982E-4</v>
      </c>
      <c r="AA258" s="4">
        <f t="shared" si="91"/>
        <v>-6.0000000000000006E-4</v>
      </c>
      <c r="AB258" s="3">
        <v>2</v>
      </c>
    </row>
    <row r="259" spans="2:28" x14ac:dyDescent="0.25">
      <c r="C259" s="3">
        <v>4</v>
      </c>
      <c r="D259" s="4">
        <v>103779415329.61743</v>
      </c>
      <c r="E259" s="4">
        <v>103779415329.61743</v>
      </c>
      <c r="F259" s="4">
        <v>0.25863543130904371</v>
      </c>
      <c r="G259" s="4">
        <v>0</v>
      </c>
      <c r="H259" s="4">
        <v>38695833333.333328</v>
      </c>
      <c r="I259" s="4">
        <v>39788958333.333336</v>
      </c>
      <c r="J259" s="4">
        <v>39788958333.333336</v>
      </c>
      <c r="K259" s="4">
        <v>-3.0743151546446348E-11</v>
      </c>
      <c r="L259" s="4">
        <v>-3.0743151546446348E-11</v>
      </c>
      <c r="M259" s="4">
        <v>0</v>
      </c>
      <c r="N259" s="4">
        <v>2.0000000000000001E-4</v>
      </c>
      <c r="O259" s="4">
        <v>52.828914141414124</v>
      </c>
      <c r="P259" s="4">
        <v>52.828914141414124</v>
      </c>
      <c r="Q259" s="4">
        <v>5.709700733024693E-9</v>
      </c>
      <c r="R259" s="4">
        <v>0</v>
      </c>
      <c r="S259" s="4">
        <v>6.3761458333333324E-5</v>
      </c>
      <c r="T259" s="4">
        <v>9.8615624999999997E-6</v>
      </c>
      <c r="U259" s="4">
        <v>9.8615624999999997E-6</v>
      </c>
      <c r="V259" s="4">
        <v>0</v>
      </c>
      <c r="W259" s="4">
        <v>0</v>
      </c>
      <c r="X259" s="4">
        <v>2.1862152777777779</v>
      </c>
      <c r="Y259" s="4">
        <v>4255.8680555555557</v>
      </c>
      <c r="Z259" s="4">
        <f t="shared" ref="Z259:AA259" si="92">Z258+0.0002</f>
        <v>-5.9999999999999984E-4</v>
      </c>
      <c r="AA259" s="4">
        <f t="shared" si="92"/>
        <v>-4.0000000000000007E-4</v>
      </c>
      <c r="AB259" s="3">
        <v>2</v>
      </c>
    </row>
    <row r="260" spans="2:28" x14ac:dyDescent="0.25">
      <c r="C260" s="3">
        <v>5</v>
      </c>
      <c r="D260" s="4">
        <v>98998175009.786301</v>
      </c>
      <c r="E260" s="4">
        <v>98998175009.786301</v>
      </c>
      <c r="F260" s="4">
        <v>0.24289061542175469</v>
      </c>
      <c r="G260" s="4">
        <v>0</v>
      </c>
      <c r="H260" s="4">
        <v>36662500000</v>
      </c>
      <c r="I260" s="4">
        <v>36395625000</v>
      </c>
      <c r="J260" s="4">
        <v>36395625000</v>
      </c>
      <c r="K260" s="4">
        <v>-1.9211004528122017E-11</v>
      </c>
      <c r="L260" s="4">
        <v>-1.9211004528122017E-11</v>
      </c>
      <c r="M260" s="4">
        <v>0</v>
      </c>
      <c r="N260" s="4">
        <v>2.0000000000000001E-4</v>
      </c>
      <c r="O260" s="4">
        <v>63.596590909090892</v>
      </c>
      <c r="P260" s="4">
        <v>63.596590909090892</v>
      </c>
      <c r="Q260" s="4">
        <v>3.5884649305555561E-9</v>
      </c>
      <c r="R260" s="4">
        <v>0</v>
      </c>
      <c r="S260" s="4">
        <v>7.4528125000000004E-5</v>
      </c>
      <c r="T260" s="4">
        <v>8.3715625000000004E-6</v>
      </c>
      <c r="U260" s="4">
        <v>8.3715625000000004E-6</v>
      </c>
      <c r="V260" s="4">
        <v>0</v>
      </c>
      <c r="W260" s="4">
        <v>0</v>
      </c>
      <c r="X260" s="4">
        <v>1.9184375</v>
      </c>
      <c r="Y260" s="4">
        <v>3830.3125</v>
      </c>
      <c r="Z260" s="4">
        <f t="shared" ref="Z260:AA260" si="93">Z259+0.0002</f>
        <v>-3.9999999999999986E-4</v>
      </c>
      <c r="AA260" s="4">
        <f t="shared" si="93"/>
        <v>-2.0000000000000006E-4</v>
      </c>
      <c r="AB260" s="3">
        <v>2</v>
      </c>
    </row>
    <row r="261" spans="2:28" x14ac:dyDescent="0.25">
      <c r="C261" s="3">
        <v>6</v>
      </c>
      <c r="D261" s="4">
        <v>93685830998.509613</v>
      </c>
      <c r="E261" s="4">
        <v>93685830998.509613</v>
      </c>
      <c r="F261" s="4">
        <v>0.2263014996857014</v>
      </c>
      <c r="G261" s="4">
        <v>0</v>
      </c>
      <c r="H261" s="4">
        <v>34462500000</v>
      </c>
      <c r="I261" s="4">
        <v>32993958333.333336</v>
      </c>
      <c r="J261" s="4">
        <v>32993958333.333336</v>
      </c>
      <c r="K261" s="4">
        <v>-8.7877178000211775E-12</v>
      </c>
      <c r="L261" s="4">
        <v>-8.7877178000211775E-12</v>
      </c>
      <c r="M261" s="4">
        <v>0</v>
      </c>
      <c r="N261" s="4">
        <v>2.0000000000000001E-4</v>
      </c>
      <c r="O261" s="4">
        <v>72.441468253968239</v>
      </c>
      <c r="P261" s="4">
        <v>72.441468253968239</v>
      </c>
      <c r="Q261" s="4">
        <v>1.6705979552469135E-9</v>
      </c>
      <c r="R261" s="4">
        <v>0</v>
      </c>
      <c r="S261" s="4">
        <v>8.3253124999999999E-5</v>
      </c>
      <c r="T261" s="4">
        <v>6.9607291666666652E-6</v>
      </c>
      <c r="U261" s="4">
        <v>6.9607291666666652E-6</v>
      </c>
      <c r="V261" s="4">
        <v>0</v>
      </c>
      <c r="W261" s="4">
        <v>0</v>
      </c>
      <c r="X261" s="4">
        <v>1.6603819444444443</v>
      </c>
      <c r="Y261" s="4">
        <v>3411.7013888888887</v>
      </c>
      <c r="Z261" s="4">
        <f t="shared" ref="Z261:AA261" si="94">Z260+0.0002</f>
        <v>-1.9999999999999985E-4</v>
      </c>
      <c r="AA261" s="4">
        <f t="shared" si="94"/>
        <v>0</v>
      </c>
      <c r="AB261" s="3">
        <v>2</v>
      </c>
    </row>
    <row r="262" spans="2:28" x14ac:dyDescent="0.25">
      <c r="C262" s="3">
        <v>7</v>
      </c>
      <c r="D262" s="4">
        <v>87842383295.787415</v>
      </c>
      <c r="E262" s="4">
        <v>87842383295.787415</v>
      </c>
      <c r="F262" s="4">
        <v>0.20886808410088381</v>
      </c>
      <c r="G262" s="4">
        <v>0</v>
      </c>
      <c r="H262" s="4">
        <v>32095833333.333332</v>
      </c>
      <c r="I262" s="4">
        <v>29583958333.333336</v>
      </c>
      <c r="J262" s="4">
        <v>29583958333.333336</v>
      </c>
      <c r="K262" s="4">
        <v>5.2670863785616013E-13</v>
      </c>
      <c r="L262" s="4">
        <v>5.2670863785616013E-13</v>
      </c>
      <c r="M262" s="4">
        <v>0</v>
      </c>
      <c r="N262" s="4">
        <v>2.0000000000000001E-4</v>
      </c>
      <c r="O262" s="4">
        <v>79.363546176046157</v>
      </c>
      <c r="P262" s="4">
        <v>79.363546176046157</v>
      </c>
      <c r="Q262" s="4">
        <v>-4.3900192901234712E-11</v>
      </c>
      <c r="R262" s="4">
        <v>0</v>
      </c>
      <c r="S262" s="4">
        <v>8.9936458333333323E-5</v>
      </c>
      <c r="T262" s="4">
        <v>5.6290624999999991E-6</v>
      </c>
      <c r="U262" s="4">
        <v>5.6290624999999991E-6</v>
      </c>
      <c r="V262" s="4">
        <v>0</v>
      </c>
      <c r="W262" s="4">
        <v>0</v>
      </c>
      <c r="X262" s="4">
        <v>1.4120486111111112</v>
      </c>
      <c r="Y262" s="4">
        <v>3000.0347222222226</v>
      </c>
      <c r="Z262" s="4">
        <f t="shared" ref="Z262:AA262" si="95">Z261+0.0002</f>
        <v>0</v>
      </c>
      <c r="AA262" s="4">
        <f t="shared" si="95"/>
        <v>2.0000000000000001E-4</v>
      </c>
      <c r="AB262" s="3">
        <v>2</v>
      </c>
    </row>
    <row r="263" spans="2:28" x14ac:dyDescent="0.25">
      <c r="C263" s="3">
        <v>8</v>
      </c>
      <c r="D263" s="4">
        <v>81467831901.619644</v>
      </c>
      <c r="E263" s="4">
        <v>81467831901.619644</v>
      </c>
      <c r="F263" s="4">
        <v>0.19059036866730186</v>
      </c>
      <c r="G263" s="4">
        <v>0</v>
      </c>
      <c r="H263" s="4">
        <v>29562500000</v>
      </c>
      <c r="I263" s="4">
        <v>26165625000</v>
      </c>
      <c r="J263" s="4">
        <v>26165625000</v>
      </c>
      <c r="K263" s="4">
        <v>8.7322747855100073E-12</v>
      </c>
      <c r="L263" s="4">
        <v>8.7322747855100073E-12</v>
      </c>
      <c r="M263" s="4">
        <v>0</v>
      </c>
      <c r="N263" s="4">
        <v>2.0000000000000001E-4</v>
      </c>
      <c r="O263" s="4">
        <v>84.36282467532466</v>
      </c>
      <c r="P263" s="4">
        <v>84.36282467532466</v>
      </c>
      <c r="Q263" s="4">
        <v>-1.555029513888889E-9</v>
      </c>
      <c r="R263" s="4">
        <v>0</v>
      </c>
      <c r="S263" s="4">
        <v>9.4578125000000003E-5</v>
      </c>
      <c r="T263" s="4">
        <v>4.3765624999999997E-6</v>
      </c>
      <c r="U263" s="4">
        <v>4.3765624999999997E-6</v>
      </c>
      <c r="V263" s="4">
        <v>0</v>
      </c>
      <c r="W263" s="4">
        <v>0</v>
      </c>
      <c r="X263" s="4">
        <v>1.1734374999999999</v>
      </c>
      <c r="Y263" s="4">
        <v>2595.3125</v>
      </c>
      <c r="Z263" s="4">
        <f t="shared" ref="Z263:AA263" si="96">Z262+0.0002</f>
        <v>2.0000000000000001E-4</v>
      </c>
      <c r="AA263" s="4">
        <f t="shared" si="96"/>
        <v>4.0000000000000002E-4</v>
      </c>
      <c r="AB263" s="3">
        <v>2</v>
      </c>
    </row>
    <row r="264" spans="2:28" x14ac:dyDescent="0.25">
      <c r="C264" s="3">
        <v>9</v>
      </c>
      <c r="D264" s="4">
        <v>74562176816.006317</v>
      </c>
      <c r="E264" s="4">
        <v>74562176816.006317</v>
      </c>
      <c r="F264" s="4">
        <v>0.17146835338495564</v>
      </c>
      <c r="G264" s="4">
        <v>0</v>
      </c>
      <c r="H264" s="4">
        <v>26862499999.999996</v>
      </c>
      <c r="I264" s="4">
        <v>22738958333.333336</v>
      </c>
      <c r="J264" s="4">
        <v>22738958333.333336</v>
      </c>
      <c r="K264" s="4">
        <v>1.5828980642940366E-11</v>
      </c>
      <c r="L264" s="4">
        <v>1.5828980642940366E-11</v>
      </c>
      <c r="M264" s="4">
        <v>0</v>
      </c>
      <c r="N264" s="4">
        <v>2.0000000000000001E-4</v>
      </c>
      <c r="O264" s="4">
        <v>87.43930375180372</v>
      </c>
      <c r="P264" s="4">
        <v>87.43930375180372</v>
      </c>
      <c r="Q264" s="4">
        <v>-2.8627900077160497E-9</v>
      </c>
      <c r="R264" s="4">
        <v>0</v>
      </c>
      <c r="S264" s="4">
        <v>9.7178124999999999E-5</v>
      </c>
      <c r="T264" s="4">
        <v>3.203229166666666E-6</v>
      </c>
      <c r="U264" s="4">
        <v>3.203229166666666E-6</v>
      </c>
      <c r="V264" s="4">
        <v>0</v>
      </c>
      <c r="W264" s="4">
        <v>0</v>
      </c>
      <c r="X264" s="4">
        <v>0.94454861111111077</v>
      </c>
      <c r="Y264" s="4">
        <v>2197.5347222222226</v>
      </c>
      <c r="Z264" s="4">
        <f t="shared" ref="Z264:AA264" si="97">Z263+0.0002</f>
        <v>4.0000000000000002E-4</v>
      </c>
      <c r="AA264" s="4">
        <f t="shared" si="97"/>
        <v>6.0000000000000006E-4</v>
      </c>
      <c r="AB264" s="3">
        <v>2</v>
      </c>
    </row>
    <row r="265" spans="2:28" x14ac:dyDescent="0.25">
      <c r="C265" s="3">
        <v>10</v>
      </c>
      <c r="D265" s="4">
        <v>67125418038.947464</v>
      </c>
      <c r="E265" s="4">
        <v>67125418038.947464</v>
      </c>
      <c r="F265" s="4">
        <v>0.15150203825384517</v>
      </c>
      <c r="G265" s="4">
        <v>0</v>
      </c>
      <c r="H265" s="4">
        <v>23995833333.333328</v>
      </c>
      <c r="I265" s="4">
        <v>19303958333.333332</v>
      </c>
      <c r="J265" s="4">
        <v>19303958333.333332</v>
      </c>
      <c r="K265" s="4">
        <v>2.181682621014723E-11</v>
      </c>
      <c r="L265" s="4">
        <v>2.181682621014723E-11</v>
      </c>
      <c r="M265" s="4">
        <v>0</v>
      </c>
      <c r="N265" s="4">
        <v>2.0000000000000001E-4</v>
      </c>
      <c r="O265" s="4">
        <v>88.592983405483366</v>
      </c>
      <c r="P265" s="4">
        <v>88.592983405483366</v>
      </c>
      <c r="Q265" s="4">
        <v>-3.9671816743827169E-9</v>
      </c>
      <c r="R265" s="4">
        <v>0</v>
      </c>
      <c r="S265" s="4">
        <v>9.7736458333333323E-5</v>
      </c>
      <c r="T265" s="4">
        <v>2.1090624999999989E-6</v>
      </c>
      <c r="U265" s="4">
        <v>2.1090624999999989E-6</v>
      </c>
      <c r="V265" s="4">
        <v>0</v>
      </c>
      <c r="W265" s="4">
        <v>0</v>
      </c>
      <c r="X265" s="4">
        <v>0.72538194444444426</v>
      </c>
      <c r="Y265" s="4">
        <v>1806.7013888888882</v>
      </c>
      <c r="Z265" s="4">
        <f t="shared" ref="Z265:AA265" si="98">Z264+0.0002</f>
        <v>6.0000000000000006E-4</v>
      </c>
      <c r="AA265" s="4">
        <f t="shared" si="98"/>
        <v>8.0000000000000004E-4</v>
      </c>
      <c r="AB265" s="3">
        <v>2</v>
      </c>
    </row>
    <row r="266" spans="2:28" x14ac:dyDescent="0.25">
      <c r="C266" s="3">
        <v>11</v>
      </c>
      <c r="D266" s="4">
        <v>59157555570.443054</v>
      </c>
      <c r="E266" s="4">
        <v>59157555570.443054</v>
      </c>
      <c r="F266" s="4">
        <v>0.13069142327397038</v>
      </c>
      <c r="G266" s="4">
        <v>0</v>
      </c>
      <c r="H266" s="4">
        <v>20962500000</v>
      </c>
      <c r="I266" s="4">
        <v>15860625000</v>
      </c>
      <c r="J266" s="4">
        <v>15860625000</v>
      </c>
      <c r="K266" s="4">
        <v>2.6695811487130596E-11</v>
      </c>
      <c r="L266" s="4">
        <v>2.6695811487130596E-11</v>
      </c>
      <c r="M266" s="4">
        <v>0</v>
      </c>
      <c r="N266" s="4">
        <v>2.0000000000000001E-4</v>
      </c>
      <c r="O266" s="4">
        <v>87.823863636363612</v>
      </c>
      <c r="P266" s="4">
        <v>87.823863636363612</v>
      </c>
      <c r="Q266" s="4">
        <v>-4.8682045138888894E-9</v>
      </c>
      <c r="R266" s="4">
        <v>0</v>
      </c>
      <c r="S266" s="4">
        <v>9.6253125000000004E-5</v>
      </c>
      <c r="T266" s="4">
        <v>1.0940624999999993E-6</v>
      </c>
      <c r="U266" s="4">
        <v>1.0940624999999993E-6</v>
      </c>
      <c r="V266" s="4">
        <v>0</v>
      </c>
      <c r="W266" s="4">
        <v>0</v>
      </c>
      <c r="X266" s="4">
        <v>0.51593749999999972</v>
      </c>
      <c r="Y266" s="4">
        <v>1422.8125</v>
      </c>
      <c r="Z266" s="4">
        <f t="shared" ref="Z266:AA266" si="99">Z265+0.0002</f>
        <v>8.0000000000000004E-4</v>
      </c>
      <c r="AA266" s="4">
        <f t="shared" si="99"/>
        <v>1E-3</v>
      </c>
      <c r="AB266" s="3">
        <v>2</v>
      </c>
    </row>
    <row r="267" spans="2:28" x14ac:dyDescent="0.25">
      <c r="B267" t="s">
        <v>240</v>
      </c>
      <c r="C267" s="10">
        <v>12</v>
      </c>
      <c r="D267" s="4">
        <v>50658589410.493103</v>
      </c>
      <c r="E267" s="4">
        <v>50658589410.493103</v>
      </c>
      <c r="F267" s="4">
        <v>0.10903650844533119</v>
      </c>
      <c r="G267" s="4">
        <v>0</v>
      </c>
      <c r="H267" s="4">
        <v>17762499999.999992</v>
      </c>
      <c r="I267" s="4">
        <v>12408958333.333328</v>
      </c>
      <c r="J267" s="4">
        <v>12408958333.333328</v>
      </c>
      <c r="K267" s="4">
        <v>3.0465936473890473E-11</v>
      </c>
      <c r="L267" s="4">
        <v>3.0465936473890473E-11</v>
      </c>
      <c r="M267" s="4">
        <v>0</v>
      </c>
      <c r="N267" s="4">
        <v>2.0000000000000001E-4</v>
      </c>
      <c r="O267" s="4">
        <v>85.1319444444444</v>
      </c>
      <c r="P267" s="4">
        <v>85.1319444444444</v>
      </c>
      <c r="Q267" s="4">
        <v>-5.5658585262345695E-9</v>
      </c>
      <c r="R267" s="4">
        <v>0</v>
      </c>
      <c r="S267" s="4">
        <v>9.2728124999999986E-5</v>
      </c>
      <c r="T267" s="4">
        <v>1.5822916666666549E-7</v>
      </c>
      <c r="U267" s="4">
        <v>1.5822916666666549E-7</v>
      </c>
      <c r="V267" s="4">
        <v>0</v>
      </c>
      <c r="W267" s="4">
        <v>0</v>
      </c>
      <c r="X267" s="4">
        <v>0.31621527777777736</v>
      </c>
      <c r="Y267" s="4">
        <v>1045.8680555555547</v>
      </c>
      <c r="Z267" s="4">
        <f t="shared" ref="Z267:AA267" si="100">Z266+0.0002</f>
        <v>1E-3</v>
      </c>
      <c r="AA267" s="4">
        <f t="shared" si="100"/>
        <v>1.2000000000000001E-3</v>
      </c>
      <c r="AB267" s="3">
        <v>2</v>
      </c>
    </row>
    <row r="268" spans="2:28" x14ac:dyDescent="0.25">
      <c r="C268" s="3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3"/>
    </row>
    <row r="269" spans="2:28" x14ac:dyDescent="0.25">
      <c r="C269" s="3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3"/>
    </row>
    <row r="270" spans="2:28" x14ac:dyDescent="0.25">
      <c r="C270" s="3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3"/>
    </row>
    <row r="271" spans="2:28" x14ac:dyDescent="0.25">
      <c r="C271" s="3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3"/>
    </row>
    <row r="272" spans="2:28" x14ac:dyDescent="0.25">
      <c r="C272" s="3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3"/>
    </row>
    <row r="273" spans="1:28" x14ac:dyDescent="0.25">
      <c r="C273" s="3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3"/>
    </row>
    <row r="274" spans="1:28" x14ac:dyDescent="0.25">
      <c r="C274" s="3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3"/>
    </row>
    <row r="275" spans="1:28" x14ac:dyDescent="0.25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3"/>
    </row>
    <row r="276" spans="1:28" x14ac:dyDescent="0.25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3"/>
    </row>
    <row r="277" spans="1:28" x14ac:dyDescent="0.25">
      <c r="C277" s="10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3"/>
    </row>
    <row r="281" spans="1:28" x14ac:dyDescent="0.25">
      <c r="A281" s="14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</row>
    <row r="282" spans="1:28" x14ac:dyDescent="0.25">
      <c r="A282" s="11"/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3"/>
    </row>
    <row r="283" spans="1:28" x14ac:dyDescent="0.25">
      <c r="C283" s="3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3"/>
    </row>
    <row r="284" spans="1:28" x14ac:dyDescent="0.25">
      <c r="C284" s="3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3"/>
    </row>
    <row r="285" spans="1:28" x14ac:dyDescent="0.25">
      <c r="C285" s="3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3"/>
    </row>
    <row r="286" spans="1:28" x14ac:dyDescent="0.25">
      <c r="C286" s="3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3"/>
    </row>
    <row r="287" spans="1:28" x14ac:dyDescent="0.25">
      <c r="C287" s="3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3"/>
    </row>
    <row r="288" spans="1:28" x14ac:dyDescent="0.25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3"/>
    </row>
    <row r="289" spans="1:28" x14ac:dyDescent="0.25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3"/>
    </row>
    <row r="290" spans="1:28" x14ac:dyDescent="0.25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3"/>
    </row>
    <row r="291" spans="1:28" x14ac:dyDescent="0.25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3"/>
    </row>
    <row r="292" spans="1:28" x14ac:dyDescent="0.25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3"/>
    </row>
    <row r="293" spans="1:28" x14ac:dyDescent="0.25">
      <c r="C293" s="10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3"/>
    </row>
    <row r="296" spans="1:28" x14ac:dyDescent="0.25">
      <c r="A296" s="14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</row>
    <row r="297" spans="1:28" x14ac:dyDescent="0.25">
      <c r="A297" s="11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</row>
    <row r="298" spans="1:28" x14ac:dyDescent="0.25"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3"/>
    </row>
    <row r="299" spans="1:28" x14ac:dyDescent="0.25">
      <c r="C299" s="3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3"/>
    </row>
    <row r="300" spans="1:28" x14ac:dyDescent="0.25">
      <c r="C300" s="3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3"/>
    </row>
    <row r="301" spans="1:28" x14ac:dyDescent="0.25">
      <c r="C301" s="3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3"/>
    </row>
    <row r="302" spans="1:28" x14ac:dyDescent="0.25">
      <c r="C302" s="3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3"/>
    </row>
    <row r="303" spans="1:28" x14ac:dyDescent="0.25">
      <c r="C303" s="3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3"/>
    </row>
    <row r="304" spans="1:28" x14ac:dyDescent="0.25"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3"/>
    </row>
    <row r="305" spans="1:28" x14ac:dyDescent="0.25"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3"/>
    </row>
    <row r="306" spans="1:28" x14ac:dyDescent="0.25"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3"/>
    </row>
    <row r="307" spans="1:28" x14ac:dyDescent="0.25"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3"/>
    </row>
    <row r="308" spans="1:28" x14ac:dyDescent="0.25"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3"/>
    </row>
    <row r="309" spans="1:28" x14ac:dyDescent="0.25">
      <c r="C309" s="10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3"/>
    </row>
    <row r="314" spans="1:28" x14ac:dyDescent="0.25">
      <c r="A314" s="14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</row>
    <row r="315" spans="1:28" x14ac:dyDescent="0.25">
      <c r="A315" s="11"/>
      <c r="C315" s="10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3"/>
    </row>
    <row r="316" spans="1:28" x14ac:dyDescent="0.25">
      <c r="C316" s="3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3"/>
    </row>
    <row r="317" spans="1:28" x14ac:dyDescent="0.25">
      <c r="C317" s="3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3"/>
    </row>
    <row r="318" spans="1:28" x14ac:dyDescent="0.25">
      <c r="C318" s="3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3"/>
    </row>
    <row r="319" spans="1:28" x14ac:dyDescent="0.25">
      <c r="C319" s="3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3"/>
    </row>
    <row r="320" spans="1:28" x14ac:dyDescent="0.25">
      <c r="C320" s="3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3"/>
    </row>
    <row r="321" spans="1:28" x14ac:dyDescent="0.25"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3"/>
    </row>
    <row r="322" spans="1:28" x14ac:dyDescent="0.25"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3"/>
    </row>
    <row r="323" spans="1:28" x14ac:dyDescent="0.25"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3"/>
    </row>
    <row r="324" spans="1:28" x14ac:dyDescent="0.25"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3"/>
    </row>
    <row r="325" spans="1:28" x14ac:dyDescent="0.25"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3"/>
    </row>
    <row r="326" spans="1:28" x14ac:dyDescent="0.25">
      <c r="C326" s="10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3"/>
    </row>
    <row r="330" spans="1:28" x14ac:dyDescent="0.25">
      <c r="A330" s="14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</row>
    <row r="331" spans="1:28" x14ac:dyDescent="0.25">
      <c r="A331" s="11"/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3"/>
    </row>
    <row r="332" spans="1:28" x14ac:dyDescent="0.25">
      <c r="C332" s="3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3"/>
    </row>
    <row r="333" spans="1:28" x14ac:dyDescent="0.25">
      <c r="C333" s="3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3"/>
    </row>
    <row r="334" spans="1:28" x14ac:dyDescent="0.25">
      <c r="C334" s="3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3"/>
    </row>
    <row r="335" spans="1:28" x14ac:dyDescent="0.25">
      <c r="C335" s="3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3"/>
    </row>
    <row r="336" spans="1:28" x14ac:dyDescent="0.25">
      <c r="C336" s="3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3"/>
    </row>
    <row r="337" spans="1:28" x14ac:dyDescent="0.25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3"/>
    </row>
    <row r="338" spans="1:28" x14ac:dyDescent="0.25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3"/>
    </row>
    <row r="339" spans="1:28" x14ac:dyDescent="0.25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3"/>
    </row>
    <row r="340" spans="1:28" x14ac:dyDescent="0.25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3"/>
    </row>
    <row r="341" spans="1:28" x14ac:dyDescent="0.25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3"/>
    </row>
    <row r="342" spans="1:28" x14ac:dyDescent="0.25">
      <c r="C342" s="10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3"/>
    </row>
    <row r="346" spans="1:28" x14ac:dyDescent="0.25">
      <c r="A346" s="14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</row>
    <row r="347" spans="1:28" x14ac:dyDescent="0.25">
      <c r="A347" s="11"/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3"/>
    </row>
    <row r="348" spans="1:28" x14ac:dyDescent="0.25">
      <c r="C348" s="3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3"/>
    </row>
    <row r="349" spans="1:28" x14ac:dyDescent="0.25">
      <c r="C349" s="3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3"/>
    </row>
    <row r="350" spans="1:28" x14ac:dyDescent="0.25">
      <c r="C350" s="3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3"/>
    </row>
    <row r="351" spans="1:28" x14ac:dyDescent="0.25">
      <c r="C351" s="3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3"/>
    </row>
    <row r="352" spans="1:28" x14ac:dyDescent="0.25">
      <c r="C352" s="3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3"/>
    </row>
    <row r="353" spans="1:28" x14ac:dyDescent="0.25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3"/>
    </row>
    <row r="354" spans="1:28" x14ac:dyDescent="0.25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3"/>
    </row>
    <row r="355" spans="1:28" x14ac:dyDescent="0.25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3"/>
    </row>
    <row r="356" spans="1:28" x14ac:dyDescent="0.25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3"/>
    </row>
    <row r="357" spans="1:28" x14ac:dyDescent="0.25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3"/>
    </row>
    <row r="358" spans="1:28" x14ac:dyDescent="0.25">
      <c r="C358" s="10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3"/>
    </row>
    <row r="361" spans="1:28" x14ac:dyDescent="0.25">
      <c r="A361" s="14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</row>
    <row r="362" spans="1:28" x14ac:dyDescent="0.25">
      <c r="A362" s="11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</row>
    <row r="363" spans="1:28" x14ac:dyDescent="0.25"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3"/>
    </row>
    <row r="364" spans="1:28" x14ac:dyDescent="0.25">
      <c r="C364" s="3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3"/>
    </row>
    <row r="365" spans="1:28" x14ac:dyDescent="0.25">
      <c r="C365" s="3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3"/>
    </row>
    <row r="366" spans="1:28" x14ac:dyDescent="0.25">
      <c r="C366" s="3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3"/>
    </row>
    <row r="367" spans="1:28" x14ac:dyDescent="0.25">
      <c r="C367" s="3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3"/>
    </row>
    <row r="368" spans="1:28" x14ac:dyDescent="0.25">
      <c r="C368" s="3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3"/>
    </row>
    <row r="369" spans="1:28" x14ac:dyDescent="0.25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3"/>
    </row>
    <row r="370" spans="1:28" x14ac:dyDescent="0.25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3"/>
    </row>
    <row r="371" spans="1:28" x14ac:dyDescent="0.25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3"/>
    </row>
    <row r="372" spans="1:28" x14ac:dyDescent="0.25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3"/>
    </row>
    <row r="373" spans="1:28" x14ac:dyDescent="0.25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3"/>
    </row>
    <row r="374" spans="1:28" x14ac:dyDescent="0.25">
      <c r="C374" s="10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3"/>
    </row>
    <row r="379" spans="1:28" x14ac:dyDescent="0.25">
      <c r="A379" s="14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</row>
    <row r="380" spans="1:28" x14ac:dyDescent="0.25">
      <c r="A380" s="11"/>
      <c r="C380" s="10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3"/>
    </row>
    <row r="381" spans="1:28" x14ac:dyDescent="0.25">
      <c r="C381" s="3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3"/>
    </row>
    <row r="382" spans="1:28" x14ac:dyDescent="0.25">
      <c r="C382" s="3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3"/>
    </row>
    <row r="383" spans="1:28" x14ac:dyDescent="0.25">
      <c r="C383" s="3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3"/>
    </row>
    <row r="384" spans="1:28" x14ac:dyDescent="0.25">
      <c r="C384" s="3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3"/>
    </row>
    <row r="385" spans="1:28" x14ac:dyDescent="0.25">
      <c r="C385" s="3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3"/>
    </row>
    <row r="386" spans="1:28" x14ac:dyDescent="0.25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3"/>
    </row>
    <row r="387" spans="1:28" x14ac:dyDescent="0.25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3"/>
    </row>
    <row r="388" spans="1:28" x14ac:dyDescent="0.25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3"/>
    </row>
    <row r="389" spans="1:28" x14ac:dyDescent="0.25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3"/>
    </row>
    <row r="390" spans="1:28" x14ac:dyDescent="0.25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3"/>
    </row>
    <row r="391" spans="1:28" x14ac:dyDescent="0.25">
      <c r="C391" s="10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3"/>
    </row>
    <row r="395" spans="1:28" x14ac:dyDescent="0.25">
      <c r="A395" s="14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</row>
    <row r="396" spans="1:28" x14ac:dyDescent="0.25">
      <c r="A396" s="11"/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3"/>
    </row>
    <row r="397" spans="1:28" x14ac:dyDescent="0.25">
      <c r="C397" s="3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3"/>
    </row>
    <row r="398" spans="1:28" x14ac:dyDescent="0.25">
      <c r="C398" s="3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3"/>
    </row>
    <row r="399" spans="1:28" x14ac:dyDescent="0.25">
      <c r="C399" s="3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3"/>
    </row>
    <row r="400" spans="1:28" x14ac:dyDescent="0.25">
      <c r="C400" s="3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3"/>
    </row>
    <row r="401" spans="1:28" x14ac:dyDescent="0.25">
      <c r="C401" s="3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3"/>
    </row>
    <row r="402" spans="1:28" x14ac:dyDescent="0.25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3"/>
    </row>
    <row r="403" spans="1:28" x14ac:dyDescent="0.25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3"/>
    </row>
    <row r="404" spans="1:28" x14ac:dyDescent="0.25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3"/>
    </row>
    <row r="405" spans="1:28" x14ac:dyDescent="0.25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3"/>
    </row>
    <row r="406" spans="1:28" x14ac:dyDescent="0.25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3"/>
    </row>
    <row r="407" spans="1:28" x14ac:dyDescent="0.25">
      <c r="C407" s="10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3"/>
    </row>
    <row r="411" spans="1:28" x14ac:dyDescent="0.25">
      <c r="A411" s="14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</row>
    <row r="412" spans="1:28" x14ac:dyDescent="0.25">
      <c r="A412" s="11"/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3"/>
    </row>
    <row r="413" spans="1:28" x14ac:dyDescent="0.25">
      <c r="C413" s="3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3"/>
    </row>
    <row r="414" spans="1:28" x14ac:dyDescent="0.25">
      <c r="C414" s="3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3"/>
    </row>
    <row r="415" spans="1:28" x14ac:dyDescent="0.25">
      <c r="C415" s="3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3"/>
    </row>
    <row r="416" spans="1:28" x14ac:dyDescent="0.25">
      <c r="C416" s="3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3"/>
    </row>
    <row r="417" spans="1:28" x14ac:dyDescent="0.25">
      <c r="C417" s="3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3"/>
    </row>
    <row r="418" spans="1:28" x14ac:dyDescent="0.25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3"/>
    </row>
    <row r="419" spans="1:28" x14ac:dyDescent="0.25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3"/>
    </row>
    <row r="420" spans="1:28" x14ac:dyDescent="0.25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3"/>
    </row>
    <row r="421" spans="1:28" x14ac:dyDescent="0.25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3"/>
    </row>
    <row r="422" spans="1:28" x14ac:dyDescent="0.25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3"/>
    </row>
    <row r="423" spans="1:28" x14ac:dyDescent="0.25">
      <c r="C423" s="10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3"/>
    </row>
    <row r="426" spans="1:28" x14ac:dyDescent="0.25">
      <c r="A426" s="14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</row>
    <row r="427" spans="1:28" x14ac:dyDescent="0.25">
      <c r="A427" s="11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</row>
    <row r="428" spans="1:28" x14ac:dyDescent="0.25"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3"/>
    </row>
    <row r="429" spans="1:28" x14ac:dyDescent="0.25">
      <c r="C429" s="3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3"/>
    </row>
    <row r="430" spans="1:28" x14ac:dyDescent="0.25">
      <c r="C430" s="3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3"/>
    </row>
    <row r="431" spans="1:28" x14ac:dyDescent="0.25">
      <c r="C431" s="3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3"/>
    </row>
    <row r="432" spans="1:28" x14ac:dyDescent="0.25">
      <c r="C432" s="3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3"/>
    </row>
    <row r="433" spans="3:28" x14ac:dyDescent="0.25">
      <c r="C433" s="3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3"/>
    </row>
    <row r="434" spans="3:28" x14ac:dyDescent="0.25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3"/>
    </row>
    <row r="435" spans="3:28" x14ac:dyDescent="0.25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3"/>
    </row>
    <row r="436" spans="3:28" x14ac:dyDescent="0.25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3"/>
    </row>
    <row r="437" spans="3:28" x14ac:dyDescent="0.25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3"/>
    </row>
    <row r="438" spans="3:28" x14ac:dyDescent="0.25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3"/>
    </row>
    <row r="439" spans="3:28" x14ac:dyDescent="0.25">
      <c r="C439" s="10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3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444"/>
  <sheetViews>
    <sheetView tabSelected="1" topLeftCell="A134" zoomScale="90" zoomScaleNormal="90" workbookViewId="0">
      <selection activeCell="K151" sqref="K151"/>
    </sheetView>
  </sheetViews>
  <sheetFormatPr defaultRowHeight="14" x14ac:dyDescent="0.25"/>
  <cols>
    <col min="1" max="1" width="15.08984375" customWidth="1"/>
    <col min="2" max="2" width="15.36328125" customWidth="1"/>
    <col min="3" max="3" width="10.453125" bestFit="1" customWidth="1"/>
    <col min="4" max="4" width="11.90625" customWidth="1"/>
    <col min="5" max="5" width="13.1796875" customWidth="1"/>
    <col min="6" max="6" width="11.36328125" customWidth="1"/>
    <col min="7" max="7" width="10.54296875" customWidth="1"/>
    <col min="8" max="8" width="11.54296875" customWidth="1"/>
    <col min="9" max="9" width="11" customWidth="1"/>
    <col min="10" max="10" width="13.7265625" customWidth="1"/>
    <col min="11" max="11" width="12.6328125" customWidth="1"/>
    <col min="12" max="12" width="11.453125" customWidth="1"/>
    <col min="13" max="13" width="11.90625" customWidth="1"/>
    <col min="14" max="14" width="12" customWidth="1"/>
    <col min="15" max="15" width="11.54296875" customWidth="1"/>
    <col min="16" max="16" width="11.26953125" customWidth="1"/>
    <col min="17" max="17" width="12.36328125" customWidth="1"/>
    <col min="18" max="18" width="12.08984375" customWidth="1"/>
    <col min="19" max="19" width="11.36328125" customWidth="1"/>
    <col min="20" max="20" width="12" customWidth="1"/>
    <col min="21" max="21" width="12.08984375" customWidth="1"/>
    <col min="22" max="22" width="13.08984375" customWidth="1"/>
    <col min="23" max="23" width="12.7265625" customWidth="1"/>
    <col min="24" max="24" width="11.36328125" bestFit="1" customWidth="1"/>
    <col min="25" max="25" width="12.26953125" customWidth="1"/>
    <col min="26" max="26" width="13.453125" customWidth="1"/>
    <col min="27" max="27" width="11.63281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  <col min="50" max="50" width="6.90625" customWidth="1"/>
    <col min="51" max="51" width="10.81640625" customWidth="1"/>
    <col min="52" max="52" width="11.453125" customWidth="1"/>
    <col min="53" max="53" width="11.7265625" customWidth="1"/>
    <col min="54" max="54" width="10.08984375" customWidth="1"/>
    <col min="55" max="55" width="11.08984375" customWidth="1"/>
    <col min="56" max="56" width="9.6328125" customWidth="1"/>
    <col min="57" max="57" width="9.90625" customWidth="1"/>
    <col min="58" max="58" width="9.26953125" bestFit="1" customWidth="1"/>
    <col min="59" max="59" width="9.81640625" customWidth="1"/>
    <col min="60" max="60" width="9.90625" customWidth="1"/>
  </cols>
  <sheetData>
    <row r="1" spans="1:60" x14ac:dyDescent="0.25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t="s">
        <v>8</v>
      </c>
      <c r="M1" t="s">
        <v>9</v>
      </c>
      <c r="N1" t="s">
        <v>10</v>
      </c>
      <c r="O1" t="s">
        <v>130</v>
      </c>
      <c r="P1" t="s">
        <v>131</v>
      </c>
      <c r="AE1" s="2" t="s">
        <v>132</v>
      </c>
      <c r="AX1" t="s">
        <v>260</v>
      </c>
      <c r="AY1" t="s">
        <v>261</v>
      </c>
      <c r="AZ1" t="s">
        <v>262</v>
      </c>
      <c r="BA1" t="s">
        <v>263</v>
      </c>
      <c r="BB1" t="s">
        <v>264</v>
      </c>
      <c r="BC1" t="s">
        <v>265</v>
      </c>
      <c r="BD1" t="s">
        <v>266</v>
      </c>
      <c r="BE1" t="s">
        <v>267</v>
      </c>
      <c r="BF1" t="s">
        <v>268</v>
      </c>
      <c r="BG1" t="s">
        <v>269</v>
      </c>
      <c r="BH1" t="s">
        <v>270</v>
      </c>
    </row>
    <row r="2" spans="1:60" x14ac:dyDescent="0.25">
      <c r="A2" s="1" t="s">
        <v>133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AW2">
        <v>1</v>
      </c>
      <c r="AY2" s="1">
        <v>2.5</v>
      </c>
      <c r="AZ2" s="1">
        <v>3.2</v>
      </c>
      <c r="BA2" s="1">
        <v>2.3999999999999998E-3</v>
      </c>
      <c r="BB2" s="1">
        <v>-1.14E-3</v>
      </c>
      <c r="BC2" s="1">
        <v>1</v>
      </c>
      <c r="BD2" s="1">
        <f>(0.5-BB2/BA2)^BC2</f>
        <v>0.97500000000000009</v>
      </c>
      <c r="BE2" s="1">
        <v>0.2</v>
      </c>
      <c r="BF2" s="1">
        <f>2*(1-2*ABS(BB2)/BA2)</f>
        <v>9.9999999999999867E-2</v>
      </c>
      <c r="BG2" s="1">
        <f>(AZ2-AY2)*BD2+AY2-(AY2+AZ2)*(BE2/2)*BF2</f>
        <v>3.1255000000000002</v>
      </c>
      <c r="BH2" s="1">
        <f>1/BG2</f>
        <v>0.31994880819068949</v>
      </c>
    </row>
    <row r="3" spans="1:60" x14ac:dyDescent="0.25">
      <c r="A3" s="1" t="s">
        <v>219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E3" t="s">
        <v>134</v>
      </c>
      <c r="AF3" t="s">
        <v>135</v>
      </c>
      <c r="AG3" t="s">
        <v>136</v>
      </c>
      <c r="AH3" t="s">
        <v>137</v>
      </c>
      <c r="AI3" t="s">
        <v>138</v>
      </c>
      <c r="AJ3" t="s">
        <v>139</v>
      </c>
      <c r="AK3" t="s">
        <v>140</v>
      </c>
      <c r="AL3" s="3" t="s">
        <v>141</v>
      </c>
      <c r="AM3" t="s">
        <v>142</v>
      </c>
      <c r="AN3" t="s">
        <v>143</v>
      </c>
      <c r="AO3" t="s">
        <v>144</v>
      </c>
      <c r="AP3" t="s">
        <v>145</v>
      </c>
      <c r="AW3">
        <v>2</v>
      </c>
      <c r="AY3" s="1">
        <v>2.5</v>
      </c>
      <c r="AZ3" s="1">
        <v>3.2</v>
      </c>
      <c r="BA3" s="1">
        <v>2.3999999999999998E-3</v>
      </c>
      <c r="BB3" s="1">
        <f>BB2+0.00012</f>
        <v>-1.0199999999999999E-3</v>
      </c>
      <c r="BC3" s="1">
        <v>1</v>
      </c>
      <c r="BD3" s="1">
        <f t="shared" ref="BD3:BD21" si="0">(0.5-BB3/BA3)^BC3</f>
        <v>0.92500000000000004</v>
      </c>
      <c r="BE3" s="1">
        <v>0.2</v>
      </c>
      <c r="BF3" s="1">
        <f t="shared" ref="BF3:BF21" si="1">2*(1-2*ABS(BB3)/BA3)</f>
        <v>0.30000000000000004</v>
      </c>
      <c r="BG3" s="1">
        <f t="shared" ref="BG3:BG21" si="2">(AZ3-AY3)*BD3+AY3-(AY3+AZ3)*(BE3/2)*BF3</f>
        <v>2.9764999999999997</v>
      </c>
      <c r="BH3" s="1">
        <f t="shared" ref="BH3:BH21" si="3">1/BG3</f>
        <v>0.33596505963379814</v>
      </c>
    </row>
    <row r="4" spans="1:60" x14ac:dyDescent="0.25">
      <c r="A4" s="1"/>
      <c r="B4" s="1"/>
      <c r="C4" s="1"/>
      <c r="AE4">
        <v>1</v>
      </c>
      <c r="AF4" s="4">
        <v>0.32511514494716875</v>
      </c>
      <c r="AG4" s="4">
        <v>2.0000000000000001E-4</v>
      </c>
      <c r="AH4" s="5">
        <f>AF4*AG4</f>
        <v>6.5023028989433755E-5</v>
      </c>
      <c r="AI4" s="4">
        <f t="shared" ref="AI4:AI15" si="4">AF4*AG4</f>
        <v>6.5023028989433755E-5</v>
      </c>
      <c r="AJ4" s="5">
        <f>SUM(AI4:AI15)</f>
        <v>1.0808953092279374E-3</v>
      </c>
      <c r="AK4" s="6">
        <f>AH4/AJ4</f>
        <v>6.0156639069771194E-2</v>
      </c>
      <c r="AL4" s="7">
        <f>1-AM4</f>
        <v>0.9398433609302288</v>
      </c>
      <c r="AM4" s="7">
        <f>AH4/AJ4</f>
        <v>6.0156639069771194E-2</v>
      </c>
      <c r="AN4" s="8">
        <v>20</v>
      </c>
      <c r="AO4">
        <v>300</v>
      </c>
      <c r="AP4">
        <f>AN4*AL4+AO4*AM4</f>
        <v>36.843858939535934</v>
      </c>
      <c r="AW4">
        <v>3</v>
      </c>
      <c r="AY4" s="1">
        <v>2.5</v>
      </c>
      <c r="AZ4" s="1">
        <v>3.2</v>
      </c>
      <c r="BA4" s="1">
        <v>2.3999999999999998E-3</v>
      </c>
      <c r="BB4" s="1">
        <f t="shared" ref="BB4:BB21" si="5">BB3+0.00012</f>
        <v>-8.9999999999999987E-4</v>
      </c>
      <c r="BC4" s="1">
        <v>1</v>
      </c>
      <c r="BD4" s="1">
        <f t="shared" si="0"/>
        <v>0.875</v>
      </c>
      <c r="BE4" s="1">
        <v>0.2</v>
      </c>
      <c r="BF4" s="1">
        <f t="shared" si="1"/>
        <v>0.5</v>
      </c>
      <c r="BG4" s="1">
        <f t="shared" si="2"/>
        <v>2.8275000000000001</v>
      </c>
      <c r="BH4" s="1">
        <f t="shared" si="3"/>
        <v>0.35366931918656053</v>
      </c>
    </row>
    <row r="5" spans="1:60" x14ac:dyDescent="0.25">
      <c r="A5" s="1"/>
      <c r="B5" s="1"/>
      <c r="C5" s="1"/>
      <c r="AE5">
        <v>2</v>
      </c>
      <c r="AF5" s="4">
        <v>0.35366931918656053</v>
      </c>
      <c r="AG5" s="4">
        <v>2.0000000000000001E-4</v>
      </c>
      <c r="AH5" s="5">
        <f t="shared" ref="AH5:AH15" si="6">AF5*AG5+AH4</f>
        <v>1.3575689282674586E-4</v>
      </c>
      <c r="AI5" s="4">
        <f t="shared" si="4"/>
        <v>7.0733863837312108E-5</v>
      </c>
      <c r="AJ5" s="5">
        <v>1.0808953092279374E-3</v>
      </c>
      <c r="AK5" s="6">
        <f t="shared" ref="AK5:AK15" si="7">AH5/AJ5</f>
        <v>0.12559670827299119</v>
      </c>
      <c r="AL5" s="7">
        <f t="shared" ref="AL5:AL15" si="8">1-AM5</f>
        <v>0.87440329172700881</v>
      </c>
      <c r="AM5" s="7">
        <f t="shared" ref="AM5:AM15" si="9">AH5/AJ5</f>
        <v>0.12559670827299119</v>
      </c>
      <c r="AN5" s="8">
        <v>20</v>
      </c>
      <c r="AO5">
        <v>300</v>
      </c>
      <c r="AP5">
        <f t="shared" ref="AP5:AP15" si="10">AN5*AL5+AO5*AM5</f>
        <v>55.167078316437539</v>
      </c>
      <c r="AW5">
        <v>4</v>
      </c>
      <c r="AY5" s="1">
        <v>2.5</v>
      </c>
      <c r="AZ5" s="1">
        <v>3.2</v>
      </c>
      <c r="BA5" s="1">
        <v>2.3999999999999998E-3</v>
      </c>
      <c r="BB5" s="1">
        <f t="shared" si="5"/>
        <v>-7.7999999999999988E-4</v>
      </c>
      <c r="BC5" s="1">
        <v>1</v>
      </c>
      <c r="BD5" s="1">
        <f t="shared" si="0"/>
        <v>0.82499999999999996</v>
      </c>
      <c r="BE5" s="1">
        <v>0.2</v>
      </c>
      <c r="BF5" s="1">
        <f t="shared" si="1"/>
        <v>0.70000000000000018</v>
      </c>
      <c r="BG5" s="1">
        <f t="shared" si="2"/>
        <v>2.6785000000000001</v>
      </c>
      <c r="BH5" s="1">
        <f t="shared" si="3"/>
        <v>0.37334328915437742</v>
      </c>
    </row>
    <row r="6" spans="1:60" x14ac:dyDescent="0.25">
      <c r="A6" s="1"/>
      <c r="B6" s="1"/>
      <c r="C6" s="1"/>
      <c r="AE6">
        <v>3</v>
      </c>
      <c r="AF6" s="4">
        <v>0.3877221324717286</v>
      </c>
      <c r="AG6" s="4">
        <v>2.0000000000000001E-4</v>
      </c>
      <c r="AH6" s="5">
        <f t="shared" si="6"/>
        <v>2.1330131932109159E-4</v>
      </c>
      <c r="AI6" s="4">
        <f t="shared" si="4"/>
        <v>7.7544426494345728E-5</v>
      </c>
      <c r="AJ6" s="5">
        <v>1.0808953092279374E-3</v>
      </c>
      <c r="AK6" s="6">
        <f t="shared" si="7"/>
        <v>0.19733763066605275</v>
      </c>
      <c r="AL6" s="7">
        <f t="shared" si="8"/>
        <v>0.80266236933394719</v>
      </c>
      <c r="AM6" s="7">
        <f t="shared" si="9"/>
        <v>0.19733763066605275</v>
      </c>
      <c r="AN6" s="8">
        <v>20</v>
      </c>
      <c r="AO6">
        <v>300</v>
      </c>
      <c r="AP6">
        <f t="shared" si="10"/>
        <v>75.254536586494766</v>
      </c>
      <c r="AW6">
        <v>5</v>
      </c>
      <c r="AY6" s="1">
        <v>2.5</v>
      </c>
      <c r="AZ6" s="1">
        <v>3.2</v>
      </c>
      <c r="BA6" s="1">
        <v>2.3999999999999998E-3</v>
      </c>
      <c r="BB6" s="1">
        <f t="shared" si="5"/>
        <v>-6.5999999999999989E-4</v>
      </c>
      <c r="BC6" s="1">
        <v>1</v>
      </c>
      <c r="BD6" s="1">
        <f t="shared" si="0"/>
        <v>0.77499999999999991</v>
      </c>
      <c r="BE6" s="1">
        <v>0.2</v>
      </c>
      <c r="BF6" s="1">
        <f t="shared" si="1"/>
        <v>0.90000000000000013</v>
      </c>
      <c r="BG6" s="1">
        <f t="shared" si="2"/>
        <v>2.5294999999999996</v>
      </c>
      <c r="BH6" s="1">
        <f t="shared" si="3"/>
        <v>0.39533504645186801</v>
      </c>
    </row>
    <row r="7" spans="1:60" x14ac:dyDescent="0.25">
      <c r="B7" s="9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146</v>
      </c>
      <c r="H7" s="9" t="s">
        <v>33</v>
      </c>
      <c r="I7" s="9" t="s">
        <v>34</v>
      </c>
      <c r="J7" s="9" t="s">
        <v>35</v>
      </c>
      <c r="K7" s="9" t="s">
        <v>36</v>
      </c>
      <c r="L7" s="9" t="s">
        <v>37</v>
      </c>
      <c r="M7" s="9" t="s">
        <v>38</v>
      </c>
      <c r="N7" s="9" t="s">
        <v>39</v>
      </c>
      <c r="O7" s="9" t="s">
        <v>40</v>
      </c>
      <c r="P7" s="9" t="s">
        <v>41</v>
      </c>
      <c r="Q7" s="9" t="s">
        <v>42</v>
      </c>
      <c r="R7" s="9" t="s">
        <v>43</v>
      </c>
      <c r="S7" s="9" t="s">
        <v>147</v>
      </c>
      <c r="T7" s="9" t="s">
        <v>148</v>
      </c>
      <c r="U7" s="9" t="s">
        <v>149</v>
      </c>
      <c r="V7" s="9" t="s">
        <v>150</v>
      </c>
      <c r="W7" s="9" t="s">
        <v>151</v>
      </c>
      <c r="X7" s="9" t="s">
        <v>49</v>
      </c>
      <c r="Y7" s="9" t="s">
        <v>50</v>
      </c>
      <c r="Z7" s="9" t="s">
        <v>51</v>
      </c>
      <c r="AA7" s="9" t="s">
        <v>52</v>
      </c>
      <c r="AE7">
        <v>4</v>
      </c>
      <c r="AF7" s="4">
        <v>0.42903110475509471</v>
      </c>
      <c r="AG7" s="4">
        <v>2.0000000000000001E-4</v>
      </c>
      <c r="AH7" s="5">
        <f t="shared" si="6"/>
        <v>2.9910754027211053E-4</v>
      </c>
      <c r="AI7" s="4">
        <f t="shared" si="4"/>
        <v>8.580622095101894E-5</v>
      </c>
      <c r="AJ7" s="5">
        <v>1.0808953092279374E-3</v>
      </c>
      <c r="AK7" s="6">
        <f t="shared" si="7"/>
        <v>0.27672202637807469</v>
      </c>
      <c r="AL7" s="7">
        <f t="shared" si="8"/>
        <v>0.72327797362192525</v>
      </c>
      <c r="AM7" s="7">
        <f t="shared" si="9"/>
        <v>0.27672202637807469</v>
      </c>
      <c r="AN7" s="8">
        <v>20</v>
      </c>
      <c r="AO7">
        <v>300</v>
      </c>
      <c r="AP7">
        <f t="shared" si="10"/>
        <v>97.482167385860905</v>
      </c>
      <c r="AW7">
        <v>6</v>
      </c>
      <c r="AY7" s="1">
        <v>2.5</v>
      </c>
      <c r="AZ7" s="1">
        <v>3.2</v>
      </c>
      <c r="BA7" s="1">
        <v>2.3999999999999998E-3</v>
      </c>
      <c r="BB7" s="1">
        <f t="shared" si="5"/>
        <v>-5.399999999999999E-4</v>
      </c>
      <c r="BC7" s="1">
        <v>1</v>
      </c>
      <c r="BD7" s="1">
        <f t="shared" si="0"/>
        <v>0.72499999999999998</v>
      </c>
      <c r="BE7" s="1">
        <v>0.2</v>
      </c>
      <c r="BF7" s="1">
        <f t="shared" si="1"/>
        <v>1.1000000000000001</v>
      </c>
      <c r="BG7" s="1">
        <f t="shared" si="2"/>
        <v>2.3805000000000001</v>
      </c>
      <c r="BH7" s="1">
        <f t="shared" si="3"/>
        <v>0.4200798151648813</v>
      </c>
    </row>
    <row r="8" spans="1:60" x14ac:dyDescent="0.25">
      <c r="A8" t="s">
        <v>222</v>
      </c>
      <c r="B8" s="10">
        <v>1</v>
      </c>
      <c r="C8" s="4">
        <v>113409591027.53163</v>
      </c>
      <c r="D8" s="4">
        <v>113409591027.53163</v>
      </c>
      <c r="E8" s="4">
        <v>0.29837671781312752</v>
      </c>
      <c r="F8" s="4">
        <v>0</v>
      </c>
      <c r="G8" s="4">
        <v>43316666666.666672</v>
      </c>
      <c r="H8" s="4">
        <v>49895000000</v>
      </c>
      <c r="I8" s="4">
        <v>49895000000</v>
      </c>
      <c r="J8" s="4">
        <v>-7.5180727677152841E-11</v>
      </c>
      <c r="K8" s="4">
        <v>-7.5180727677152841E-11</v>
      </c>
      <c r="L8" s="4">
        <v>0</v>
      </c>
      <c r="M8" s="4">
        <v>2.0000000000000001E-4</v>
      </c>
      <c r="N8" s="4">
        <v>3.4610389610389416</v>
      </c>
      <c r="O8" s="4">
        <v>3.4610389610389416</v>
      </c>
      <c r="P8" s="4">
        <v>1.3878306481481484E-8</v>
      </c>
      <c r="Q8" s="4">
        <v>0</v>
      </c>
      <c r="R8" s="4">
        <v>1.3341666666666644E-5</v>
      </c>
      <c r="S8" s="4">
        <v>1.5034166666666667E-5</v>
      </c>
      <c r="T8" s="4">
        <v>1.5034166666666667E-5</v>
      </c>
      <c r="U8" s="4">
        <v>4.0024444444444442E-4</v>
      </c>
      <c r="V8" s="4">
        <v>4.0024444444444442E-4</v>
      </c>
      <c r="W8" s="4">
        <v>3.0758333333333336</v>
      </c>
      <c r="X8" s="4">
        <v>5594.166666666667</v>
      </c>
      <c r="Y8" s="4">
        <v>-1.1999999999999999E-3</v>
      </c>
      <c r="Z8" s="4">
        <v>-1E-3</v>
      </c>
      <c r="AA8" s="3">
        <v>2</v>
      </c>
      <c r="AE8">
        <v>5</v>
      </c>
      <c r="AF8" s="4">
        <v>0.48019207683073228</v>
      </c>
      <c r="AG8" s="4">
        <v>2.0000000000000001E-4</v>
      </c>
      <c r="AH8" s="5">
        <f t="shared" si="6"/>
        <v>3.9514595563825696E-4</v>
      </c>
      <c r="AI8" s="4">
        <f t="shared" si="4"/>
        <v>9.6038415366146457E-5</v>
      </c>
      <c r="AJ8" s="5">
        <v>1.0808953092279374E-3</v>
      </c>
      <c r="AK8" s="6">
        <f t="shared" si="7"/>
        <v>0.3655728286215823</v>
      </c>
      <c r="AL8" s="7">
        <f t="shared" si="8"/>
        <v>0.63442717137841775</v>
      </c>
      <c r="AM8" s="7">
        <f t="shared" si="9"/>
        <v>0.3655728286215823</v>
      </c>
      <c r="AN8" s="8">
        <v>20</v>
      </c>
      <c r="AO8">
        <v>300</v>
      </c>
      <c r="AP8">
        <f t="shared" si="10"/>
        <v>122.36039201404304</v>
      </c>
      <c r="AW8">
        <v>7</v>
      </c>
      <c r="AY8" s="1">
        <v>2.5</v>
      </c>
      <c r="AZ8" s="1">
        <v>3.2</v>
      </c>
      <c r="BA8" s="1">
        <v>2.3999999999999998E-3</v>
      </c>
      <c r="BB8" s="1">
        <f t="shared" si="5"/>
        <v>-4.1999999999999991E-4</v>
      </c>
      <c r="BC8" s="1">
        <v>1</v>
      </c>
      <c r="BD8" s="1">
        <f t="shared" si="0"/>
        <v>0.67500000000000004</v>
      </c>
      <c r="BE8" s="1">
        <v>0.2</v>
      </c>
      <c r="BF8" s="1">
        <f t="shared" si="1"/>
        <v>1.3</v>
      </c>
      <c r="BG8" s="1">
        <f t="shared" si="2"/>
        <v>2.2315</v>
      </c>
      <c r="BH8" s="1">
        <f t="shared" si="3"/>
        <v>0.44812906116961682</v>
      </c>
    </row>
    <row r="9" spans="1:60" x14ac:dyDescent="0.25">
      <c r="B9" s="3">
        <v>2</v>
      </c>
      <c r="C9" s="4">
        <v>107566143324.80942</v>
      </c>
      <c r="D9" s="4">
        <v>107566143324.80942</v>
      </c>
      <c r="E9" s="4">
        <v>0.28094330222830993</v>
      </c>
      <c r="F9" s="4">
        <v>0</v>
      </c>
      <c r="G9" s="4">
        <v>40950000000</v>
      </c>
      <c r="H9" s="4">
        <v>46485000000</v>
      </c>
      <c r="I9" s="4">
        <v>46485000000</v>
      </c>
      <c r="J9" s="4">
        <v>-6.5866301239275477E-11</v>
      </c>
      <c r="K9" s="4">
        <v>-6.5866301239275477E-11</v>
      </c>
      <c r="L9" s="4">
        <v>0</v>
      </c>
      <c r="M9" s="4">
        <v>2.0000000000000001E-4</v>
      </c>
      <c r="N9" s="4">
        <v>10.38311688311688</v>
      </c>
      <c r="O9" s="4">
        <v>10.38311688311688</v>
      </c>
      <c r="P9" s="4">
        <v>1.2163808333333335E-8</v>
      </c>
      <c r="Q9" s="4">
        <v>0</v>
      </c>
      <c r="R9" s="4">
        <v>2.0024999999999999E-5</v>
      </c>
      <c r="S9" s="4">
        <v>1.3702499999999998E-5</v>
      </c>
      <c r="T9" s="4">
        <v>1.3702499999999998E-5</v>
      </c>
      <c r="U9" s="4">
        <v>4.0024444444444442E-4</v>
      </c>
      <c r="V9" s="4">
        <v>4.0024444444444442E-4</v>
      </c>
      <c r="W9" s="4">
        <v>2.8275000000000001</v>
      </c>
      <c r="X9" s="4">
        <v>5182.5</v>
      </c>
      <c r="Y9" s="4">
        <f t="shared" ref="Y9:Z19" si="11">Y8+0.0002</f>
        <v>-9.999999999999998E-4</v>
      </c>
      <c r="Z9" s="4">
        <f t="shared" si="11"/>
        <v>-8.0000000000000004E-4</v>
      </c>
      <c r="AA9" s="3">
        <v>2</v>
      </c>
      <c r="AE9">
        <v>6</v>
      </c>
      <c r="AF9" s="4">
        <v>0.54520672421626537</v>
      </c>
      <c r="AG9" s="4">
        <v>2.0000000000000001E-4</v>
      </c>
      <c r="AH9" s="5">
        <f t="shared" si="6"/>
        <v>5.0418730048151002E-4</v>
      </c>
      <c r="AI9" s="4">
        <f t="shared" si="4"/>
        <v>1.0904134484325308E-4</v>
      </c>
      <c r="AJ9" s="5">
        <v>1.0808953092279374E-3</v>
      </c>
      <c r="AK9" s="6">
        <f t="shared" si="7"/>
        <v>0.46645340781582373</v>
      </c>
      <c r="AL9" s="7">
        <f t="shared" si="8"/>
        <v>0.53354659218417622</v>
      </c>
      <c r="AM9" s="7">
        <f t="shared" si="9"/>
        <v>0.46645340781582373</v>
      </c>
      <c r="AN9" s="8">
        <v>20</v>
      </c>
      <c r="AO9">
        <v>300</v>
      </c>
      <c r="AP9">
        <f t="shared" si="10"/>
        <v>150.60695418843065</v>
      </c>
      <c r="AW9">
        <v>8</v>
      </c>
      <c r="AY9" s="1">
        <v>2.5</v>
      </c>
      <c r="AZ9" s="1">
        <v>3.2</v>
      </c>
      <c r="BA9" s="1">
        <v>2.3999999999999998E-3</v>
      </c>
      <c r="BB9" s="1">
        <f t="shared" si="5"/>
        <v>-2.9999999999999992E-4</v>
      </c>
      <c r="BC9" s="1">
        <v>1</v>
      </c>
      <c r="BD9" s="1">
        <f t="shared" si="0"/>
        <v>0.625</v>
      </c>
      <c r="BE9" s="1">
        <v>0.2</v>
      </c>
      <c r="BF9" s="1">
        <f t="shared" si="1"/>
        <v>1.5</v>
      </c>
      <c r="BG9" s="1">
        <f t="shared" si="2"/>
        <v>2.0825</v>
      </c>
      <c r="BH9" s="1">
        <f t="shared" si="3"/>
        <v>0.48019207683073228</v>
      </c>
    </row>
    <row r="10" spans="1:60" x14ac:dyDescent="0.25">
      <c r="B10" s="3">
        <v>3</v>
      </c>
      <c r="C10" s="4">
        <v>101722695622.08719</v>
      </c>
      <c r="D10" s="4">
        <v>101722695622.08719</v>
      </c>
      <c r="E10" s="4">
        <v>0.26350988664349229</v>
      </c>
      <c r="F10" s="4">
        <v>0</v>
      </c>
      <c r="G10" s="4">
        <v>38583333333.333336</v>
      </c>
      <c r="H10" s="4">
        <v>43075000000</v>
      </c>
      <c r="I10" s="4">
        <v>43075000000</v>
      </c>
      <c r="J10" s="4">
        <v>-5.6551874801398153E-11</v>
      </c>
      <c r="K10" s="4">
        <v>-5.6551874801398153E-11</v>
      </c>
      <c r="L10" s="4">
        <v>0</v>
      </c>
      <c r="M10" s="4">
        <v>2.0000000000000001E-4</v>
      </c>
      <c r="N10" s="4">
        <v>17.305194805194795</v>
      </c>
      <c r="O10" s="4">
        <v>17.305194805194795</v>
      </c>
      <c r="P10" s="4">
        <v>1.0449310185185186E-8</v>
      </c>
      <c r="Q10" s="4">
        <v>0</v>
      </c>
      <c r="R10" s="4">
        <v>2.670833333333332E-5</v>
      </c>
      <c r="S10" s="4">
        <v>1.2370833333333334E-5</v>
      </c>
      <c r="T10" s="4">
        <v>1.2370833333333334E-5</v>
      </c>
      <c r="U10" s="4">
        <v>4.0024444444444399E-4</v>
      </c>
      <c r="V10" s="4">
        <v>4.0024444444444399E-4</v>
      </c>
      <c r="W10" s="4">
        <v>2.5791666666666666</v>
      </c>
      <c r="X10" s="4">
        <v>4770.833333333333</v>
      </c>
      <c r="Y10" s="4">
        <f t="shared" si="11"/>
        <v>-7.9999999999999982E-4</v>
      </c>
      <c r="Z10" s="4">
        <f t="shared" si="11"/>
        <v>-6.0000000000000006E-4</v>
      </c>
      <c r="AA10" s="3">
        <v>2</v>
      </c>
      <c r="AE10">
        <v>7</v>
      </c>
      <c r="AF10" s="4">
        <v>0.5631159080244017</v>
      </c>
      <c r="AG10" s="4">
        <v>2.0000000000000001E-4</v>
      </c>
      <c r="AH10" s="5">
        <f t="shared" si="6"/>
        <v>6.1681048208639031E-4</v>
      </c>
      <c r="AI10" s="4">
        <f t="shared" si="4"/>
        <v>1.1262318160488034E-4</v>
      </c>
      <c r="AJ10" s="5">
        <v>1.0808953092279374E-3</v>
      </c>
      <c r="AK10" s="6">
        <f t="shared" si="7"/>
        <v>0.5706477554491064</v>
      </c>
      <c r="AL10" s="7">
        <f t="shared" si="8"/>
        <v>0.4293522445508936</v>
      </c>
      <c r="AM10" s="7">
        <f t="shared" si="9"/>
        <v>0.5706477554491064</v>
      </c>
      <c r="AN10" s="8">
        <v>20</v>
      </c>
      <c r="AO10">
        <v>300</v>
      </c>
      <c r="AP10">
        <f t="shared" si="10"/>
        <v>179.78137152574979</v>
      </c>
      <c r="AW10">
        <v>9</v>
      </c>
      <c r="AY10" s="1">
        <v>2.5</v>
      </c>
      <c r="AZ10" s="1">
        <v>3.2</v>
      </c>
      <c r="BA10" s="1">
        <v>2.3999999999999998E-3</v>
      </c>
      <c r="BB10" s="1">
        <f t="shared" si="5"/>
        <v>-1.7999999999999993E-4</v>
      </c>
      <c r="BC10" s="1">
        <v>1</v>
      </c>
      <c r="BD10" s="1">
        <f t="shared" si="0"/>
        <v>0.57499999999999996</v>
      </c>
      <c r="BE10" s="1">
        <v>0.2</v>
      </c>
      <c r="BF10" s="1">
        <f t="shared" si="1"/>
        <v>1.7000000000000002</v>
      </c>
      <c r="BG10" s="1">
        <f t="shared" si="2"/>
        <v>1.9334999999999996</v>
      </c>
      <c r="BH10" s="1">
        <f t="shared" si="3"/>
        <v>0.51719679337988111</v>
      </c>
    </row>
    <row r="11" spans="1:60" x14ac:dyDescent="0.25">
      <c r="B11" s="3">
        <v>4</v>
      </c>
      <c r="C11" s="4">
        <v>95879247919.36496</v>
      </c>
      <c r="D11" s="4">
        <v>95879247919.36496</v>
      </c>
      <c r="E11" s="4">
        <v>0.24607647105867475</v>
      </c>
      <c r="F11" s="4">
        <v>0</v>
      </c>
      <c r="G11" s="4">
        <v>36216666666.666672</v>
      </c>
      <c r="H11" s="4">
        <v>39665000000</v>
      </c>
      <c r="I11" s="4">
        <v>39665000000</v>
      </c>
      <c r="J11" s="4">
        <v>-4.7237448363520802E-11</v>
      </c>
      <c r="K11" s="4">
        <v>-4.7237448363520802E-11</v>
      </c>
      <c r="L11" s="4">
        <v>0</v>
      </c>
      <c r="M11" s="4">
        <v>2.0000000000000001E-4</v>
      </c>
      <c r="N11" s="4">
        <v>24.227272727272712</v>
      </c>
      <c r="O11" s="4">
        <v>24.227272727272712</v>
      </c>
      <c r="P11" s="4">
        <v>8.7348120370370382E-9</v>
      </c>
      <c r="Q11" s="4">
        <v>0</v>
      </c>
      <c r="R11" s="4">
        <v>3.3391666666666667E-5</v>
      </c>
      <c r="S11" s="4">
        <v>1.1039166666666666E-5</v>
      </c>
      <c r="T11" s="4">
        <v>1.1039166666666666E-5</v>
      </c>
      <c r="U11" s="4">
        <v>4.0024444444444399E-4</v>
      </c>
      <c r="V11" s="4">
        <v>4.0024444444444399E-4</v>
      </c>
      <c r="W11" s="4">
        <v>2.3308333333333335</v>
      </c>
      <c r="X11" s="4">
        <v>4359.166666666667</v>
      </c>
      <c r="Y11" s="4">
        <f t="shared" si="11"/>
        <v>-5.9999999999999984E-4</v>
      </c>
      <c r="Z11" s="4">
        <f t="shared" si="11"/>
        <v>-4.0000000000000007E-4</v>
      </c>
      <c r="AA11" s="3">
        <v>2</v>
      </c>
      <c r="AE11">
        <v>8</v>
      </c>
      <c r="AF11" s="4">
        <v>0.52424639580602883</v>
      </c>
      <c r="AG11" s="4">
        <v>2.0000000000000001E-4</v>
      </c>
      <c r="AH11" s="5">
        <f t="shared" si="6"/>
        <v>7.2165976124759614E-4</v>
      </c>
      <c r="AI11" s="4">
        <f t="shared" si="4"/>
        <v>1.0484927916120577E-4</v>
      </c>
      <c r="AJ11" s="5">
        <v>1.0808953092279374E-3</v>
      </c>
      <c r="AK11" s="6">
        <f t="shared" si="7"/>
        <v>0.66765000743972491</v>
      </c>
      <c r="AL11" s="7">
        <f t="shared" si="8"/>
        <v>0.33234999256027509</v>
      </c>
      <c r="AM11" s="7">
        <f t="shared" si="9"/>
        <v>0.66765000743972491</v>
      </c>
      <c r="AN11" s="8">
        <v>20</v>
      </c>
      <c r="AO11">
        <v>300</v>
      </c>
      <c r="AP11">
        <f t="shared" si="10"/>
        <v>206.94200208312296</v>
      </c>
      <c r="AW11">
        <v>10</v>
      </c>
      <c r="AY11" s="1">
        <v>2.5</v>
      </c>
      <c r="AZ11" s="1">
        <v>3.2</v>
      </c>
      <c r="BA11" s="1">
        <v>2.3999999999999998E-3</v>
      </c>
      <c r="BB11" s="1">
        <f t="shared" si="5"/>
        <v>-5.9999999999999927E-5</v>
      </c>
      <c r="BC11" s="1">
        <v>1</v>
      </c>
      <c r="BD11" s="1">
        <f t="shared" si="0"/>
        <v>0.52500000000000002</v>
      </c>
      <c r="BE11" s="1">
        <v>0.2</v>
      </c>
      <c r="BF11" s="1">
        <f t="shared" si="1"/>
        <v>1.9000000000000001</v>
      </c>
      <c r="BG11" s="1">
        <f t="shared" si="2"/>
        <v>1.7845</v>
      </c>
      <c r="BH11" s="1">
        <f t="shared" si="3"/>
        <v>0.56038105912020175</v>
      </c>
    </row>
    <row r="12" spans="1:60" x14ac:dyDescent="0.25">
      <c r="B12" s="3">
        <v>5</v>
      </c>
      <c r="C12" s="4">
        <v>90035800216.642746</v>
      </c>
      <c r="D12" s="4">
        <v>90035800216.642746</v>
      </c>
      <c r="E12" s="4">
        <v>0.22864305547385708</v>
      </c>
      <c r="F12" s="4">
        <v>0</v>
      </c>
      <c r="G12" s="4">
        <v>33850000000</v>
      </c>
      <c r="H12" s="4">
        <v>36255000000</v>
      </c>
      <c r="I12" s="4">
        <v>36255000000</v>
      </c>
      <c r="J12" s="4">
        <v>-3.7923021925643465E-11</v>
      </c>
      <c r="K12" s="4">
        <v>-3.7923021925643465E-11</v>
      </c>
      <c r="L12" s="4">
        <v>0</v>
      </c>
      <c r="M12" s="4">
        <v>2.0000000000000001E-4</v>
      </c>
      <c r="N12" s="4">
        <v>31.149350649350641</v>
      </c>
      <c r="O12" s="4">
        <v>31.149350649350641</v>
      </c>
      <c r="P12" s="4">
        <v>7.0203138888888883E-9</v>
      </c>
      <c r="Q12" s="4">
        <v>0</v>
      </c>
      <c r="R12" s="4">
        <v>4.0074999999999998E-5</v>
      </c>
      <c r="S12" s="4">
        <v>9.7074999999999981E-6</v>
      </c>
      <c r="T12" s="4">
        <v>9.7074999999999981E-6</v>
      </c>
      <c r="U12" s="4">
        <v>4.0024444444444399E-4</v>
      </c>
      <c r="V12" s="4">
        <v>4.0024444444444399E-4</v>
      </c>
      <c r="W12" s="4">
        <v>2.0825</v>
      </c>
      <c r="X12" s="4">
        <v>3947.5</v>
      </c>
      <c r="Y12" s="4">
        <f t="shared" si="11"/>
        <v>-3.9999999999999986E-4</v>
      </c>
      <c r="Z12" s="4">
        <f t="shared" si="11"/>
        <v>-2.0000000000000006E-4</v>
      </c>
      <c r="AA12" s="3">
        <v>2</v>
      </c>
      <c r="AE12">
        <v>9</v>
      </c>
      <c r="AF12" s="4">
        <v>0.49039640375970578</v>
      </c>
      <c r="AG12" s="4">
        <v>2.0000000000000001E-4</v>
      </c>
      <c r="AH12" s="5">
        <f t="shared" si="6"/>
        <v>8.197390419995373E-4</v>
      </c>
      <c r="AI12" s="4">
        <f t="shared" si="4"/>
        <v>9.8079280751941166E-5</v>
      </c>
      <c r="AJ12" s="5">
        <v>1.0808953092279374E-3</v>
      </c>
      <c r="AK12" s="6">
        <f t="shared" si="7"/>
        <v>0.75838893461852563</v>
      </c>
      <c r="AL12" s="7">
        <f t="shared" si="8"/>
        <v>0.24161106538147437</v>
      </c>
      <c r="AM12" s="7">
        <f t="shared" si="9"/>
        <v>0.75838893461852563</v>
      </c>
      <c r="AN12" s="8">
        <v>20</v>
      </c>
      <c r="AO12">
        <v>300</v>
      </c>
      <c r="AP12">
        <f t="shared" si="10"/>
        <v>232.34890169318717</v>
      </c>
      <c r="AW12">
        <v>11</v>
      </c>
      <c r="AY12" s="1">
        <v>2.5</v>
      </c>
      <c r="AZ12" s="1">
        <v>3.2</v>
      </c>
      <c r="BA12" s="1">
        <v>2.3999999999999998E-3</v>
      </c>
      <c r="BB12" s="1">
        <f t="shared" si="5"/>
        <v>6.0000000000000076E-5</v>
      </c>
      <c r="BC12" s="1">
        <v>1</v>
      </c>
      <c r="BD12" s="1">
        <f t="shared" si="0"/>
        <v>0.47499999999999998</v>
      </c>
      <c r="BE12" s="1">
        <v>0.2</v>
      </c>
      <c r="BF12" s="1">
        <f t="shared" si="1"/>
        <v>1.9</v>
      </c>
      <c r="BG12" s="1">
        <f t="shared" si="2"/>
        <v>1.7495000000000001</v>
      </c>
      <c r="BH12" s="1">
        <f t="shared" si="3"/>
        <v>0.5715918833952558</v>
      </c>
    </row>
    <row r="13" spans="1:60" x14ac:dyDescent="0.25">
      <c r="B13" s="3">
        <v>6</v>
      </c>
      <c r="C13" s="4">
        <v>84192352513.920532</v>
      </c>
      <c r="D13" s="4">
        <v>84192352513.920532</v>
      </c>
      <c r="E13" s="4">
        <v>0.21120963988903951</v>
      </c>
      <c r="F13" s="4">
        <v>0</v>
      </c>
      <c r="G13" s="4">
        <v>31483333333.333336</v>
      </c>
      <c r="H13" s="4">
        <v>32845000000</v>
      </c>
      <c r="I13" s="4">
        <v>32845000000</v>
      </c>
      <c r="J13" s="4">
        <v>-2.8608595487766114E-11</v>
      </c>
      <c r="K13" s="4">
        <v>-2.8608595487766114E-11</v>
      </c>
      <c r="L13" s="4">
        <v>0</v>
      </c>
      <c r="M13" s="4">
        <v>2.0000000000000001E-4</v>
      </c>
      <c r="N13" s="4">
        <v>38.071428571428569</v>
      </c>
      <c r="O13" s="4">
        <v>38.071428571428569</v>
      </c>
      <c r="P13" s="4">
        <v>5.3058157407407417E-9</v>
      </c>
      <c r="Q13" s="4">
        <v>0</v>
      </c>
      <c r="R13" s="4">
        <v>4.6758333333333336E-5</v>
      </c>
      <c r="S13" s="4">
        <v>8.3758333333333321E-6</v>
      </c>
      <c r="T13" s="4">
        <v>8.3758333333333321E-6</v>
      </c>
      <c r="U13" s="4">
        <v>4.0024444444444399E-4</v>
      </c>
      <c r="V13" s="4">
        <v>4.0024444444444399E-4</v>
      </c>
      <c r="W13" s="4">
        <v>1.8341666666666667</v>
      </c>
      <c r="X13" s="4">
        <v>3535.833333333333</v>
      </c>
      <c r="Y13" s="4">
        <f t="shared" si="11"/>
        <v>-1.9999999999999985E-4</v>
      </c>
      <c r="Z13" s="4">
        <f t="shared" si="11"/>
        <v>0</v>
      </c>
      <c r="AA13" s="3">
        <v>2</v>
      </c>
      <c r="AE13">
        <v>10</v>
      </c>
      <c r="AF13" s="4">
        <v>0.4606525911708253</v>
      </c>
      <c r="AG13" s="4">
        <v>2.0000000000000001E-4</v>
      </c>
      <c r="AH13" s="5">
        <f t="shared" si="6"/>
        <v>9.1186956023370236E-4</v>
      </c>
      <c r="AI13" s="4">
        <f t="shared" si="4"/>
        <v>9.2130518234165068E-5</v>
      </c>
      <c r="AJ13" s="5">
        <v>1.0808953092279374E-3</v>
      </c>
      <c r="AK13" s="6">
        <f t="shared" si="7"/>
        <v>0.84362431074387134</v>
      </c>
      <c r="AL13" s="7">
        <f t="shared" si="8"/>
        <v>0.15637568925612866</v>
      </c>
      <c r="AM13" s="7">
        <f t="shared" si="9"/>
        <v>0.84362431074387134</v>
      </c>
      <c r="AN13" s="8">
        <v>20</v>
      </c>
      <c r="AO13">
        <v>300</v>
      </c>
      <c r="AP13">
        <f t="shared" si="10"/>
        <v>256.21480700828397</v>
      </c>
      <c r="AW13">
        <v>12</v>
      </c>
      <c r="AY13" s="1">
        <v>2.5</v>
      </c>
      <c r="AZ13" s="1">
        <v>3.2</v>
      </c>
      <c r="BA13" s="1">
        <v>2.3999999999999998E-3</v>
      </c>
      <c r="BB13" s="1">
        <f t="shared" si="5"/>
        <v>1.8000000000000009E-4</v>
      </c>
      <c r="BC13" s="1">
        <v>1</v>
      </c>
      <c r="BD13" s="1">
        <f t="shared" si="0"/>
        <v>0.42499999999999993</v>
      </c>
      <c r="BE13" s="1">
        <v>0.2</v>
      </c>
      <c r="BF13" s="1">
        <f t="shared" si="1"/>
        <v>1.6999999999999997</v>
      </c>
      <c r="BG13" s="1">
        <f t="shared" si="2"/>
        <v>1.8285</v>
      </c>
      <c r="BH13" s="1">
        <f t="shared" si="3"/>
        <v>0.5468963631391851</v>
      </c>
    </row>
    <row r="14" spans="1:60" x14ac:dyDescent="0.25">
      <c r="B14" s="3">
        <v>7</v>
      </c>
      <c r="C14" s="4">
        <v>87378974662.593781</v>
      </c>
      <c r="D14" s="4">
        <v>87378974662.593781</v>
      </c>
      <c r="E14" s="4">
        <v>0.21627543898162527</v>
      </c>
      <c r="F14" s="4">
        <v>0</v>
      </c>
      <c r="G14" s="4">
        <v>32483333333.333336</v>
      </c>
      <c r="H14" s="4">
        <v>32895000000</v>
      </c>
      <c r="I14" s="4">
        <v>32895000000</v>
      </c>
      <c r="J14" s="4">
        <v>-2.1955433746425161E-11</v>
      </c>
      <c r="K14" s="4">
        <v>-2.1955433746425161E-11</v>
      </c>
      <c r="L14" s="4">
        <v>0</v>
      </c>
      <c r="M14" s="4">
        <v>2.0000000000000001E-4</v>
      </c>
      <c r="N14" s="4">
        <v>49.608225108225099</v>
      </c>
      <c r="O14" s="4">
        <v>49.608225108225099</v>
      </c>
      <c r="P14" s="4">
        <v>4.0856027777777781E-9</v>
      </c>
      <c r="Q14" s="4">
        <v>0</v>
      </c>
      <c r="R14" s="4">
        <v>5.9008333333333336E-5</v>
      </c>
      <c r="S14" s="4">
        <v>7.9008333333333324E-6</v>
      </c>
      <c r="T14" s="4">
        <v>7.9008333333333324E-6</v>
      </c>
      <c r="U14" s="4">
        <v>4.0024444444444399E-4</v>
      </c>
      <c r="V14" s="4">
        <v>4.0024444444444399E-4</v>
      </c>
      <c r="W14" s="4">
        <v>1.7758333333333332</v>
      </c>
      <c r="X14" s="4">
        <v>3494.166666666667</v>
      </c>
      <c r="Y14" s="4">
        <f t="shared" si="11"/>
        <v>0</v>
      </c>
      <c r="Z14" s="4">
        <f t="shared" si="11"/>
        <v>2.0000000000000001E-4</v>
      </c>
      <c r="AA14" s="3">
        <v>2</v>
      </c>
      <c r="AE14">
        <v>11</v>
      </c>
      <c r="AF14">
        <v>0.43431053203040176</v>
      </c>
      <c r="AG14">
        <v>2.0000000000000001E-4</v>
      </c>
      <c r="AH14" s="5">
        <f t="shared" si="6"/>
        <v>9.9873166663978275E-4</v>
      </c>
      <c r="AI14" s="4">
        <f t="shared" si="4"/>
        <v>8.6862106406080354E-5</v>
      </c>
      <c r="AJ14" s="5">
        <v>1.0808953092279374E-3</v>
      </c>
      <c r="AK14" s="6">
        <f t="shared" si="7"/>
        <v>0.92398556836476364</v>
      </c>
      <c r="AL14" s="7">
        <f t="shared" si="8"/>
        <v>7.6014431635236357E-2</v>
      </c>
      <c r="AM14" s="7">
        <f t="shared" si="9"/>
        <v>0.92398556836476364</v>
      </c>
      <c r="AN14" s="8">
        <v>20</v>
      </c>
      <c r="AO14">
        <v>300</v>
      </c>
      <c r="AP14">
        <f t="shared" si="10"/>
        <v>278.71595914213378</v>
      </c>
      <c r="AW14">
        <v>13</v>
      </c>
      <c r="AY14" s="1">
        <v>2.5</v>
      </c>
      <c r="AZ14" s="1">
        <v>3.2</v>
      </c>
      <c r="BA14" s="1">
        <v>2.3999999999999998E-3</v>
      </c>
      <c r="BB14" s="1">
        <f t="shared" si="5"/>
        <v>3.0000000000000008E-4</v>
      </c>
      <c r="BC14" s="1">
        <v>1</v>
      </c>
      <c r="BD14" s="1">
        <f t="shared" si="0"/>
        <v>0.37499999999999994</v>
      </c>
      <c r="BE14" s="1">
        <v>0.2</v>
      </c>
      <c r="BF14" s="1">
        <f t="shared" si="1"/>
        <v>1.4999999999999998</v>
      </c>
      <c r="BG14" s="1">
        <f t="shared" si="2"/>
        <v>1.9075000000000002</v>
      </c>
      <c r="BH14" s="1">
        <f t="shared" si="3"/>
        <v>0.52424639580602883</v>
      </c>
    </row>
    <row r="15" spans="1:60" x14ac:dyDescent="0.25">
      <c r="B15" s="3">
        <v>8</v>
      </c>
      <c r="C15" s="4">
        <v>99595666662.662552</v>
      </c>
      <c r="D15" s="4">
        <v>99595666662.662552</v>
      </c>
      <c r="E15" s="4">
        <v>0.24384045275161456</v>
      </c>
      <c r="F15" s="4">
        <v>0</v>
      </c>
      <c r="G15" s="4">
        <v>36850000000</v>
      </c>
      <c r="H15" s="4">
        <v>36405000000</v>
      </c>
      <c r="I15" s="4">
        <v>36405000000</v>
      </c>
      <c r="J15" s="4">
        <v>-1.7963536701620584E-11</v>
      </c>
      <c r="K15" s="4">
        <v>-1.7963536701620584E-11</v>
      </c>
      <c r="L15" s="4">
        <v>0</v>
      </c>
      <c r="M15" s="4">
        <v>2.0000000000000001E-4</v>
      </c>
      <c r="N15" s="4">
        <v>65.759740259740241</v>
      </c>
      <c r="O15" s="4">
        <v>65.759740259740241</v>
      </c>
      <c r="P15" s="4">
        <v>3.3596750000000006E-9</v>
      </c>
      <c r="Q15" s="4">
        <v>0</v>
      </c>
      <c r="R15" s="4">
        <v>7.6824999999999997E-5</v>
      </c>
      <c r="S15" s="4">
        <v>8.2825000000000007E-6</v>
      </c>
      <c r="T15" s="4">
        <v>8.2825000000000007E-6</v>
      </c>
      <c r="U15" s="4">
        <v>4.0024444444444399E-4</v>
      </c>
      <c r="V15" s="4">
        <v>4.0024444444444399E-4</v>
      </c>
      <c r="W15" s="4">
        <v>1.9075000000000002</v>
      </c>
      <c r="X15" s="4">
        <v>3822.5</v>
      </c>
      <c r="Y15" s="4">
        <f t="shared" si="11"/>
        <v>2.0000000000000001E-4</v>
      </c>
      <c r="Z15" s="4">
        <f t="shared" si="11"/>
        <v>4.0000000000000002E-4</v>
      </c>
      <c r="AA15" s="3">
        <v>2</v>
      </c>
      <c r="AE15">
        <v>12</v>
      </c>
      <c r="AF15">
        <v>0.41081821294077364</v>
      </c>
      <c r="AG15">
        <v>2.0000000000000001E-4</v>
      </c>
      <c r="AH15" s="5">
        <f t="shared" si="6"/>
        <v>1.0808953092279374E-3</v>
      </c>
      <c r="AI15" s="4">
        <f t="shared" si="4"/>
        <v>8.216364258815473E-5</v>
      </c>
      <c r="AJ15" s="5">
        <v>1.0808953092279374E-3</v>
      </c>
      <c r="AK15" s="6">
        <f t="shared" si="7"/>
        <v>1</v>
      </c>
      <c r="AL15" s="7">
        <f t="shared" si="8"/>
        <v>0</v>
      </c>
      <c r="AM15" s="7">
        <f t="shared" si="9"/>
        <v>1</v>
      </c>
      <c r="AN15" s="8">
        <v>20</v>
      </c>
      <c r="AO15">
        <v>300</v>
      </c>
      <c r="AP15">
        <f t="shared" si="10"/>
        <v>300</v>
      </c>
      <c r="AW15">
        <v>14</v>
      </c>
      <c r="AY15" s="1">
        <v>2.5</v>
      </c>
      <c r="AZ15" s="1">
        <v>3.2</v>
      </c>
      <c r="BA15" s="1">
        <v>2.3999999999999998E-3</v>
      </c>
      <c r="BB15" s="1">
        <f t="shared" si="5"/>
        <v>4.2000000000000007E-4</v>
      </c>
      <c r="BC15" s="1">
        <v>1</v>
      </c>
      <c r="BD15" s="1">
        <f t="shared" si="0"/>
        <v>0.32499999999999996</v>
      </c>
      <c r="BE15" s="1">
        <v>0.2</v>
      </c>
      <c r="BF15" s="1">
        <f t="shared" si="1"/>
        <v>1.2999999999999998</v>
      </c>
      <c r="BG15" s="1">
        <f t="shared" si="2"/>
        <v>1.9864999999999999</v>
      </c>
      <c r="BH15" s="1">
        <f t="shared" si="3"/>
        <v>0.50339793606846217</v>
      </c>
    </row>
    <row r="16" spans="1:60" x14ac:dyDescent="0.25">
      <c r="B16" s="3">
        <v>9</v>
      </c>
      <c r="C16" s="4">
        <v>111812358662.73129</v>
      </c>
      <c r="D16" s="4">
        <v>111812358662.73129</v>
      </c>
      <c r="E16" s="4">
        <v>0.2714054665216038</v>
      </c>
      <c r="F16" s="4">
        <v>0</v>
      </c>
      <c r="G16" s="4">
        <v>41216666666.666672</v>
      </c>
      <c r="H16" s="4">
        <v>39915000000</v>
      </c>
      <c r="I16" s="4">
        <v>39915000000</v>
      </c>
      <c r="J16" s="4">
        <v>-1.397163965681601E-11</v>
      </c>
      <c r="K16" s="4">
        <v>-1.397163965681601E-11</v>
      </c>
      <c r="L16" s="4">
        <v>0</v>
      </c>
      <c r="M16" s="4">
        <v>2.0000000000000001E-4</v>
      </c>
      <c r="N16" s="4">
        <v>81.911255411255382</v>
      </c>
      <c r="O16" s="4">
        <v>81.911255411255382</v>
      </c>
      <c r="P16" s="4">
        <v>2.6337472222222223E-9</v>
      </c>
      <c r="Q16" s="4">
        <v>0</v>
      </c>
      <c r="R16" s="4">
        <v>9.4641666666666659E-5</v>
      </c>
      <c r="S16" s="4">
        <v>8.6641666666666674E-6</v>
      </c>
      <c r="T16" s="4">
        <v>8.6641666666666674E-6</v>
      </c>
      <c r="U16" s="4">
        <v>4.0024444444444399E-4</v>
      </c>
      <c r="V16" s="4">
        <v>4.0024444444444399E-4</v>
      </c>
      <c r="W16" s="4">
        <v>2.0391666666666666</v>
      </c>
      <c r="X16" s="4">
        <v>4150.833333333333</v>
      </c>
      <c r="Y16" s="4">
        <f t="shared" si="11"/>
        <v>4.0000000000000002E-4</v>
      </c>
      <c r="Z16" s="4">
        <f t="shared" si="11"/>
        <v>6.0000000000000006E-4</v>
      </c>
      <c r="AA16" s="3">
        <v>2</v>
      </c>
      <c r="AW16">
        <v>15</v>
      </c>
      <c r="AY16" s="1">
        <v>2.5</v>
      </c>
      <c r="AZ16" s="1">
        <v>3.2</v>
      </c>
      <c r="BA16" s="1">
        <v>2.3999999999999998E-3</v>
      </c>
      <c r="BB16" s="1">
        <f t="shared" si="5"/>
        <v>5.4000000000000012E-4</v>
      </c>
      <c r="BC16" s="1">
        <v>1</v>
      </c>
      <c r="BD16" s="1">
        <f t="shared" si="0"/>
        <v>0.27499999999999991</v>
      </c>
      <c r="BE16" s="1">
        <v>0.2</v>
      </c>
      <c r="BF16" s="1">
        <f t="shared" si="1"/>
        <v>1.0999999999999996</v>
      </c>
      <c r="BG16" s="1">
        <f t="shared" si="2"/>
        <v>2.0655000000000001</v>
      </c>
      <c r="BH16" s="1">
        <f t="shared" si="3"/>
        <v>0.48414427499394819</v>
      </c>
    </row>
    <row r="17" spans="1:60" x14ac:dyDescent="0.25">
      <c r="B17" s="3">
        <v>10</v>
      </c>
      <c r="C17" s="4">
        <v>124029050662.80006</v>
      </c>
      <c r="D17" s="4">
        <v>124029050662.80006</v>
      </c>
      <c r="E17" s="4">
        <v>0.29897048029159301</v>
      </c>
      <c r="F17" s="4">
        <v>0</v>
      </c>
      <c r="G17" s="4">
        <v>45583333333.333336</v>
      </c>
      <c r="H17" s="4">
        <v>43425000000</v>
      </c>
      <c r="I17" s="4">
        <v>43425000000</v>
      </c>
      <c r="J17" s="4">
        <v>-9.9797426120114371E-12</v>
      </c>
      <c r="K17" s="4">
        <v>-9.9797426120114371E-12</v>
      </c>
      <c r="L17" s="4">
        <v>0</v>
      </c>
      <c r="M17" s="4">
        <v>2.0000000000000001E-4</v>
      </c>
      <c r="N17" s="4">
        <v>98.062770562770552</v>
      </c>
      <c r="O17" s="4">
        <v>98.062770562770552</v>
      </c>
      <c r="P17" s="4">
        <v>1.9078194444444445E-9</v>
      </c>
      <c r="Q17" s="4">
        <v>0</v>
      </c>
      <c r="R17" s="4">
        <v>1.1245833333333333E-4</v>
      </c>
      <c r="S17" s="4">
        <v>9.0458333333333341E-6</v>
      </c>
      <c r="T17" s="4">
        <v>9.0458333333333341E-6</v>
      </c>
      <c r="U17" s="4">
        <v>4.0024444444444399E-4</v>
      </c>
      <c r="V17" s="4">
        <v>4.0024444444444399E-4</v>
      </c>
      <c r="W17" s="4">
        <v>2.1708333333333334</v>
      </c>
      <c r="X17" s="4">
        <v>4479.166666666667</v>
      </c>
      <c r="Y17" s="4">
        <f t="shared" si="11"/>
        <v>6.0000000000000006E-4</v>
      </c>
      <c r="Z17" s="4">
        <f t="shared" si="11"/>
        <v>8.0000000000000004E-4</v>
      </c>
      <c r="AA17" s="3">
        <v>2</v>
      </c>
      <c r="AW17">
        <v>16</v>
      </c>
      <c r="AY17" s="1">
        <v>2.5</v>
      </c>
      <c r="AZ17" s="1">
        <v>3.2</v>
      </c>
      <c r="BA17" s="1">
        <v>2.3999999999999998E-3</v>
      </c>
      <c r="BB17" s="1">
        <f t="shared" si="5"/>
        <v>6.600000000000001E-4</v>
      </c>
      <c r="BC17" s="1">
        <v>1</v>
      </c>
      <c r="BD17" s="1">
        <f t="shared" si="0"/>
        <v>0.22499999999999992</v>
      </c>
      <c r="BE17" s="1">
        <v>0.2</v>
      </c>
      <c r="BF17" s="1">
        <f t="shared" si="1"/>
        <v>0.89999999999999969</v>
      </c>
      <c r="BG17" s="1">
        <f t="shared" si="2"/>
        <v>2.1444999999999999</v>
      </c>
      <c r="BH17" s="1">
        <f t="shared" si="3"/>
        <v>0.46630916297505248</v>
      </c>
    </row>
    <row r="18" spans="1:60" x14ac:dyDescent="0.25">
      <c r="B18" s="3">
        <v>11</v>
      </c>
      <c r="C18" s="4">
        <v>136245742662.86884</v>
      </c>
      <c r="D18" s="4">
        <v>136245742662.86884</v>
      </c>
      <c r="E18" s="4">
        <v>0.32653549406158217</v>
      </c>
      <c r="F18" s="4">
        <v>0</v>
      </c>
      <c r="G18" s="4">
        <v>49950000000</v>
      </c>
      <c r="H18" s="4">
        <v>46935000000</v>
      </c>
      <c r="I18" s="4">
        <v>46935000000</v>
      </c>
      <c r="J18" s="4">
        <v>-5.9878455672068621E-12</v>
      </c>
      <c r="K18" s="4">
        <v>-5.9878455672068621E-12</v>
      </c>
      <c r="L18" s="4">
        <v>0</v>
      </c>
      <c r="M18" s="4">
        <v>2.0000000000000001E-4</v>
      </c>
      <c r="N18" s="4">
        <v>114.21428571428569</v>
      </c>
      <c r="O18" s="4">
        <v>114.21428571428569</v>
      </c>
      <c r="P18" s="4">
        <v>1.1818916666666668E-9</v>
      </c>
      <c r="Q18" s="4">
        <v>0</v>
      </c>
      <c r="R18" s="4">
        <v>1.3027500000000001E-4</v>
      </c>
      <c r="S18" s="4">
        <v>9.4275000000000008E-6</v>
      </c>
      <c r="T18" s="4">
        <v>9.4275000000000008E-6</v>
      </c>
      <c r="U18" s="4">
        <v>4.0024444444444399E-4</v>
      </c>
      <c r="V18" s="4">
        <v>4.0024444444444399E-4</v>
      </c>
      <c r="W18" s="4">
        <v>2.3024999999999998</v>
      </c>
      <c r="X18" s="4">
        <v>4807.5</v>
      </c>
      <c r="Y18" s="4">
        <f t="shared" si="11"/>
        <v>8.0000000000000004E-4</v>
      </c>
      <c r="Z18" s="4">
        <f t="shared" si="11"/>
        <v>1E-3</v>
      </c>
      <c r="AA18" s="3">
        <v>2</v>
      </c>
      <c r="AW18">
        <v>17</v>
      </c>
      <c r="AY18" s="1">
        <v>2.5</v>
      </c>
      <c r="AZ18" s="1">
        <v>3.2</v>
      </c>
      <c r="BA18" s="1">
        <v>2.3999999999999998E-3</v>
      </c>
      <c r="BB18" s="1">
        <f t="shared" si="5"/>
        <v>7.8000000000000009E-4</v>
      </c>
      <c r="BC18" s="1">
        <v>1</v>
      </c>
      <c r="BD18" s="1">
        <f t="shared" si="0"/>
        <v>0.17499999999999993</v>
      </c>
      <c r="BE18" s="1">
        <v>0.2</v>
      </c>
      <c r="BF18" s="1">
        <f t="shared" si="1"/>
        <v>0.69999999999999973</v>
      </c>
      <c r="BG18" s="1">
        <f t="shared" si="2"/>
        <v>2.2235</v>
      </c>
      <c r="BH18" s="1">
        <f t="shared" si="3"/>
        <v>0.44974139869574992</v>
      </c>
    </row>
    <row r="19" spans="1:60" x14ac:dyDescent="0.25">
      <c r="A19" t="s">
        <v>219</v>
      </c>
      <c r="B19" s="10">
        <v>12</v>
      </c>
      <c r="C19" s="4">
        <v>148462434662.93762</v>
      </c>
      <c r="D19" s="4">
        <v>148462434662.93762</v>
      </c>
      <c r="E19" s="4">
        <v>0.35410050783157149</v>
      </c>
      <c r="F19" s="4">
        <v>0</v>
      </c>
      <c r="G19" s="4">
        <v>54316666666.666672</v>
      </c>
      <c r="H19" s="4">
        <v>50445000000</v>
      </c>
      <c r="I19" s="4">
        <v>50445000000</v>
      </c>
      <c r="J19" s="4">
        <v>-1.9959485224022831E-12</v>
      </c>
      <c r="K19" s="4">
        <v>-1.9959485224022831E-12</v>
      </c>
      <c r="L19" s="4">
        <v>0</v>
      </c>
      <c r="M19" s="4">
        <v>2.0000000000000001E-4</v>
      </c>
      <c r="N19" s="4">
        <v>130.36580086580088</v>
      </c>
      <c r="O19" s="4">
        <v>130.36580086580088</v>
      </c>
      <c r="P19" s="4">
        <v>4.559638888888881E-10</v>
      </c>
      <c r="Q19" s="4">
        <v>0</v>
      </c>
      <c r="R19" s="4">
        <v>1.4809166666666668E-4</v>
      </c>
      <c r="S19" s="4">
        <v>9.8091666666666675E-6</v>
      </c>
      <c r="T19" s="4">
        <v>9.8091666666666675E-6</v>
      </c>
      <c r="U19" s="4">
        <v>4.0024444444444399E-4</v>
      </c>
      <c r="V19" s="4">
        <v>4.0024444444444399E-4</v>
      </c>
      <c r="W19" s="4">
        <v>2.434166666666667</v>
      </c>
      <c r="X19" s="4">
        <v>5135.833333333333</v>
      </c>
      <c r="Y19" s="4">
        <f t="shared" si="11"/>
        <v>1E-3</v>
      </c>
      <c r="Z19" s="4">
        <f t="shared" si="11"/>
        <v>1.2000000000000001E-3</v>
      </c>
      <c r="AA19" s="3">
        <v>2</v>
      </c>
      <c r="AW19">
        <v>18</v>
      </c>
      <c r="AY19" s="1">
        <v>2.5</v>
      </c>
      <c r="AZ19" s="1">
        <v>3.2</v>
      </c>
      <c r="BA19" s="1">
        <v>2.3999999999999998E-3</v>
      </c>
      <c r="BB19" s="1">
        <f t="shared" si="5"/>
        <v>9.0000000000000008E-4</v>
      </c>
      <c r="BC19" s="1">
        <v>1</v>
      </c>
      <c r="BD19" s="1">
        <f t="shared" si="0"/>
        <v>0.12499999999999994</v>
      </c>
      <c r="BE19" s="1">
        <v>0.2</v>
      </c>
      <c r="BF19" s="1">
        <f t="shared" si="1"/>
        <v>0.49999999999999978</v>
      </c>
      <c r="BG19" s="1">
        <f t="shared" si="2"/>
        <v>2.3025000000000002</v>
      </c>
      <c r="BH19" s="1">
        <f t="shared" si="3"/>
        <v>0.43431053203040171</v>
      </c>
    </row>
    <row r="20" spans="1:60" x14ac:dyDescent="0.25">
      <c r="B20" s="1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"/>
      <c r="AW20">
        <v>19</v>
      </c>
      <c r="AY20" s="1">
        <v>2.5</v>
      </c>
      <c r="AZ20" s="1">
        <v>3.2</v>
      </c>
      <c r="BA20" s="1">
        <v>2.3999999999999998E-3</v>
      </c>
      <c r="BB20" s="1">
        <f t="shared" si="5"/>
        <v>1.0200000000000001E-3</v>
      </c>
      <c r="BC20" s="1">
        <v>1</v>
      </c>
      <c r="BD20" s="1">
        <f t="shared" si="0"/>
        <v>7.4999999999999956E-2</v>
      </c>
      <c r="BE20" s="1">
        <v>0.2</v>
      </c>
      <c r="BF20" s="1">
        <f t="shared" si="1"/>
        <v>0.29999999999999982</v>
      </c>
      <c r="BG20" s="1">
        <f t="shared" si="2"/>
        <v>2.3815</v>
      </c>
      <c r="BH20" s="1">
        <f t="shared" si="3"/>
        <v>0.41990342221289106</v>
      </c>
    </row>
    <row r="21" spans="1:60" x14ac:dyDescent="0.25">
      <c r="B21" s="10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3"/>
      <c r="AW21">
        <v>20</v>
      </c>
      <c r="AY21" s="1">
        <v>2.5</v>
      </c>
      <c r="AZ21" s="1">
        <v>3.2</v>
      </c>
      <c r="BA21" s="1">
        <v>2.3999999999999998E-3</v>
      </c>
      <c r="BB21" s="1">
        <f t="shared" si="5"/>
        <v>1.1400000000000002E-3</v>
      </c>
      <c r="BC21" s="1">
        <v>1</v>
      </c>
      <c r="BD21" s="1">
        <f t="shared" si="0"/>
        <v>2.4999999999999911E-2</v>
      </c>
      <c r="BE21" s="1">
        <v>0.2</v>
      </c>
      <c r="BF21" s="1">
        <f t="shared" si="1"/>
        <v>9.9999999999999645E-2</v>
      </c>
      <c r="BG21" s="1">
        <f t="shared" si="2"/>
        <v>2.4605000000000001</v>
      </c>
      <c r="BH21" s="1">
        <f t="shared" si="3"/>
        <v>0.406421459053038</v>
      </c>
    </row>
    <row r="22" spans="1:60" x14ac:dyDescent="0.25">
      <c r="B22" s="10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3"/>
      <c r="BB22" s="16"/>
    </row>
    <row r="23" spans="1:60" x14ac:dyDescent="0.25">
      <c r="A23" s="1"/>
      <c r="B23" s="1"/>
      <c r="BB23" s="16"/>
    </row>
    <row r="24" spans="1:60" x14ac:dyDescent="0.25">
      <c r="A24" s="1"/>
      <c r="B24" s="1"/>
    </row>
    <row r="28" spans="1:60" x14ac:dyDescent="0.25">
      <c r="A28" s="11" t="s">
        <v>271</v>
      </c>
      <c r="B28" t="s">
        <v>104</v>
      </c>
    </row>
    <row r="29" spans="1:60" x14ac:dyDescent="0.25">
      <c r="A29" s="11" t="s">
        <v>152</v>
      </c>
      <c r="B29" t="s">
        <v>153</v>
      </c>
    </row>
    <row r="33" spans="1:11" x14ac:dyDescent="0.25">
      <c r="A33" t="s">
        <v>105</v>
      </c>
      <c r="B33" s="2" t="s">
        <v>221</v>
      </c>
      <c r="C33" s="2" t="s">
        <v>220</v>
      </c>
      <c r="D33" s="2" t="s">
        <v>106</v>
      </c>
      <c r="E33" s="2" t="s">
        <v>107</v>
      </c>
      <c r="F33" s="2" t="s">
        <v>108</v>
      </c>
      <c r="G33" s="2" t="s">
        <v>109</v>
      </c>
      <c r="H33" s="2" t="s">
        <v>114</v>
      </c>
      <c r="I33" s="2" t="s">
        <v>111</v>
      </c>
      <c r="J33" s="2" t="s">
        <v>112</v>
      </c>
      <c r="K33" s="15"/>
    </row>
    <row r="34" spans="1:11" x14ac:dyDescent="0.25">
      <c r="A34">
        <v>1</v>
      </c>
      <c r="B34" s="1">
        <v>154570780662.97195</v>
      </c>
      <c r="C34" s="1">
        <v>116331314878.89275</v>
      </c>
      <c r="D34" s="1">
        <v>2.3999999999999998E-3</v>
      </c>
      <c r="E34">
        <v>-1.1000000000000001E-3</v>
      </c>
      <c r="F34" s="1">
        <v>2</v>
      </c>
      <c r="G34" s="1">
        <f>(0.5-E34/D34)^F34</f>
        <v>0.91840277777777801</v>
      </c>
      <c r="H34" s="1">
        <v>0.4</v>
      </c>
      <c r="I34" s="1">
        <f>2*(1-2*ABS(E34)/D34)</f>
        <v>0.1666666666666663</v>
      </c>
      <c r="J34" s="1">
        <f>(C34-B34)*G34+B34-(B34+C34)*(H34/2)*I34</f>
        <v>110421479214.73984</v>
      </c>
    </row>
    <row r="35" spans="1:11" x14ac:dyDescent="0.25">
      <c r="A35">
        <v>2</v>
      </c>
      <c r="B35" s="1">
        <v>154570780662.97195</v>
      </c>
      <c r="C35" s="1">
        <v>116331314878.89275</v>
      </c>
      <c r="D35" s="1">
        <v>2.3999999999999998E-3</v>
      </c>
      <c r="E35">
        <f>-0.001+0.0001</f>
        <v>-8.9999999999999998E-4</v>
      </c>
      <c r="F35" s="1">
        <v>2</v>
      </c>
      <c r="G35" s="1">
        <f t="shared" ref="G35:G45" si="12">(0.5-E35/D35)^F35</f>
        <v>0.765625</v>
      </c>
      <c r="H35" s="1">
        <v>0.4</v>
      </c>
      <c r="I35" s="1">
        <f t="shared" ref="I35:I45" si="13">2*(1-2*ABS(E35)/D35)</f>
        <v>0.5</v>
      </c>
      <c r="J35" s="1">
        <f t="shared" ref="J35:J45" si="14">(C35-B35)*G35+B35-(B35+C35)*(H35/2)*I35</f>
        <v>98203480117.849854</v>
      </c>
    </row>
    <row r="36" spans="1:11" x14ac:dyDescent="0.25">
      <c r="A36">
        <v>3</v>
      </c>
      <c r="B36" s="1">
        <v>154570780662.97195</v>
      </c>
      <c r="C36" s="1">
        <v>116331314878.89275</v>
      </c>
      <c r="D36" s="1">
        <v>2.3999999999999998E-3</v>
      </c>
      <c r="E36">
        <f>E35+0.0002</f>
        <v>-6.9999999999999999E-4</v>
      </c>
      <c r="F36" s="1">
        <v>2</v>
      </c>
      <c r="G36" s="1">
        <f t="shared" si="12"/>
        <v>0.62673611111111127</v>
      </c>
      <c r="H36" s="1">
        <v>0.4</v>
      </c>
      <c r="I36" s="1">
        <f t="shared" si="13"/>
        <v>0.83333333333333326</v>
      </c>
      <c r="J36" s="1">
        <f t="shared" si="14"/>
        <v>85454377329.514297</v>
      </c>
    </row>
    <row r="37" spans="1:11" x14ac:dyDescent="0.25">
      <c r="A37">
        <v>4</v>
      </c>
      <c r="B37" s="1">
        <v>154570780662.97195</v>
      </c>
      <c r="C37" s="1">
        <v>116331314878.89275</v>
      </c>
      <c r="D37" s="1">
        <v>2.3999999999999998E-3</v>
      </c>
      <c r="E37">
        <f t="shared" ref="E37:E44" si="15">E36+0.0002</f>
        <v>-5.0000000000000001E-4</v>
      </c>
      <c r="F37" s="1">
        <v>2</v>
      </c>
      <c r="G37" s="1">
        <f t="shared" si="12"/>
        <v>0.50173611111111116</v>
      </c>
      <c r="H37" s="1">
        <v>0.4</v>
      </c>
      <c r="I37" s="1">
        <f t="shared" si="13"/>
        <v>1.1666666666666665</v>
      </c>
      <c r="J37" s="1">
        <f t="shared" si="14"/>
        <v>72174170849.733215</v>
      </c>
    </row>
    <row r="38" spans="1:11" x14ac:dyDescent="0.25">
      <c r="A38">
        <v>5</v>
      </c>
      <c r="B38" s="1">
        <v>154570780662.97195</v>
      </c>
      <c r="C38" s="1">
        <v>116331314878.89275</v>
      </c>
      <c r="D38" s="1">
        <v>2.3999999999999998E-3</v>
      </c>
      <c r="E38">
        <f t="shared" si="15"/>
        <v>-3.0000000000000003E-4</v>
      </c>
      <c r="F38" s="1">
        <v>2</v>
      </c>
      <c r="G38" s="1">
        <f t="shared" si="12"/>
        <v>0.390625</v>
      </c>
      <c r="H38" s="1">
        <v>0.4</v>
      </c>
      <c r="I38" s="1">
        <f t="shared" si="13"/>
        <v>1.5</v>
      </c>
      <c r="J38" s="1">
        <f t="shared" si="14"/>
        <v>58362860678.506592</v>
      </c>
    </row>
    <row r="39" spans="1:11" x14ac:dyDescent="0.25">
      <c r="A39">
        <v>6</v>
      </c>
      <c r="B39" s="1">
        <v>154570780662.97195</v>
      </c>
      <c r="C39" s="1">
        <v>116331314878.89275</v>
      </c>
      <c r="D39" s="1">
        <v>2.3999999999999998E-3</v>
      </c>
      <c r="E39">
        <f t="shared" si="15"/>
        <v>-1.0000000000000002E-4</v>
      </c>
      <c r="F39" s="1">
        <v>2</v>
      </c>
      <c r="G39" s="1">
        <f t="shared" si="12"/>
        <v>0.29340277777777773</v>
      </c>
      <c r="H39" s="1">
        <v>0.4</v>
      </c>
      <c r="I39" s="1">
        <f t="shared" si="13"/>
        <v>1.8333333333333333</v>
      </c>
      <c r="J39" s="1">
        <f t="shared" si="14"/>
        <v>44020446815.834427</v>
      </c>
    </row>
    <row r="40" spans="1:11" x14ac:dyDescent="0.25">
      <c r="A40">
        <v>7</v>
      </c>
      <c r="B40" s="1">
        <v>154570780662.97195</v>
      </c>
      <c r="C40" s="1">
        <v>116331314878.89275</v>
      </c>
      <c r="D40" s="1">
        <v>2.3999999999999998E-3</v>
      </c>
      <c r="E40">
        <f t="shared" si="15"/>
        <v>9.9999999999999991E-5</v>
      </c>
      <c r="F40" s="1">
        <v>2</v>
      </c>
      <c r="G40" s="1">
        <f t="shared" si="12"/>
        <v>0.21006944444444442</v>
      </c>
      <c r="H40" s="1">
        <v>0.4</v>
      </c>
      <c r="I40" s="1">
        <f t="shared" si="13"/>
        <v>1.8333333333333333</v>
      </c>
      <c r="J40" s="1">
        <f t="shared" si="14"/>
        <v>47207068964.507706</v>
      </c>
    </row>
    <row r="41" spans="1:11" x14ac:dyDescent="0.25">
      <c r="A41">
        <v>8</v>
      </c>
      <c r="B41" s="1">
        <v>154570780662.97195</v>
      </c>
      <c r="C41" s="1">
        <v>116331314878.89275</v>
      </c>
      <c r="D41" s="1">
        <v>2.3999999999999998E-3</v>
      </c>
      <c r="E41">
        <f t="shared" si="15"/>
        <v>3.0000000000000003E-4</v>
      </c>
      <c r="F41" s="1">
        <v>2</v>
      </c>
      <c r="G41" s="1">
        <f t="shared" si="12"/>
        <v>0.140625</v>
      </c>
      <c r="H41" s="1">
        <v>0.4</v>
      </c>
      <c r="I41" s="1">
        <f t="shared" si="13"/>
        <v>1.5</v>
      </c>
      <c r="J41" s="1">
        <f t="shared" si="14"/>
        <v>67922727124.526398</v>
      </c>
    </row>
    <row r="42" spans="1:11" x14ac:dyDescent="0.25">
      <c r="A42">
        <v>9</v>
      </c>
      <c r="B42" s="1">
        <v>154570780662.97195</v>
      </c>
      <c r="C42" s="1">
        <v>116331314878.89275</v>
      </c>
      <c r="D42" s="1">
        <v>2.3999999999999998E-3</v>
      </c>
      <c r="E42">
        <f t="shared" si="15"/>
        <v>5.0000000000000001E-4</v>
      </c>
      <c r="F42" s="1">
        <v>2</v>
      </c>
      <c r="G42" s="1">
        <f t="shared" si="12"/>
        <v>8.506944444444442E-2</v>
      </c>
      <c r="H42" s="1">
        <v>0.4</v>
      </c>
      <c r="I42" s="1">
        <f t="shared" si="13"/>
        <v>1.1666666666666665</v>
      </c>
      <c r="J42" s="1">
        <f t="shared" si="14"/>
        <v>88107281593.099548</v>
      </c>
    </row>
    <row r="43" spans="1:11" x14ac:dyDescent="0.25">
      <c r="A43">
        <v>10</v>
      </c>
      <c r="B43" s="1">
        <v>154570780662.97195</v>
      </c>
      <c r="C43" s="1">
        <v>116331314878.89275</v>
      </c>
      <c r="D43" s="1">
        <v>2.3999999999999998E-3</v>
      </c>
      <c r="E43">
        <f t="shared" si="15"/>
        <v>6.9999999999999999E-4</v>
      </c>
      <c r="F43" s="1">
        <v>2</v>
      </c>
      <c r="G43" s="1">
        <f t="shared" si="12"/>
        <v>4.3402777777777769E-2</v>
      </c>
      <c r="H43" s="1">
        <v>0.4</v>
      </c>
      <c r="I43" s="1">
        <f t="shared" si="13"/>
        <v>0.83333333333333326</v>
      </c>
      <c r="J43" s="1">
        <f t="shared" si="14"/>
        <v>107760732370.22717</v>
      </c>
    </row>
    <row r="44" spans="1:11" x14ac:dyDescent="0.25">
      <c r="A44">
        <v>11</v>
      </c>
      <c r="B44" s="1">
        <v>154570780662.97195</v>
      </c>
      <c r="C44" s="1">
        <v>116331314878.89275</v>
      </c>
      <c r="D44" s="1">
        <v>2.3999999999999998E-3</v>
      </c>
      <c r="E44">
        <f t="shared" si="15"/>
        <v>8.9999999999999998E-4</v>
      </c>
      <c r="F44" s="1">
        <v>2</v>
      </c>
      <c r="G44" s="1">
        <f t="shared" si="12"/>
        <v>1.5625E-2</v>
      </c>
      <c r="H44" s="1">
        <v>0.4</v>
      </c>
      <c r="I44" s="1">
        <f t="shared" si="13"/>
        <v>0.5</v>
      </c>
      <c r="J44" s="1">
        <f t="shared" si="14"/>
        <v>126883079455.90924</v>
      </c>
    </row>
    <row r="45" spans="1:11" x14ac:dyDescent="0.25">
      <c r="A45">
        <v>12</v>
      </c>
      <c r="B45" s="12">
        <v>154570780662.97198</v>
      </c>
      <c r="C45" s="12">
        <v>116331314878.89275</v>
      </c>
      <c r="D45" s="1">
        <v>2.3999999999999998E-3</v>
      </c>
      <c r="E45" s="13">
        <v>1.1000000000000001E-3</v>
      </c>
      <c r="F45" s="1">
        <v>2</v>
      </c>
      <c r="G45" s="1">
        <f t="shared" si="12"/>
        <v>1.7361111111111034E-3</v>
      </c>
      <c r="H45" s="1">
        <v>0.4</v>
      </c>
      <c r="I45" s="1">
        <f t="shared" si="13"/>
        <v>0.1666666666666663</v>
      </c>
      <c r="J45" s="1">
        <f t="shared" si="14"/>
        <v>145474322850.14581</v>
      </c>
    </row>
    <row r="46" spans="1:11" x14ac:dyDescent="0.25">
      <c r="A46" s="1"/>
      <c r="B46" s="1"/>
      <c r="C46" s="1"/>
      <c r="D46" s="1"/>
      <c r="F46" s="1"/>
      <c r="H46" s="1"/>
      <c r="J46" s="1"/>
    </row>
    <row r="47" spans="1:11" x14ac:dyDescent="0.25">
      <c r="A47" t="s">
        <v>113</v>
      </c>
      <c r="B47" s="2" t="s">
        <v>221</v>
      </c>
      <c r="C47" s="2" t="s">
        <v>220</v>
      </c>
      <c r="D47" s="2" t="s">
        <v>106</v>
      </c>
      <c r="E47" s="2" t="s">
        <v>107</v>
      </c>
      <c r="F47" s="2" t="s">
        <v>108</v>
      </c>
      <c r="G47" s="2" t="s">
        <v>109</v>
      </c>
      <c r="H47" s="2" t="s">
        <v>114</v>
      </c>
      <c r="I47" s="2" t="s">
        <v>111</v>
      </c>
      <c r="J47" s="2" t="s">
        <v>112</v>
      </c>
    </row>
    <row r="48" spans="1:11" x14ac:dyDescent="0.25">
      <c r="B48" s="1">
        <v>0.36788301471656604</v>
      </c>
      <c r="C48" s="1">
        <v>0.30709342560553632</v>
      </c>
      <c r="D48" s="1">
        <v>2.3999999999999998E-3</v>
      </c>
      <c r="E48">
        <v>-1.1000000000000001E-3</v>
      </c>
      <c r="F48" s="1">
        <v>2</v>
      </c>
      <c r="G48" s="1">
        <f>(0.5-E48/D48)^F48</f>
        <v>0.91840277777777801</v>
      </c>
      <c r="H48" s="1">
        <v>0.4</v>
      </c>
      <c r="I48" s="1">
        <f>2*(1-2*ABS(E48)/D48)</f>
        <v>0.1666666666666663</v>
      </c>
      <c r="J48" s="1">
        <f>(C48-B48)*G48+B48-(B48+C48)*(H48/2)*I48</f>
        <v>0.28955447253962324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v>-8.9999999999999998E-4</v>
      </c>
      <c r="F49" s="1">
        <v>2</v>
      </c>
      <c r="G49" s="1">
        <f t="shared" ref="G49:G59" si="16">(0.5-E49/D49)^F49</f>
        <v>0.765625</v>
      </c>
      <c r="H49" s="1">
        <v>0.4</v>
      </c>
      <c r="I49" s="1">
        <f t="shared" ref="I49:I59" si="17">2*(1-2*ABS(E49)/D49)</f>
        <v>0.5</v>
      </c>
      <c r="J49" s="1">
        <f t="shared" ref="J49:J59" si="18">(C49-B49)*G49+B49-(B49+C49)*(H49/2)*I49</f>
        <v>0.25384334152122368</v>
      </c>
    </row>
    <row r="50" spans="1:10" x14ac:dyDescent="0.25">
      <c r="A50" s="13"/>
      <c r="B50" s="1">
        <v>0.36788301471656604</v>
      </c>
      <c r="C50" s="1">
        <v>0.30709342560553632</v>
      </c>
      <c r="D50" s="1">
        <v>2.3999999999999998E-3</v>
      </c>
      <c r="E50">
        <v>-6.9999999999999999E-4</v>
      </c>
      <c r="F50" s="1">
        <v>2</v>
      </c>
      <c r="G50" s="1">
        <f t="shared" si="16"/>
        <v>0.62673611111111127</v>
      </c>
      <c r="H50" s="1">
        <v>0.4</v>
      </c>
      <c r="I50" s="1">
        <f t="shared" si="17"/>
        <v>0.83333333333333326</v>
      </c>
      <c r="J50" s="1">
        <f t="shared" si="18"/>
        <v>0.21728791065405983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v>-5.0000000000000001E-4</v>
      </c>
      <c r="F51" s="1">
        <v>2</v>
      </c>
      <c r="G51" s="1">
        <f t="shared" si="16"/>
        <v>0.50173611111111116</v>
      </c>
      <c r="H51" s="1">
        <v>0.4</v>
      </c>
      <c r="I51" s="1">
        <f t="shared" si="17"/>
        <v>1.1666666666666665</v>
      </c>
      <c r="J51" s="1">
        <f t="shared" si="18"/>
        <v>0.17988817993813175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>
        <v>-3.0000000000000003E-4</v>
      </c>
      <c r="F52" s="1">
        <v>2</v>
      </c>
      <c r="G52" s="1">
        <f t="shared" si="16"/>
        <v>0.390625</v>
      </c>
      <c r="H52" s="1">
        <v>0.4</v>
      </c>
      <c r="I52" s="1">
        <f t="shared" si="17"/>
        <v>1.5</v>
      </c>
      <c r="J52" s="1">
        <f t="shared" si="18"/>
        <v>0.14164414937343933</v>
      </c>
    </row>
    <row r="53" spans="1:10" x14ac:dyDescent="0.25">
      <c r="B53" s="1">
        <v>0.36788301471656604</v>
      </c>
      <c r="C53" s="1">
        <v>0.30709342560553632</v>
      </c>
      <c r="D53" s="1">
        <v>2.3999999999999998E-3</v>
      </c>
      <c r="E53">
        <v>-1.0000000000000002E-4</v>
      </c>
      <c r="F53" s="1">
        <v>2</v>
      </c>
      <c r="G53" s="1">
        <f t="shared" si="16"/>
        <v>0.29340277777777773</v>
      </c>
      <c r="H53" s="1">
        <v>0.4</v>
      </c>
      <c r="I53" s="1">
        <f t="shared" si="17"/>
        <v>1.8333333333333333</v>
      </c>
      <c r="J53" s="1">
        <f t="shared" si="18"/>
        <v>0.10255581895998264</v>
      </c>
    </row>
    <row r="54" spans="1:10" x14ac:dyDescent="0.25">
      <c r="B54" s="1">
        <v>0.36788301471656604</v>
      </c>
      <c r="C54" s="1">
        <v>0.30709342560553632</v>
      </c>
      <c r="D54" s="1">
        <v>2.3999999999999998E-3</v>
      </c>
      <c r="E54">
        <v>9.9999999999999991E-5</v>
      </c>
      <c r="F54" s="1">
        <v>2</v>
      </c>
      <c r="G54" s="1">
        <f t="shared" si="16"/>
        <v>0.21006944444444442</v>
      </c>
      <c r="H54" s="1">
        <v>0.4</v>
      </c>
      <c r="I54" s="1">
        <f t="shared" si="17"/>
        <v>1.8333333333333333</v>
      </c>
      <c r="J54" s="1">
        <f t="shared" si="18"/>
        <v>0.10762161805256845</v>
      </c>
    </row>
    <row r="55" spans="1:10" x14ac:dyDescent="0.25">
      <c r="B55" s="1">
        <v>0.36788301471656604</v>
      </c>
      <c r="C55" s="1">
        <v>0.30709342560553632</v>
      </c>
      <c r="D55" s="1">
        <v>2.3999999999999998E-3</v>
      </c>
      <c r="E55">
        <v>3.0000000000000003E-4</v>
      </c>
      <c r="F55" s="1">
        <v>2</v>
      </c>
      <c r="G55" s="1">
        <f t="shared" si="16"/>
        <v>0.140625</v>
      </c>
      <c r="H55" s="1">
        <v>0.4</v>
      </c>
      <c r="I55" s="1">
        <f t="shared" si="17"/>
        <v>1.5</v>
      </c>
      <c r="J55" s="1">
        <f t="shared" si="18"/>
        <v>0.15684154665119676</v>
      </c>
    </row>
    <row r="56" spans="1:10" x14ac:dyDescent="0.25">
      <c r="B56" s="1">
        <v>0.36788301471656604</v>
      </c>
      <c r="C56" s="1">
        <v>0.30709342560553632</v>
      </c>
      <c r="D56" s="1">
        <v>2.3999999999999998E-3</v>
      </c>
      <c r="E56">
        <v>5.0000000000000001E-4</v>
      </c>
      <c r="F56" s="1">
        <v>2</v>
      </c>
      <c r="G56" s="1">
        <f t="shared" si="16"/>
        <v>8.506944444444442E-2</v>
      </c>
      <c r="H56" s="1">
        <v>0.4</v>
      </c>
      <c r="I56" s="1">
        <f t="shared" si="17"/>
        <v>1.1666666666666665</v>
      </c>
      <c r="J56" s="1">
        <f t="shared" si="18"/>
        <v>0.2052171754010608</v>
      </c>
    </row>
    <row r="57" spans="1:10" x14ac:dyDescent="0.25">
      <c r="B57" s="1">
        <v>0.36788301471656604</v>
      </c>
      <c r="C57" s="1">
        <v>0.30709342560553632</v>
      </c>
      <c r="D57" s="1">
        <v>2.3999999999999998E-3</v>
      </c>
      <c r="E57">
        <v>6.9999999999999999E-4</v>
      </c>
      <c r="F57" s="1">
        <v>2</v>
      </c>
      <c r="G57" s="1">
        <f t="shared" si="16"/>
        <v>4.3402777777777769E-2</v>
      </c>
      <c r="H57" s="1">
        <v>0.4</v>
      </c>
      <c r="I57" s="1">
        <f t="shared" si="17"/>
        <v>0.83333333333333326</v>
      </c>
      <c r="J57" s="1">
        <f t="shared" si="18"/>
        <v>0.25274850430216056</v>
      </c>
    </row>
    <row r="58" spans="1:10" x14ac:dyDescent="0.25">
      <c r="B58" s="1">
        <v>0.36788301471656604</v>
      </c>
      <c r="C58" s="1">
        <v>0.30709342560553632</v>
      </c>
      <c r="D58" s="1">
        <v>2.3999999999999998E-3</v>
      </c>
      <c r="E58">
        <v>8.9999999999999998E-4</v>
      </c>
      <c r="F58" s="1">
        <v>2</v>
      </c>
      <c r="G58" s="1">
        <f t="shared" si="16"/>
        <v>1.5625E-2</v>
      </c>
      <c r="H58" s="1">
        <v>0.4</v>
      </c>
      <c r="I58" s="1">
        <f t="shared" si="17"/>
        <v>0.5</v>
      </c>
      <c r="J58" s="1">
        <f t="shared" si="18"/>
        <v>0.29943553335449596</v>
      </c>
    </row>
    <row r="59" spans="1:10" x14ac:dyDescent="0.25">
      <c r="B59" s="1">
        <v>0.36788301471656604</v>
      </c>
      <c r="C59" s="1">
        <v>0.30709342560553632</v>
      </c>
      <c r="D59" s="1">
        <v>2.3999999999999998E-3</v>
      </c>
      <c r="E59" s="13">
        <v>1.1000000000000001E-3</v>
      </c>
      <c r="F59" s="1">
        <v>2</v>
      </c>
      <c r="G59" s="1">
        <f t="shared" si="16"/>
        <v>1.7361111111111034E-3</v>
      </c>
      <c r="H59" s="1">
        <v>0.4</v>
      </c>
      <c r="I59" s="1">
        <f t="shared" si="17"/>
        <v>0.1666666666666663</v>
      </c>
      <c r="J59" s="1">
        <f t="shared" si="18"/>
        <v>0.34527826255806715</v>
      </c>
    </row>
    <row r="60" spans="1:10" x14ac:dyDescent="0.25">
      <c r="B60" s="1"/>
      <c r="C60" s="1"/>
      <c r="D60" s="1"/>
      <c r="E60" s="13"/>
      <c r="F60" s="1"/>
      <c r="H60" s="12"/>
      <c r="I60" s="1"/>
      <c r="J60" s="1"/>
    </row>
    <row r="62" spans="1:10" x14ac:dyDescent="0.25">
      <c r="A62" t="s">
        <v>97</v>
      </c>
      <c r="B62" s="2" t="s">
        <v>221</v>
      </c>
      <c r="C62" s="2" t="s">
        <v>220</v>
      </c>
      <c r="D62" s="2" t="s">
        <v>106</v>
      </c>
      <c r="E62" s="2" t="s">
        <v>107</v>
      </c>
      <c r="F62" s="2" t="s">
        <v>108</v>
      </c>
      <c r="G62" s="2" t="s">
        <v>109</v>
      </c>
      <c r="H62" s="2" t="s">
        <v>114</v>
      </c>
      <c r="I62" s="2" t="s">
        <v>111</v>
      </c>
      <c r="J62" s="2" t="s">
        <v>112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v>-1.1000000000000001E-3</v>
      </c>
      <c r="F63" s="1">
        <v>2</v>
      </c>
      <c r="G63" s="1">
        <f>(0.5-E63/D63)^F63</f>
        <v>0.91840277777777801</v>
      </c>
      <c r="H63" s="1">
        <v>0.4</v>
      </c>
      <c r="I63" s="1">
        <f>2*(1-2*ABS(E63)/D63)</f>
        <v>0.1666666666666663</v>
      </c>
      <c r="J63" s="1">
        <f>(C63-B63)*G63+B63-(B63+C63)*(H63/2)*I63</f>
        <v>42112500000.000008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>-0.001+0.0001</f>
        <v>-8.9999999999999998E-4</v>
      </c>
      <c r="F64" s="1">
        <v>2</v>
      </c>
      <c r="G64" s="1">
        <f t="shared" ref="G64:G74" si="19">(0.5-E64/D64)^F64</f>
        <v>0.765625</v>
      </c>
      <c r="H64" s="1">
        <v>0.4</v>
      </c>
      <c r="I64" s="1">
        <f t="shared" ref="I64:I74" si="20">2*(1-2*ABS(E64)/D64)</f>
        <v>0.5</v>
      </c>
      <c r="J64" s="1">
        <f t="shared" ref="J64:J74" si="21">(C64-B64)*G64+B64-(B64+C64)*(H64/2)*I64</f>
        <v>37212500000</v>
      </c>
    </row>
    <row r="65" spans="1:10" x14ac:dyDescent="0.25">
      <c r="A65" s="13"/>
      <c r="B65" s="1">
        <v>56500000000</v>
      </c>
      <c r="C65" s="1">
        <v>44500000000</v>
      </c>
      <c r="D65" s="1">
        <v>2.3999999999999998E-3</v>
      </c>
      <c r="E65">
        <f>E64+0.0002</f>
        <v>-6.9999999999999999E-4</v>
      </c>
      <c r="F65" s="1">
        <v>2</v>
      </c>
      <c r="G65" s="1">
        <f t="shared" si="19"/>
        <v>0.62673611111111127</v>
      </c>
      <c r="H65" s="1">
        <v>0.4</v>
      </c>
      <c r="I65" s="1">
        <f t="shared" si="20"/>
        <v>0.83333333333333326</v>
      </c>
      <c r="J65" s="1">
        <f t="shared" si="21"/>
        <v>32145833333.333332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>
        <f t="shared" ref="E66:E73" si="22">E65+0.0002</f>
        <v>-5.0000000000000001E-4</v>
      </c>
      <c r="F66" s="1">
        <v>2</v>
      </c>
      <c r="G66" s="1">
        <f t="shared" si="19"/>
        <v>0.50173611111111116</v>
      </c>
      <c r="H66" s="1">
        <v>0.4</v>
      </c>
      <c r="I66" s="1">
        <f t="shared" si="20"/>
        <v>1.1666666666666665</v>
      </c>
      <c r="J66" s="1">
        <f t="shared" si="21"/>
        <v>26912500000</v>
      </c>
    </row>
    <row r="67" spans="1:10" x14ac:dyDescent="0.25">
      <c r="B67" s="1">
        <v>56500000000</v>
      </c>
      <c r="C67" s="1">
        <v>44500000000</v>
      </c>
      <c r="D67" s="1">
        <v>2.3999999999999998E-3</v>
      </c>
      <c r="E67">
        <f t="shared" si="22"/>
        <v>-3.0000000000000003E-4</v>
      </c>
      <c r="F67" s="1">
        <v>2</v>
      </c>
      <c r="G67" s="1">
        <f t="shared" si="19"/>
        <v>0.390625</v>
      </c>
      <c r="H67" s="1">
        <v>0.4</v>
      </c>
      <c r="I67" s="1">
        <f t="shared" si="20"/>
        <v>1.5</v>
      </c>
      <c r="J67" s="1">
        <f t="shared" si="21"/>
        <v>21512500000</v>
      </c>
    </row>
    <row r="68" spans="1:10" x14ac:dyDescent="0.25">
      <c r="B68" s="1">
        <v>56500000000</v>
      </c>
      <c r="C68" s="1">
        <v>44500000000</v>
      </c>
      <c r="D68" s="1">
        <v>2.3999999999999998E-3</v>
      </c>
      <c r="E68">
        <f t="shared" si="22"/>
        <v>-1.0000000000000002E-4</v>
      </c>
      <c r="F68" s="1">
        <v>2</v>
      </c>
      <c r="G68" s="1">
        <f t="shared" si="19"/>
        <v>0.29340277777777773</v>
      </c>
      <c r="H68" s="1">
        <v>0.4</v>
      </c>
      <c r="I68" s="1">
        <f t="shared" si="20"/>
        <v>1.8333333333333333</v>
      </c>
      <c r="J68" s="1">
        <f t="shared" si="21"/>
        <v>15945833333.333336</v>
      </c>
    </row>
    <row r="69" spans="1:10" x14ac:dyDescent="0.25">
      <c r="B69" s="1">
        <v>56500000000</v>
      </c>
      <c r="C69" s="1">
        <v>44500000000</v>
      </c>
      <c r="D69" s="1">
        <v>2.3999999999999998E-3</v>
      </c>
      <c r="E69">
        <f t="shared" si="22"/>
        <v>9.9999999999999991E-5</v>
      </c>
      <c r="F69" s="1">
        <v>2</v>
      </c>
      <c r="G69" s="1">
        <f t="shared" si="19"/>
        <v>0.21006944444444442</v>
      </c>
      <c r="H69" s="1">
        <v>0.4</v>
      </c>
      <c r="I69" s="1">
        <f t="shared" si="20"/>
        <v>1.8333333333333333</v>
      </c>
      <c r="J69" s="1">
        <f t="shared" si="21"/>
        <v>16945833333.333336</v>
      </c>
    </row>
    <row r="70" spans="1:10" x14ac:dyDescent="0.25">
      <c r="B70" s="1">
        <v>56500000000</v>
      </c>
      <c r="C70" s="1">
        <v>44500000000</v>
      </c>
      <c r="D70" s="1">
        <v>2.3999999999999998E-3</v>
      </c>
      <c r="E70">
        <f t="shared" si="22"/>
        <v>3.0000000000000003E-4</v>
      </c>
      <c r="F70" s="1">
        <v>2</v>
      </c>
      <c r="G70" s="1">
        <f t="shared" si="19"/>
        <v>0.140625</v>
      </c>
      <c r="H70" s="1">
        <v>0.4</v>
      </c>
      <c r="I70" s="1">
        <f t="shared" si="20"/>
        <v>1.5</v>
      </c>
      <c r="J70" s="1">
        <f t="shared" si="21"/>
        <v>24512500000</v>
      </c>
    </row>
    <row r="71" spans="1:10" x14ac:dyDescent="0.25">
      <c r="B71" s="1">
        <v>56500000000</v>
      </c>
      <c r="C71" s="1">
        <v>44500000000</v>
      </c>
      <c r="D71" s="1">
        <v>2.3999999999999998E-3</v>
      </c>
      <c r="E71">
        <f t="shared" si="22"/>
        <v>5.0000000000000001E-4</v>
      </c>
      <c r="F71" s="1">
        <v>2</v>
      </c>
      <c r="G71" s="1">
        <f t="shared" si="19"/>
        <v>8.506944444444442E-2</v>
      </c>
      <c r="H71" s="1">
        <v>0.4</v>
      </c>
      <c r="I71" s="1">
        <f t="shared" si="20"/>
        <v>1.1666666666666665</v>
      </c>
      <c r="J71" s="1">
        <f t="shared" si="21"/>
        <v>31912500000</v>
      </c>
    </row>
    <row r="72" spans="1:10" x14ac:dyDescent="0.25">
      <c r="B72" s="1">
        <v>56500000000</v>
      </c>
      <c r="C72" s="1">
        <v>44500000000</v>
      </c>
      <c r="D72" s="1">
        <v>2.3999999999999998E-3</v>
      </c>
      <c r="E72">
        <f t="shared" si="22"/>
        <v>6.9999999999999999E-4</v>
      </c>
      <c r="F72" s="1">
        <v>2</v>
      </c>
      <c r="G72" s="1">
        <f t="shared" si="19"/>
        <v>4.3402777777777769E-2</v>
      </c>
      <c r="H72" s="1">
        <v>0.4</v>
      </c>
      <c r="I72" s="1">
        <f t="shared" si="20"/>
        <v>0.83333333333333326</v>
      </c>
      <c r="J72" s="1">
        <f t="shared" si="21"/>
        <v>39145833333.333328</v>
      </c>
    </row>
    <row r="73" spans="1:10" x14ac:dyDescent="0.25">
      <c r="B73" s="1">
        <v>56500000000</v>
      </c>
      <c r="C73" s="1">
        <v>44500000000</v>
      </c>
      <c r="D73" s="1">
        <v>2.3999999999999998E-3</v>
      </c>
      <c r="E73">
        <f t="shared" si="22"/>
        <v>8.9999999999999998E-4</v>
      </c>
      <c r="F73" s="1">
        <v>2</v>
      </c>
      <c r="G73" s="1">
        <f t="shared" si="19"/>
        <v>1.5625E-2</v>
      </c>
      <c r="H73" s="1">
        <v>0.4</v>
      </c>
      <c r="I73" s="1">
        <f t="shared" si="20"/>
        <v>0.5</v>
      </c>
      <c r="J73" s="1">
        <f t="shared" si="21"/>
        <v>46212500000</v>
      </c>
    </row>
    <row r="74" spans="1:10" x14ac:dyDescent="0.25">
      <c r="B74" s="1">
        <v>56500000000</v>
      </c>
      <c r="C74" s="1">
        <v>44500000000</v>
      </c>
      <c r="D74" s="1">
        <v>2.3999999999999998E-3</v>
      </c>
      <c r="E74" s="13">
        <v>1.1000000000000001E-3</v>
      </c>
      <c r="F74" s="1">
        <v>2</v>
      </c>
      <c r="G74" s="1">
        <f t="shared" si="19"/>
        <v>1.7361111111111034E-3</v>
      </c>
      <c r="H74" s="1">
        <v>0.4</v>
      </c>
      <c r="I74" s="1">
        <f t="shared" si="20"/>
        <v>0.1666666666666663</v>
      </c>
      <c r="J74" s="1">
        <f t="shared" si="21"/>
        <v>53112500000.000008</v>
      </c>
    </row>
    <row r="75" spans="1:10" x14ac:dyDescent="0.25">
      <c r="B75" s="1"/>
      <c r="D75" s="1"/>
      <c r="F75" s="1"/>
      <c r="H75" s="1"/>
    </row>
    <row r="76" spans="1:10" x14ac:dyDescent="0.25">
      <c r="B76" s="1"/>
      <c r="D76" s="1"/>
      <c r="F76" s="1"/>
      <c r="H76" s="1"/>
    </row>
    <row r="78" spans="1:10" x14ac:dyDescent="0.25">
      <c r="A78" s="9" t="s">
        <v>33</v>
      </c>
      <c r="B78" s="2" t="s">
        <v>221</v>
      </c>
      <c r="C78" s="2" t="s">
        <v>220</v>
      </c>
      <c r="D78" s="2" t="s">
        <v>106</v>
      </c>
      <c r="E78" s="2" t="s">
        <v>107</v>
      </c>
      <c r="F78" s="2" t="s">
        <v>108</v>
      </c>
      <c r="G78" s="2" t="s">
        <v>109</v>
      </c>
      <c r="H78" s="2" t="s">
        <v>114</v>
      </c>
      <c r="I78" s="2" t="s">
        <v>111</v>
      </c>
      <c r="J78" s="2" t="s">
        <v>112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v>-1.1000000000000001E-3</v>
      </c>
      <c r="F79" s="1">
        <v>2</v>
      </c>
      <c r="G79" s="1">
        <f>(0.5-E79/D79)^F79</f>
        <v>0.91840277777777801</v>
      </c>
      <c r="H79" s="1">
        <v>0.4</v>
      </c>
      <c r="I79" s="1">
        <f>2*(1-2*ABS(E79)/D79)</f>
        <v>0.1666666666666663</v>
      </c>
      <c r="J79" s="1">
        <f>(C79-B79)*G79+B79-(B79+C79)*(H79/2)*I79</f>
        <v>48188958333.333344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>
        <f>-0.001+0.0001</f>
        <v>-8.9999999999999998E-4</v>
      </c>
      <c r="F80" s="1">
        <v>2</v>
      </c>
      <c r="G80" s="1">
        <f t="shared" ref="G80:G90" si="23">(0.5-E80/D80)^F80</f>
        <v>0.765625</v>
      </c>
      <c r="H80" s="1">
        <v>0.4</v>
      </c>
      <c r="I80" s="1">
        <f t="shared" ref="I80:I90" si="24">2*(1-2*ABS(E80)/D80)</f>
        <v>0.5</v>
      </c>
      <c r="J80" s="1">
        <f t="shared" ref="J80:J90" si="25">(C80-B80)*G80+B80-(B80+C80)*(H80/2)*I80</f>
        <v>41360625000</v>
      </c>
    </row>
    <row r="81" spans="1:10" x14ac:dyDescent="0.25">
      <c r="B81" s="1">
        <v>52200000000</v>
      </c>
      <c r="C81" s="1">
        <v>51600000000</v>
      </c>
      <c r="D81" s="1">
        <v>2.3999999999999998E-3</v>
      </c>
      <c r="E81">
        <f>E80+0.0002</f>
        <v>-6.9999999999999999E-4</v>
      </c>
      <c r="F81" s="1">
        <v>2</v>
      </c>
      <c r="G81" s="1">
        <f t="shared" si="23"/>
        <v>0.62673611111111127</v>
      </c>
      <c r="H81" s="1">
        <v>0.4</v>
      </c>
      <c r="I81" s="1">
        <f t="shared" si="24"/>
        <v>0.83333333333333326</v>
      </c>
      <c r="J81" s="1">
        <f t="shared" si="25"/>
        <v>34523958333.333336</v>
      </c>
    </row>
    <row r="82" spans="1:10" x14ac:dyDescent="0.25">
      <c r="B82" s="1">
        <v>52200000000</v>
      </c>
      <c r="C82" s="1">
        <v>51600000000</v>
      </c>
      <c r="D82" s="1">
        <v>2.3999999999999998E-3</v>
      </c>
      <c r="E82">
        <f t="shared" ref="E82:E89" si="26">E81+0.0002</f>
        <v>-5.0000000000000001E-4</v>
      </c>
      <c r="F82" s="1">
        <v>2</v>
      </c>
      <c r="G82" s="1">
        <f t="shared" si="23"/>
        <v>0.50173611111111116</v>
      </c>
      <c r="H82" s="1">
        <v>0.4</v>
      </c>
      <c r="I82" s="1">
        <f t="shared" si="24"/>
        <v>1.1666666666666665</v>
      </c>
      <c r="J82" s="1">
        <f t="shared" si="25"/>
        <v>27678958333.33334</v>
      </c>
    </row>
    <row r="83" spans="1:10" x14ac:dyDescent="0.25">
      <c r="B83" s="1">
        <v>52200000000</v>
      </c>
      <c r="C83" s="1">
        <v>51600000000</v>
      </c>
      <c r="D83" s="1">
        <v>2.3999999999999998E-3</v>
      </c>
      <c r="E83">
        <f t="shared" si="26"/>
        <v>-3.0000000000000003E-4</v>
      </c>
      <c r="F83" s="1">
        <v>2</v>
      </c>
      <c r="G83" s="1">
        <f t="shared" si="23"/>
        <v>0.390625</v>
      </c>
      <c r="H83" s="1">
        <v>0.4</v>
      </c>
      <c r="I83" s="1">
        <f t="shared" si="24"/>
        <v>1.5</v>
      </c>
      <c r="J83" s="1">
        <f t="shared" si="25"/>
        <v>20825625000</v>
      </c>
    </row>
    <row r="84" spans="1:10" x14ac:dyDescent="0.25">
      <c r="B84" s="1">
        <v>52200000000</v>
      </c>
      <c r="C84" s="1">
        <v>51600000000</v>
      </c>
      <c r="D84" s="1">
        <v>2.3999999999999998E-3</v>
      </c>
      <c r="E84">
        <f t="shared" si="26"/>
        <v>-1.0000000000000002E-4</v>
      </c>
      <c r="F84" s="1">
        <v>2</v>
      </c>
      <c r="G84" s="1">
        <f t="shared" si="23"/>
        <v>0.29340277777777773</v>
      </c>
      <c r="H84" s="1">
        <v>0.4</v>
      </c>
      <c r="I84" s="1">
        <f t="shared" si="24"/>
        <v>1.8333333333333333</v>
      </c>
      <c r="J84" s="1">
        <f t="shared" si="25"/>
        <v>13963958333.333336</v>
      </c>
    </row>
    <row r="85" spans="1:10" x14ac:dyDescent="0.25">
      <c r="B85" s="1">
        <v>52200000000</v>
      </c>
      <c r="C85" s="1">
        <v>51600000000</v>
      </c>
      <c r="D85" s="1">
        <v>2.3999999999999998E-3</v>
      </c>
      <c r="E85">
        <f t="shared" si="26"/>
        <v>9.9999999999999991E-5</v>
      </c>
      <c r="F85" s="1">
        <v>2</v>
      </c>
      <c r="G85" s="1">
        <f t="shared" si="23"/>
        <v>0.21006944444444442</v>
      </c>
      <c r="H85" s="1">
        <v>0.4</v>
      </c>
      <c r="I85" s="1">
        <f t="shared" si="24"/>
        <v>1.8333333333333333</v>
      </c>
      <c r="J85" s="1">
        <f t="shared" si="25"/>
        <v>14013958333.333336</v>
      </c>
    </row>
    <row r="86" spans="1:10" x14ac:dyDescent="0.25">
      <c r="B86" s="1">
        <v>52200000000</v>
      </c>
      <c r="C86" s="1">
        <v>51600000000</v>
      </c>
      <c r="D86" s="1">
        <v>2.3999999999999998E-3</v>
      </c>
      <c r="E86">
        <f t="shared" si="26"/>
        <v>3.0000000000000003E-4</v>
      </c>
      <c r="F86" s="1">
        <v>2</v>
      </c>
      <c r="G86" s="1">
        <f t="shared" si="23"/>
        <v>0.140625</v>
      </c>
      <c r="H86" s="1">
        <v>0.4</v>
      </c>
      <c r="I86" s="1">
        <f t="shared" si="24"/>
        <v>1.5</v>
      </c>
      <c r="J86" s="1">
        <f t="shared" si="25"/>
        <v>20975625000</v>
      </c>
    </row>
    <row r="87" spans="1:10" x14ac:dyDescent="0.25">
      <c r="B87" s="1">
        <v>52200000000</v>
      </c>
      <c r="C87" s="1">
        <v>51600000000</v>
      </c>
      <c r="D87" s="1">
        <v>2.3999999999999998E-3</v>
      </c>
      <c r="E87">
        <f t="shared" si="26"/>
        <v>5.0000000000000001E-4</v>
      </c>
      <c r="F87" s="1">
        <v>2</v>
      </c>
      <c r="G87" s="1">
        <f t="shared" si="23"/>
        <v>8.506944444444442E-2</v>
      </c>
      <c r="H87" s="1">
        <v>0.4</v>
      </c>
      <c r="I87" s="1">
        <f t="shared" si="24"/>
        <v>1.1666666666666665</v>
      </c>
      <c r="J87" s="1">
        <f t="shared" si="25"/>
        <v>27928958333.33334</v>
      </c>
    </row>
    <row r="88" spans="1:10" x14ac:dyDescent="0.25">
      <c r="B88" s="1">
        <v>52200000000</v>
      </c>
      <c r="C88" s="1">
        <v>51600000000</v>
      </c>
      <c r="D88" s="1">
        <v>2.3999999999999998E-3</v>
      </c>
      <c r="E88">
        <f t="shared" si="26"/>
        <v>6.9999999999999999E-4</v>
      </c>
      <c r="F88" s="1">
        <v>2</v>
      </c>
      <c r="G88" s="1">
        <f t="shared" si="23"/>
        <v>4.3402777777777769E-2</v>
      </c>
      <c r="H88" s="1">
        <v>0.4</v>
      </c>
      <c r="I88" s="1">
        <f t="shared" si="24"/>
        <v>0.83333333333333326</v>
      </c>
      <c r="J88" s="1">
        <f t="shared" si="25"/>
        <v>34873958333.333336</v>
      </c>
    </row>
    <row r="89" spans="1:10" x14ac:dyDescent="0.25">
      <c r="B89" s="1">
        <v>52200000000</v>
      </c>
      <c r="C89" s="1">
        <v>51600000000</v>
      </c>
      <c r="D89" s="1">
        <v>2.3999999999999998E-3</v>
      </c>
      <c r="E89">
        <f t="shared" si="26"/>
        <v>8.9999999999999998E-4</v>
      </c>
      <c r="F89" s="1">
        <v>2</v>
      </c>
      <c r="G89" s="1">
        <f t="shared" si="23"/>
        <v>1.5625E-2</v>
      </c>
      <c r="H89" s="1">
        <v>0.4</v>
      </c>
      <c r="I89" s="1">
        <f t="shared" si="24"/>
        <v>0.5</v>
      </c>
      <c r="J89" s="1">
        <f t="shared" si="25"/>
        <v>41810625000</v>
      </c>
    </row>
    <row r="90" spans="1:10" x14ac:dyDescent="0.25">
      <c r="B90" s="1">
        <v>52200000000</v>
      </c>
      <c r="C90" s="1">
        <v>51600000000</v>
      </c>
      <c r="D90" s="1">
        <v>2.3999999999999998E-3</v>
      </c>
      <c r="E90" s="13">
        <v>1.1000000000000001E-3</v>
      </c>
      <c r="F90" s="1">
        <v>2</v>
      </c>
      <c r="G90" s="1">
        <f t="shared" si="23"/>
        <v>1.7361111111111034E-3</v>
      </c>
      <c r="H90" s="1">
        <v>0.4</v>
      </c>
      <c r="I90" s="1">
        <f t="shared" si="24"/>
        <v>0.1666666666666663</v>
      </c>
      <c r="J90" s="1">
        <f t="shared" si="25"/>
        <v>48738958333.333344</v>
      </c>
    </row>
    <row r="92" spans="1:10" x14ac:dyDescent="0.25">
      <c r="A92" s="9" t="s">
        <v>115</v>
      </c>
      <c r="B92" s="2" t="s">
        <v>221</v>
      </c>
      <c r="C92" s="2" t="s">
        <v>220</v>
      </c>
      <c r="D92" s="2" t="s">
        <v>106</v>
      </c>
      <c r="E92" s="2" t="s">
        <v>107</v>
      </c>
      <c r="F92" s="2" t="s">
        <v>108</v>
      </c>
      <c r="G92" s="2" t="s">
        <v>109</v>
      </c>
      <c r="H92" s="2" t="s">
        <v>114</v>
      </c>
      <c r="I92" s="2" t="s">
        <v>111</v>
      </c>
      <c r="J92" s="2" t="s">
        <v>112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v>-1.1000000000000001E-3</v>
      </c>
      <c r="F93" s="1">
        <v>2</v>
      </c>
      <c r="G93" s="1">
        <f>(0.5-E93/D93)^F93</f>
        <v>0.91840277777777801</v>
      </c>
      <c r="H93" s="1">
        <v>0.4</v>
      </c>
      <c r="I93" s="1">
        <f>2*(1-2*ABS(E93)/D93)</f>
        <v>0.1666666666666663</v>
      </c>
      <c r="J93" s="1">
        <f>(C93-B93)*G93+B93-(B93+C93)*(H93/2)*I93</f>
        <v>-7.0662121994492116E-11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>
        <f>-0.001+0.0001</f>
        <v>-8.9999999999999998E-4</v>
      </c>
      <c r="F94" s="1">
        <v>2</v>
      </c>
      <c r="G94" s="1">
        <f t="shared" ref="G94:G104" si="27">(0.5-E94/D94)^F94</f>
        <v>0.765625</v>
      </c>
      <c r="H94" s="1">
        <v>0.4</v>
      </c>
      <c r="I94" s="1">
        <f t="shared" ref="I94:I104" si="28">2*(1-2*ABS(E94)/D94)</f>
        <v>0.5</v>
      </c>
      <c r="J94" s="1">
        <f t="shared" ref="J94:J104" si="29">(C94-B94)*G94+B94-(B94+C94)*(H94/2)*I94</f>
        <v>-5.3142129408960904E-11</v>
      </c>
    </row>
    <row r="95" spans="1:10" x14ac:dyDescent="0.25">
      <c r="B95">
        <v>0</v>
      </c>
      <c r="C95" s="1">
        <v>-7.9837940896091497E-11</v>
      </c>
      <c r="D95" s="1">
        <v>2.3999999999999998E-3</v>
      </c>
      <c r="E95">
        <f>E94+0.0002</f>
        <v>-6.9999999999999999E-4</v>
      </c>
      <c r="F95" s="1">
        <v>2</v>
      </c>
      <c r="G95" s="1">
        <f t="shared" si="27"/>
        <v>0.62673611111111127</v>
      </c>
      <c r="H95" s="1">
        <v>0.4</v>
      </c>
      <c r="I95" s="1">
        <f t="shared" si="28"/>
        <v>0.83333333333333326</v>
      </c>
      <c r="J95" s="1">
        <f t="shared" si="29"/>
        <v>-3.6730997113653219E-11</v>
      </c>
    </row>
    <row r="96" spans="1:10" x14ac:dyDescent="0.25">
      <c r="B96">
        <v>0</v>
      </c>
      <c r="C96" s="1">
        <v>-7.9837940896091497E-11</v>
      </c>
      <c r="D96" s="1">
        <v>2.3999999999999998E-3</v>
      </c>
      <c r="E96">
        <f t="shared" ref="E96:E103" si="30">E95+0.0002</f>
        <v>-5.0000000000000001E-4</v>
      </c>
      <c r="F96" s="1">
        <v>2</v>
      </c>
      <c r="G96" s="1">
        <f t="shared" si="27"/>
        <v>0.50173611111111116</v>
      </c>
      <c r="H96" s="1">
        <v>0.4</v>
      </c>
      <c r="I96" s="1">
        <f t="shared" si="28"/>
        <v>1.1666666666666665</v>
      </c>
      <c r="J96" s="1">
        <f t="shared" si="29"/>
        <v>-2.1428725108569004E-11</v>
      </c>
    </row>
    <row r="97" spans="1:10" x14ac:dyDescent="0.25">
      <c r="B97">
        <v>0</v>
      </c>
      <c r="C97" s="1">
        <v>-7.9837940896091497E-11</v>
      </c>
      <c r="D97" s="1">
        <v>2.3999999999999998E-3</v>
      </c>
      <c r="E97">
        <f t="shared" si="30"/>
        <v>-3.0000000000000003E-4</v>
      </c>
      <c r="F97" s="1">
        <v>2</v>
      </c>
      <c r="G97" s="1">
        <f t="shared" si="27"/>
        <v>0.390625</v>
      </c>
      <c r="H97" s="1">
        <v>0.4</v>
      </c>
      <c r="I97" s="1">
        <f t="shared" si="28"/>
        <v>1.5</v>
      </c>
      <c r="J97" s="1">
        <f t="shared" si="29"/>
        <v>-7.2353133937082911E-12</v>
      </c>
    </row>
    <row r="98" spans="1:10" x14ac:dyDescent="0.25">
      <c r="B98">
        <v>0</v>
      </c>
      <c r="C98" s="1">
        <v>-7.9837940896091497E-11</v>
      </c>
      <c r="D98" s="1">
        <v>2.3999999999999998E-3</v>
      </c>
      <c r="E98">
        <f t="shared" si="30"/>
        <v>-1.0000000000000002E-4</v>
      </c>
      <c r="F98" s="1">
        <v>2</v>
      </c>
      <c r="G98" s="1">
        <f t="shared" si="27"/>
        <v>0.29340277777777773</v>
      </c>
      <c r="H98" s="1">
        <v>0.4</v>
      </c>
      <c r="I98" s="1">
        <f t="shared" si="28"/>
        <v>1.8333333333333333</v>
      </c>
      <c r="J98" s="1">
        <f t="shared" si="29"/>
        <v>5.84923803092893E-12</v>
      </c>
    </row>
    <row r="99" spans="1:10" x14ac:dyDescent="0.25">
      <c r="B99">
        <v>0</v>
      </c>
      <c r="C99" s="1">
        <v>-7.9837940896091497E-11</v>
      </c>
      <c r="D99" s="1">
        <v>2.3999999999999998E-3</v>
      </c>
      <c r="E99">
        <f t="shared" si="30"/>
        <v>9.9999999999999991E-5</v>
      </c>
      <c r="F99" s="1">
        <v>2</v>
      </c>
      <c r="G99" s="1">
        <f t="shared" si="27"/>
        <v>0.21006944444444442</v>
      </c>
      <c r="H99" s="1">
        <v>0.4</v>
      </c>
      <c r="I99" s="1">
        <f t="shared" si="28"/>
        <v>1.8333333333333333</v>
      </c>
      <c r="J99" s="1">
        <f t="shared" si="29"/>
        <v>1.2502399772269886E-11</v>
      </c>
    </row>
    <row r="100" spans="1:10" x14ac:dyDescent="0.25">
      <c r="B100">
        <v>0</v>
      </c>
      <c r="C100" s="1">
        <v>-7.9837940896091497E-11</v>
      </c>
      <c r="D100" s="1">
        <v>2.3999999999999998E-3</v>
      </c>
      <c r="E100">
        <f t="shared" si="30"/>
        <v>3.0000000000000003E-4</v>
      </c>
      <c r="F100" s="1">
        <v>2</v>
      </c>
      <c r="G100" s="1">
        <f t="shared" si="27"/>
        <v>0.140625</v>
      </c>
      <c r="H100" s="1">
        <v>0.4</v>
      </c>
      <c r="I100" s="1">
        <f t="shared" si="28"/>
        <v>1.5</v>
      </c>
      <c r="J100" s="1">
        <f t="shared" si="29"/>
        <v>1.2724171830314585E-11</v>
      </c>
    </row>
    <row r="101" spans="1:10" x14ac:dyDescent="0.25">
      <c r="B101">
        <v>0</v>
      </c>
      <c r="C101" s="1">
        <v>-7.9837940896091497E-11</v>
      </c>
      <c r="D101" s="1">
        <v>2.3999999999999998E-3</v>
      </c>
      <c r="E101">
        <f t="shared" si="30"/>
        <v>5.0000000000000001E-4</v>
      </c>
      <c r="F101" s="1">
        <v>2</v>
      </c>
      <c r="G101" s="1">
        <f t="shared" si="27"/>
        <v>8.506944444444442E-2</v>
      </c>
      <c r="H101" s="1">
        <v>0.4</v>
      </c>
      <c r="I101" s="1">
        <f t="shared" si="28"/>
        <v>1.1666666666666665</v>
      </c>
      <c r="J101" s="1">
        <f t="shared" si="29"/>
        <v>1.1837083598135788E-11</v>
      </c>
    </row>
    <row r="102" spans="1:10" x14ac:dyDescent="0.25">
      <c r="B102">
        <v>0</v>
      </c>
      <c r="C102" s="1">
        <v>-7.9837940896091497E-11</v>
      </c>
      <c r="D102" s="1">
        <v>2.3999999999999998E-3</v>
      </c>
      <c r="E102">
        <f t="shared" si="30"/>
        <v>6.9999999999999999E-4</v>
      </c>
      <c r="F102" s="1">
        <v>2</v>
      </c>
      <c r="G102" s="1">
        <f t="shared" si="27"/>
        <v>4.3402777777777769E-2</v>
      </c>
      <c r="H102" s="1">
        <v>0.4</v>
      </c>
      <c r="I102" s="1">
        <f t="shared" si="28"/>
        <v>0.83333333333333326</v>
      </c>
      <c r="J102" s="1">
        <f t="shared" si="29"/>
        <v>9.841135075733501E-12</v>
      </c>
    </row>
    <row r="103" spans="1:10" x14ac:dyDescent="0.25">
      <c r="B103">
        <v>0</v>
      </c>
      <c r="C103" s="1">
        <v>-7.9837940896091497E-11</v>
      </c>
      <c r="D103" s="1">
        <v>2.3999999999999998E-3</v>
      </c>
      <c r="E103">
        <f t="shared" si="30"/>
        <v>8.9999999999999998E-4</v>
      </c>
      <c r="F103" s="1">
        <v>2</v>
      </c>
      <c r="G103" s="1">
        <f t="shared" si="27"/>
        <v>1.5625E-2</v>
      </c>
      <c r="H103" s="1">
        <v>0.4</v>
      </c>
      <c r="I103" s="1">
        <f t="shared" si="28"/>
        <v>0.5</v>
      </c>
      <c r="J103" s="1">
        <f t="shared" si="29"/>
        <v>6.7363262631077202E-12</v>
      </c>
    </row>
    <row r="104" spans="1:10" x14ac:dyDescent="0.25">
      <c r="B104">
        <v>0</v>
      </c>
      <c r="C104" s="1">
        <v>-7.9837940896091497E-11</v>
      </c>
      <c r="D104" s="1">
        <v>2.3999999999999998E-3</v>
      </c>
      <c r="E104" s="13">
        <v>1.1000000000000001E-3</v>
      </c>
      <c r="F104" s="1">
        <v>2</v>
      </c>
      <c r="G104" s="1">
        <f t="shared" si="27"/>
        <v>1.7361111111111034E-3</v>
      </c>
      <c r="H104" s="1">
        <v>0.4</v>
      </c>
      <c r="I104" s="1">
        <f t="shared" si="28"/>
        <v>0.1666666666666663</v>
      </c>
      <c r="J104" s="1">
        <f t="shared" si="29"/>
        <v>2.5226571602584412E-12</v>
      </c>
    </row>
    <row r="106" spans="1:10" x14ac:dyDescent="0.25">
      <c r="A106" s="9" t="s">
        <v>39</v>
      </c>
      <c r="B106" s="2" t="s">
        <v>221</v>
      </c>
      <c r="C106" s="2" t="s">
        <v>220</v>
      </c>
      <c r="D106" s="2" t="s">
        <v>106</v>
      </c>
      <c r="E106" s="2" t="s">
        <v>107</v>
      </c>
      <c r="F106" s="2" t="s">
        <v>108</v>
      </c>
      <c r="G106" s="2" t="s">
        <v>109</v>
      </c>
      <c r="H106" s="2" t="s">
        <v>114</v>
      </c>
      <c r="I106" s="2" t="s">
        <v>111</v>
      </c>
      <c r="J106" s="2" t="s">
        <v>112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v>-1.1000000000000001E-3</v>
      </c>
      <c r="F107" s="1">
        <v>2</v>
      </c>
      <c r="G107" s="1">
        <f>(0.5-E107/D107)^F107</f>
        <v>0.91840277777777801</v>
      </c>
      <c r="H107" s="1">
        <v>0.4</v>
      </c>
      <c r="I107" s="1">
        <f>2*(1-2*ABS(E107)/D107)</f>
        <v>0.1666666666666663</v>
      </c>
      <c r="J107" s="1">
        <f>(C107-B107)*G107+B107-(B107+C107)*(H107/2)*I107</f>
        <v>6.6817279942279635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>
        <f>-0.001+0.0001</f>
        <v>-8.9999999999999998E-4</v>
      </c>
      <c r="F108" s="1">
        <v>2</v>
      </c>
      <c r="G108" s="1">
        <f t="shared" ref="G108:G118" si="31">(0.5-E108/D108)^F108</f>
        <v>0.765625</v>
      </c>
      <c r="H108" s="1">
        <v>0.4</v>
      </c>
      <c r="I108" s="1">
        <f t="shared" ref="I108:I118" si="32">2*(1-2*ABS(E108)/D108)</f>
        <v>0.5</v>
      </c>
      <c r="J108" s="1">
        <f t="shared" ref="J108:J118" si="33">(C108-B108)*G108+B108-(B108+C108)*(H108/2)*I108</f>
        <v>18.603084415584412</v>
      </c>
    </row>
    <row r="109" spans="1:10" x14ac:dyDescent="0.25">
      <c r="B109" s="1">
        <v>138.44155844155841</v>
      </c>
      <c r="C109" s="1">
        <v>0</v>
      </c>
      <c r="D109" s="1">
        <v>2.3999999999999998E-3</v>
      </c>
      <c r="E109">
        <f>E108+0.0002</f>
        <v>-6.9999999999999999E-4</v>
      </c>
      <c r="F109" s="1">
        <v>2</v>
      </c>
      <c r="G109" s="1">
        <f t="shared" si="31"/>
        <v>0.62673611111111127</v>
      </c>
      <c r="H109" s="1">
        <v>0.4</v>
      </c>
      <c r="I109" s="1">
        <f t="shared" si="32"/>
        <v>0.83333333333333326</v>
      </c>
      <c r="J109" s="1">
        <f t="shared" si="33"/>
        <v>28.601641414141387</v>
      </c>
    </row>
    <row r="110" spans="1:10" x14ac:dyDescent="0.25">
      <c r="B110" s="1">
        <v>138.44155844155841</v>
      </c>
      <c r="C110" s="1">
        <v>0</v>
      </c>
      <c r="D110" s="1">
        <v>2.3999999999999998E-3</v>
      </c>
      <c r="E110">
        <f t="shared" ref="E110:E117" si="34">E109+0.0002</f>
        <v>-5.0000000000000001E-4</v>
      </c>
      <c r="F110" s="1">
        <v>2</v>
      </c>
      <c r="G110" s="1">
        <f t="shared" si="31"/>
        <v>0.50173611111111116</v>
      </c>
      <c r="H110" s="1">
        <v>0.4</v>
      </c>
      <c r="I110" s="1">
        <f t="shared" si="32"/>
        <v>1.1666666666666665</v>
      </c>
      <c r="J110" s="1">
        <f t="shared" si="33"/>
        <v>36.677398989898975</v>
      </c>
    </row>
    <row r="111" spans="1:10" x14ac:dyDescent="0.25">
      <c r="B111" s="1">
        <v>138.44155844155841</v>
      </c>
      <c r="C111" s="1">
        <v>0</v>
      </c>
      <c r="D111" s="1">
        <v>2.3999999999999998E-3</v>
      </c>
      <c r="E111">
        <f t="shared" si="34"/>
        <v>-3.0000000000000003E-4</v>
      </c>
      <c r="F111" s="1">
        <v>2</v>
      </c>
      <c r="G111" s="1">
        <f t="shared" si="31"/>
        <v>0.390625</v>
      </c>
      <c r="H111" s="1">
        <v>0.4</v>
      </c>
      <c r="I111" s="1">
        <f t="shared" si="32"/>
        <v>1.5</v>
      </c>
      <c r="J111" s="1">
        <f t="shared" si="33"/>
        <v>42.830357142857132</v>
      </c>
    </row>
    <row r="112" spans="1:10" x14ac:dyDescent="0.25">
      <c r="B112" s="1">
        <v>138.44155844155841</v>
      </c>
      <c r="C112" s="1">
        <v>0</v>
      </c>
      <c r="D112" s="1">
        <v>2.3999999999999998E-3</v>
      </c>
      <c r="E112">
        <f t="shared" si="34"/>
        <v>-1.0000000000000002E-4</v>
      </c>
      <c r="F112" s="1">
        <v>2</v>
      </c>
      <c r="G112" s="1">
        <f t="shared" si="31"/>
        <v>0.29340277777777773</v>
      </c>
      <c r="H112" s="1">
        <v>0.4</v>
      </c>
      <c r="I112" s="1">
        <f t="shared" si="32"/>
        <v>1.8333333333333333</v>
      </c>
      <c r="J112" s="1">
        <f t="shared" si="33"/>
        <v>47.060515873015866</v>
      </c>
    </row>
    <row r="113" spans="1:10" x14ac:dyDescent="0.25">
      <c r="B113" s="1">
        <v>138.44155844155841</v>
      </c>
      <c r="C113" s="1">
        <v>0</v>
      </c>
      <c r="D113" s="1">
        <v>2.3999999999999998E-3</v>
      </c>
      <c r="E113">
        <f t="shared" si="34"/>
        <v>9.9999999999999991E-5</v>
      </c>
      <c r="F113" s="1">
        <v>2</v>
      </c>
      <c r="G113" s="1">
        <f t="shared" si="31"/>
        <v>0.21006944444444442</v>
      </c>
      <c r="H113" s="1">
        <v>0.4</v>
      </c>
      <c r="I113" s="1">
        <f t="shared" si="32"/>
        <v>1.8333333333333333</v>
      </c>
      <c r="J113" s="1">
        <f t="shared" si="33"/>
        <v>58.597312409812396</v>
      </c>
    </row>
    <row r="114" spans="1:10" x14ac:dyDescent="0.25">
      <c r="B114" s="1">
        <v>138.44155844155841</v>
      </c>
      <c r="C114" s="1">
        <v>0</v>
      </c>
      <c r="D114" s="1">
        <v>2.3999999999999998E-3</v>
      </c>
      <c r="E114">
        <f t="shared" si="34"/>
        <v>3.0000000000000003E-4</v>
      </c>
      <c r="F114" s="1">
        <v>2</v>
      </c>
      <c r="G114" s="1">
        <f t="shared" si="31"/>
        <v>0.140625</v>
      </c>
      <c r="H114" s="1">
        <v>0.4</v>
      </c>
      <c r="I114" s="1">
        <f t="shared" si="32"/>
        <v>1.5</v>
      </c>
      <c r="J114" s="1">
        <f t="shared" si="33"/>
        <v>77.440746753246742</v>
      </c>
    </row>
    <row r="115" spans="1:10" x14ac:dyDescent="0.25">
      <c r="B115" s="1">
        <v>138.44155844155841</v>
      </c>
      <c r="C115" s="1">
        <v>0</v>
      </c>
      <c r="D115" s="1">
        <v>2.3999999999999998E-3</v>
      </c>
      <c r="E115">
        <f t="shared" si="34"/>
        <v>5.0000000000000001E-4</v>
      </c>
      <c r="F115" s="1">
        <v>2</v>
      </c>
      <c r="G115" s="1">
        <f t="shared" si="31"/>
        <v>8.506944444444442E-2</v>
      </c>
      <c r="H115" s="1">
        <v>0.4</v>
      </c>
      <c r="I115" s="1">
        <f t="shared" si="32"/>
        <v>1.1666666666666665</v>
      </c>
      <c r="J115" s="1">
        <f t="shared" si="33"/>
        <v>94.361381673881652</v>
      </c>
    </row>
    <row r="116" spans="1:10" x14ac:dyDescent="0.25">
      <c r="B116" s="1">
        <v>138.44155844155841</v>
      </c>
      <c r="C116" s="1">
        <v>0</v>
      </c>
      <c r="D116" s="1">
        <v>2.3999999999999998E-3</v>
      </c>
      <c r="E116">
        <f t="shared" si="34"/>
        <v>6.9999999999999999E-4</v>
      </c>
      <c r="F116" s="1">
        <v>2</v>
      </c>
      <c r="G116" s="1">
        <f t="shared" si="31"/>
        <v>4.3402777777777769E-2</v>
      </c>
      <c r="H116" s="1">
        <v>0.4</v>
      </c>
      <c r="I116" s="1">
        <f t="shared" si="32"/>
        <v>0.83333333333333326</v>
      </c>
      <c r="J116" s="1">
        <f t="shared" si="33"/>
        <v>109.35921717171713</v>
      </c>
    </row>
    <row r="117" spans="1:10" x14ac:dyDescent="0.25">
      <c r="B117" s="1">
        <v>138.44155844155841</v>
      </c>
      <c r="C117" s="1">
        <v>0</v>
      </c>
      <c r="D117" s="1">
        <v>2.3999999999999998E-3</v>
      </c>
      <c r="E117">
        <f t="shared" si="34"/>
        <v>8.9999999999999998E-4</v>
      </c>
      <c r="F117" s="1">
        <v>2</v>
      </c>
      <c r="G117" s="1">
        <f t="shared" si="31"/>
        <v>1.5625E-2</v>
      </c>
      <c r="H117" s="1">
        <v>0.4</v>
      </c>
      <c r="I117" s="1">
        <f t="shared" si="32"/>
        <v>0.5</v>
      </c>
      <c r="J117" s="1">
        <f t="shared" si="33"/>
        <v>122.43425324675323</v>
      </c>
    </row>
    <row r="118" spans="1:10" x14ac:dyDescent="0.25">
      <c r="B118" s="1">
        <v>138.44155844155841</v>
      </c>
      <c r="C118" s="1">
        <v>0</v>
      </c>
      <c r="D118" s="1">
        <v>2.3999999999999998E-3</v>
      </c>
      <c r="E118" s="13">
        <v>1.1000000000000001E-3</v>
      </c>
      <c r="F118" s="1">
        <v>2</v>
      </c>
      <c r="G118" s="1">
        <f t="shared" si="31"/>
        <v>1.7361111111111034E-3</v>
      </c>
      <c r="H118" s="1">
        <v>0.4</v>
      </c>
      <c r="I118" s="1">
        <f t="shared" si="32"/>
        <v>0.1666666666666663</v>
      </c>
      <c r="J118" s="1">
        <f t="shared" si="33"/>
        <v>133.58648989898987</v>
      </c>
    </row>
    <row r="120" spans="1:10" x14ac:dyDescent="0.25">
      <c r="A120" s="9" t="s">
        <v>41</v>
      </c>
      <c r="B120" s="2" t="s">
        <v>221</v>
      </c>
      <c r="C120" s="2" t="s">
        <v>220</v>
      </c>
      <c r="D120" s="2" t="s">
        <v>106</v>
      </c>
      <c r="E120" s="2" t="s">
        <v>107</v>
      </c>
      <c r="F120" s="2" t="s">
        <v>108</v>
      </c>
      <c r="G120" s="2" t="s">
        <v>109</v>
      </c>
      <c r="H120" s="2" t="s">
        <v>114</v>
      </c>
      <c r="I120" s="2" t="s">
        <v>111</v>
      </c>
      <c r="J120" s="2" t="s">
        <v>112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v>-1.1000000000000001E-3</v>
      </c>
      <c r="F121" s="1">
        <v>2</v>
      </c>
      <c r="G121" s="1">
        <f>(0.5-E121/D121)^F121</f>
        <v>0.91840277777777801</v>
      </c>
      <c r="H121" s="1">
        <v>0.4</v>
      </c>
      <c r="I121" s="1">
        <f>2*(1-2*ABS(E121)/D121)</f>
        <v>0.1666666666666663</v>
      </c>
      <c r="J121" s="1">
        <f>(C121-B121)*G121+B121-(B121+C121)*(H121/2)*I121</f>
        <v>1.3046478510802474E-8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>
        <f>-0.001+0.0001</f>
        <v>-8.9999999999999998E-4</v>
      </c>
      <c r="F122" s="1">
        <v>2</v>
      </c>
      <c r="G122" s="1">
        <f t="shared" ref="G122:G132" si="35">(0.5-E122/D122)^F122</f>
        <v>0.765625</v>
      </c>
      <c r="H122" s="1">
        <v>0.4</v>
      </c>
      <c r="I122" s="1">
        <f t="shared" ref="I122:I132" si="36">2*(1-2*ABS(E122)/D122)</f>
        <v>0.5</v>
      </c>
      <c r="J122" s="1">
        <f t="shared" ref="J122:J132" si="37">(C122-B122)*G122+B122-(B122+C122)*(H122/2)*I122</f>
        <v>9.8208510416666686E-9</v>
      </c>
    </row>
    <row r="123" spans="1:10" x14ac:dyDescent="0.25">
      <c r="B123">
        <v>9.3000000000000002E-11</v>
      </c>
      <c r="C123">
        <v>1.4735555555555557E-8</v>
      </c>
      <c r="D123" s="1">
        <v>2.3999999999999998E-3</v>
      </c>
      <c r="E123">
        <f>E122+0.0002</f>
        <v>-6.9999999999999999E-4</v>
      </c>
      <c r="F123" s="1">
        <v>2</v>
      </c>
      <c r="G123" s="1">
        <f t="shared" si="35"/>
        <v>0.62673611111111127</v>
      </c>
      <c r="H123" s="1">
        <v>0.4</v>
      </c>
      <c r="I123" s="1">
        <f t="shared" si="36"/>
        <v>0.83333333333333326</v>
      </c>
      <c r="J123" s="1">
        <f t="shared" si="37"/>
        <v>6.7985923996913617E-9</v>
      </c>
    </row>
    <row r="124" spans="1:10" x14ac:dyDescent="0.25">
      <c r="B124">
        <v>9.3000000000000002E-11</v>
      </c>
      <c r="C124">
        <v>1.4735555555555557E-8</v>
      </c>
      <c r="D124" s="1">
        <v>2.3999999999999998E-3</v>
      </c>
      <c r="E124">
        <f t="shared" ref="E124:E131" si="38">E123+0.0002</f>
        <v>-5.0000000000000001E-4</v>
      </c>
      <c r="F124" s="1">
        <v>2</v>
      </c>
      <c r="G124" s="1">
        <f t="shared" si="35"/>
        <v>0.50173611111111116</v>
      </c>
      <c r="H124" s="1">
        <v>0.4</v>
      </c>
      <c r="I124" s="1">
        <f t="shared" si="36"/>
        <v>1.1666666666666665</v>
      </c>
      <c r="J124" s="1">
        <f t="shared" si="37"/>
        <v>3.9797025848765454E-9</v>
      </c>
    </row>
    <row r="125" spans="1:10" x14ac:dyDescent="0.25">
      <c r="B125">
        <v>9.3000000000000002E-11</v>
      </c>
      <c r="C125">
        <v>1.4735555555555557E-8</v>
      </c>
      <c r="D125" s="1">
        <v>2.3999999999999998E-3</v>
      </c>
      <c r="E125">
        <f t="shared" si="38"/>
        <v>-3.0000000000000003E-4</v>
      </c>
      <c r="F125" s="1">
        <v>2</v>
      </c>
      <c r="G125" s="1">
        <f t="shared" si="35"/>
        <v>0.390625</v>
      </c>
      <c r="H125" s="1">
        <v>0.4</v>
      </c>
      <c r="I125" s="1">
        <f t="shared" si="36"/>
        <v>1.5</v>
      </c>
      <c r="J125" s="1">
        <f t="shared" si="37"/>
        <v>1.3641815972222223E-9</v>
      </c>
    </row>
    <row r="126" spans="1:10" x14ac:dyDescent="0.25">
      <c r="B126">
        <v>9.3000000000000002E-11</v>
      </c>
      <c r="C126">
        <v>1.4735555555555557E-8</v>
      </c>
      <c r="D126" s="1">
        <v>2.3999999999999998E-3</v>
      </c>
      <c r="E126">
        <f t="shared" si="38"/>
        <v>-1.0000000000000002E-4</v>
      </c>
      <c r="F126" s="1">
        <v>2</v>
      </c>
      <c r="G126" s="1">
        <f t="shared" si="35"/>
        <v>0.29340277777777773</v>
      </c>
      <c r="H126" s="1">
        <v>0.4</v>
      </c>
      <c r="I126" s="1">
        <f t="shared" si="36"/>
        <v>1.8333333333333333</v>
      </c>
      <c r="J126" s="1">
        <f t="shared" si="37"/>
        <v>-1.0479705632716053E-9</v>
      </c>
    </row>
    <row r="127" spans="1:10" x14ac:dyDescent="0.25">
      <c r="B127">
        <v>9.3000000000000002E-11</v>
      </c>
      <c r="C127">
        <v>1.4735555555555557E-8</v>
      </c>
      <c r="D127" s="1">
        <v>2.3999999999999998E-3</v>
      </c>
      <c r="E127">
        <f t="shared" si="38"/>
        <v>9.9999999999999991E-5</v>
      </c>
      <c r="F127" s="1">
        <v>2</v>
      </c>
      <c r="G127" s="1">
        <f t="shared" si="35"/>
        <v>0.21006944444444442</v>
      </c>
      <c r="H127" s="1">
        <v>0.4</v>
      </c>
      <c r="I127" s="1">
        <f t="shared" si="36"/>
        <v>1.8333333333333333</v>
      </c>
      <c r="J127" s="1">
        <f t="shared" si="37"/>
        <v>-2.2681835262345685E-9</v>
      </c>
    </row>
    <row r="128" spans="1:10" x14ac:dyDescent="0.25">
      <c r="B128">
        <v>9.3000000000000002E-11</v>
      </c>
      <c r="C128">
        <v>1.4735555555555557E-8</v>
      </c>
      <c r="D128" s="1">
        <v>2.3999999999999998E-3</v>
      </c>
      <c r="E128">
        <f t="shared" si="38"/>
        <v>3.0000000000000003E-4</v>
      </c>
      <c r="F128" s="1">
        <v>2</v>
      </c>
      <c r="G128" s="1">
        <f t="shared" si="35"/>
        <v>0.140625</v>
      </c>
      <c r="H128" s="1">
        <v>0.4</v>
      </c>
      <c r="I128" s="1">
        <f t="shared" si="36"/>
        <v>1.5</v>
      </c>
      <c r="J128" s="1">
        <f t="shared" si="37"/>
        <v>-2.2964572916666675E-9</v>
      </c>
    </row>
    <row r="129" spans="1:10" x14ac:dyDescent="0.25">
      <c r="B129">
        <v>9.3000000000000002E-11</v>
      </c>
      <c r="C129">
        <v>1.4735555555555557E-8</v>
      </c>
      <c r="D129" s="1">
        <v>2.3999999999999998E-3</v>
      </c>
      <c r="E129">
        <f t="shared" si="38"/>
        <v>5.0000000000000001E-4</v>
      </c>
      <c r="F129" s="1">
        <v>2</v>
      </c>
      <c r="G129" s="1">
        <f t="shared" si="35"/>
        <v>8.506944444444442E-2</v>
      </c>
      <c r="H129" s="1">
        <v>0.4</v>
      </c>
      <c r="I129" s="1">
        <f t="shared" si="36"/>
        <v>1.1666666666666665</v>
      </c>
      <c r="J129" s="1">
        <f t="shared" si="37"/>
        <v>-2.1213622299382721E-9</v>
      </c>
    </row>
    <row r="130" spans="1:10" x14ac:dyDescent="0.25">
      <c r="B130">
        <v>9.3000000000000002E-11</v>
      </c>
      <c r="C130">
        <v>1.4735555555555557E-8</v>
      </c>
      <c r="D130" s="1">
        <v>2.3999999999999998E-3</v>
      </c>
      <c r="E130">
        <f t="shared" si="38"/>
        <v>6.9999999999999999E-4</v>
      </c>
      <c r="F130" s="1">
        <v>2</v>
      </c>
      <c r="G130" s="1">
        <f t="shared" si="35"/>
        <v>4.3402777777777769E-2</v>
      </c>
      <c r="H130" s="1">
        <v>0.4</v>
      </c>
      <c r="I130" s="1">
        <f t="shared" si="36"/>
        <v>0.83333333333333326</v>
      </c>
      <c r="J130" s="1">
        <f t="shared" si="37"/>
        <v>-1.7428983410493829E-9</v>
      </c>
    </row>
    <row r="131" spans="1:10" x14ac:dyDescent="0.25">
      <c r="B131">
        <v>9.3000000000000002E-11</v>
      </c>
      <c r="C131">
        <v>1.4735555555555557E-8</v>
      </c>
      <c r="D131" s="1">
        <v>2.3999999999999998E-3</v>
      </c>
      <c r="E131">
        <f t="shared" si="38"/>
        <v>8.9999999999999998E-4</v>
      </c>
      <c r="F131" s="1">
        <v>2</v>
      </c>
      <c r="G131" s="1">
        <f t="shared" si="35"/>
        <v>1.5625E-2</v>
      </c>
      <c r="H131" s="1">
        <v>0.4</v>
      </c>
      <c r="I131" s="1">
        <f t="shared" si="36"/>
        <v>0.5</v>
      </c>
      <c r="J131" s="1">
        <f t="shared" si="37"/>
        <v>-1.1610656250000003E-9</v>
      </c>
    </row>
    <row r="132" spans="1:10" x14ac:dyDescent="0.25">
      <c r="B132">
        <v>9.3000000000000002E-11</v>
      </c>
      <c r="C132">
        <v>1.4735555555555557E-8</v>
      </c>
      <c r="D132" s="1">
        <v>2.3999999999999998E-3</v>
      </c>
      <c r="E132" s="13">
        <v>1.1000000000000001E-3</v>
      </c>
      <c r="F132" s="1">
        <v>2</v>
      </c>
      <c r="G132" s="1">
        <f t="shared" si="35"/>
        <v>1.7361111111111034E-3</v>
      </c>
      <c r="H132" s="1">
        <v>0.4</v>
      </c>
      <c r="I132" s="1">
        <f t="shared" si="36"/>
        <v>0.1666666666666663</v>
      </c>
      <c r="J132" s="1">
        <f t="shared" si="37"/>
        <v>-3.7586408179012251E-10</v>
      </c>
    </row>
    <row r="133" spans="1:10" x14ac:dyDescent="0.25">
      <c r="A133" s="9" t="s">
        <v>43</v>
      </c>
      <c r="B133" s="2" t="s">
        <v>221</v>
      </c>
      <c r="C133" s="2" t="s">
        <v>220</v>
      </c>
      <c r="D133" s="2" t="s">
        <v>106</v>
      </c>
      <c r="E133" s="2" t="s">
        <v>107</v>
      </c>
      <c r="F133" s="2" t="s">
        <v>108</v>
      </c>
      <c r="G133" s="2" t="s">
        <v>109</v>
      </c>
      <c r="H133" s="2" t="s">
        <v>114</v>
      </c>
      <c r="I133" s="2" t="s">
        <v>111</v>
      </c>
      <c r="J133" s="2" t="s">
        <v>112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v>-1.1000000000000001E-3</v>
      </c>
      <c r="F134" s="1">
        <v>2</v>
      </c>
      <c r="G134" s="1">
        <f>(0.5-E134/D134)^F134</f>
        <v>0.91840277777777801</v>
      </c>
      <c r="H134" s="1">
        <v>0.4</v>
      </c>
      <c r="I134" s="1">
        <f>2*(1-2*ABS(E134)/D134)</f>
        <v>0.1666666666666663</v>
      </c>
      <c r="J134" s="1">
        <f>(C134-B134)*G134+B134-(B134+C134)*(H134/2)*I134</f>
        <v>1.6428124999999981E-5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>
        <f>-0.001+0.0001</f>
        <v>-8.9999999999999998E-4</v>
      </c>
      <c r="F135" s="1">
        <v>2</v>
      </c>
      <c r="G135" s="1">
        <f t="shared" ref="G135:G145" si="39">(0.5-E135/D135)^F135</f>
        <v>0.765625</v>
      </c>
      <c r="H135" s="1">
        <v>0.4</v>
      </c>
      <c r="I135" s="1">
        <f t="shared" ref="I135:I145" si="40">2*(1-2*ABS(E135)/D135)</f>
        <v>0.5</v>
      </c>
      <c r="J135" s="1">
        <f t="shared" ref="J135:J145" si="41">(C135-B135)*G135+B135-(B135+C135)*(H135/2)*I135</f>
        <v>2.7753125000000005E-5</v>
      </c>
    </row>
    <row r="136" spans="1:10" x14ac:dyDescent="0.25">
      <c r="B136" s="1">
        <v>1.5699999999999999E-4</v>
      </c>
      <c r="C136" s="1">
        <v>1.0000000000000001E-5</v>
      </c>
      <c r="D136" s="1">
        <v>2.3999999999999998E-3</v>
      </c>
      <c r="E136">
        <f>E135+0.0002</f>
        <v>-6.9999999999999999E-4</v>
      </c>
      <c r="F136" s="1">
        <v>2</v>
      </c>
      <c r="G136" s="1">
        <f t="shared" si="39"/>
        <v>0.62673611111111127</v>
      </c>
      <c r="H136" s="1">
        <v>0.4</v>
      </c>
      <c r="I136" s="1">
        <f t="shared" si="40"/>
        <v>0.83333333333333326</v>
      </c>
      <c r="J136" s="1">
        <f t="shared" si="41"/>
        <v>3.7036458333333305E-5</v>
      </c>
    </row>
    <row r="137" spans="1:10" x14ac:dyDescent="0.25">
      <c r="B137" s="1">
        <v>1.5699999999999999E-4</v>
      </c>
      <c r="C137" s="1">
        <v>1.0000000000000001E-5</v>
      </c>
      <c r="D137" s="1">
        <v>2.3999999999999998E-3</v>
      </c>
      <c r="E137">
        <f t="shared" ref="E137:E144" si="42">E136+0.0002</f>
        <v>-5.0000000000000001E-4</v>
      </c>
      <c r="F137" s="1">
        <v>2</v>
      </c>
      <c r="G137" s="1">
        <f t="shared" si="39"/>
        <v>0.50173611111111116</v>
      </c>
      <c r="H137" s="1">
        <v>0.4</v>
      </c>
      <c r="I137" s="1">
        <f t="shared" si="40"/>
        <v>1.1666666666666665</v>
      </c>
      <c r="J137" s="1">
        <f t="shared" si="41"/>
        <v>4.4278125000000001E-5</v>
      </c>
    </row>
    <row r="138" spans="1:10" x14ac:dyDescent="0.25">
      <c r="B138" s="1">
        <v>1.5699999999999999E-4</v>
      </c>
      <c r="C138" s="1">
        <v>1.0000000000000001E-5</v>
      </c>
      <c r="D138" s="1">
        <v>2.3999999999999998E-3</v>
      </c>
      <c r="E138">
        <f t="shared" si="42"/>
        <v>-3.0000000000000003E-4</v>
      </c>
      <c r="F138" s="1">
        <v>2</v>
      </c>
      <c r="G138" s="1">
        <f t="shared" si="39"/>
        <v>0.390625</v>
      </c>
      <c r="H138" s="1">
        <v>0.4</v>
      </c>
      <c r="I138" s="1">
        <f t="shared" si="40"/>
        <v>1.5</v>
      </c>
      <c r="J138" s="1">
        <f t="shared" si="41"/>
        <v>4.9478125000000005E-5</v>
      </c>
    </row>
    <row r="139" spans="1:10" x14ac:dyDescent="0.25">
      <c r="B139" s="1">
        <v>1.5699999999999999E-4</v>
      </c>
      <c r="C139" s="1">
        <v>1.0000000000000001E-5</v>
      </c>
      <c r="D139" s="1">
        <v>2.3999999999999998E-3</v>
      </c>
      <c r="E139">
        <f t="shared" si="42"/>
        <v>-1.0000000000000002E-4</v>
      </c>
      <c r="F139" s="1">
        <v>2</v>
      </c>
      <c r="G139" s="1">
        <f t="shared" si="39"/>
        <v>0.29340277777777773</v>
      </c>
      <c r="H139" s="1">
        <v>0.4</v>
      </c>
      <c r="I139" s="1">
        <f t="shared" si="40"/>
        <v>1.8333333333333333</v>
      </c>
      <c r="J139" s="1">
        <f t="shared" si="41"/>
        <v>5.2636458333333338E-5</v>
      </c>
    </row>
    <row r="140" spans="1:10" x14ac:dyDescent="0.25">
      <c r="B140" s="1">
        <v>1.5699999999999999E-4</v>
      </c>
      <c r="C140" s="1">
        <v>1.0000000000000001E-5</v>
      </c>
      <c r="D140" s="1">
        <v>2.3999999999999998E-3</v>
      </c>
      <c r="E140">
        <f t="shared" si="42"/>
        <v>9.9999999999999991E-5</v>
      </c>
      <c r="F140" s="1">
        <v>2</v>
      </c>
      <c r="G140" s="1">
        <f t="shared" si="39"/>
        <v>0.21006944444444442</v>
      </c>
      <c r="H140" s="1">
        <v>0.4</v>
      </c>
      <c r="I140" s="1">
        <f t="shared" si="40"/>
        <v>1.8333333333333333</v>
      </c>
      <c r="J140" s="1">
        <f t="shared" si="41"/>
        <v>6.4886458333333338E-5</v>
      </c>
    </row>
    <row r="141" spans="1:10" x14ac:dyDescent="0.25">
      <c r="B141" s="1">
        <v>1.5699999999999999E-4</v>
      </c>
      <c r="C141" s="1">
        <v>1.0000000000000001E-5</v>
      </c>
      <c r="D141" s="1">
        <v>2.3999999999999998E-3</v>
      </c>
      <c r="E141">
        <f t="shared" si="42"/>
        <v>3.0000000000000003E-4</v>
      </c>
      <c r="F141" s="1">
        <v>2</v>
      </c>
      <c r="G141" s="1">
        <f t="shared" si="39"/>
        <v>0.140625</v>
      </c>
      <c r="H141" s="1">
        <v>0.4</v>
      </c>
      <c r="I141" s="1">
        <f t="shared" si="40"/>
        <v>1.5</v>
      </c>
      <c r="J141" s="1">
        <f t="shared" si="41"/>
        <v>8.6228125000000004E-5</v>
      </c>
    </row>
    <row r="142" spans="1:10" x14ac:dyDescent="0.25">
      <c r="B142" s="1">
        <v>1.5699999999999999E-4</v>
      </c>
      <c r="C142" s="1">
        <v>1.0000000000000001E-5</v>
      </c>
      <c r="D142" s="1">
        <v>2.3999999999999998E-3</v>
      </c>
      <c r="E142">
        <f t="shared" si="42"/>
        <v>5.0000000000000001E-4</v>
      </c>
      <c r="F142" s="1">
        <v>2</v>
      </c>
      <c r="G142" s="1">
        <f t="shared" si="39"/>
        <v>8.506944444444442E-2</v>
      </c>
      <c r="H142" s="1">
        <v>0.4</v>
      </c>
      <c r="I142" s="1">
        <f t="shared" si="40"/>
        <v>1.1666666666666665</v>
      </c>
      <c r="J142" s="1">
        <f t="shared" si="41"/>
        <v>1.05528125E-4</v>
      </c>
    </row>
    <row r="143" spans="1:10" x14ac:dyDescent="0.25">
      <c r="B143" s="1">
        <v>1.5699999999999999E-4</v>
      </c>
      <c r="C143" s="1">
        <v>1.0000000000000001E-5</v>
      </c>
      <c r="D143" s="1">
        <v>2.3999999999999998E-3</v>
      </c>
      <c r="E143">
        <f t="shared" si="42"/>
        <v>6.9999999999999999E-4</v>
      </c>
      <c r="F143" s="1">
        <v>2</v>
      </c>
      <c r="G143" s="1">
        <f t="shared" si="39"/>
        <v>4.3402777777777769E-2</v>
      </c>
      <c r="H143" s="1">
        <v>0.4</v>
      </c>
      <c r="I143" s="1">
        <f t="shared" si="40"/>
        <v>0.83333333333333326</v>
      </c>
      <c r="J143" s="1">
        <f t="shared" si="41"/>
        <v>1.2278645833333334E-4</v>
      </c>
    </row>
    <row r="144" spans="1:10" x14ac:dyDescent="0.25">
      <c r="B144" s="1">
        <v>1.5699999999999999E-4</v>
      </c>
      <c r="C144" s="1">
        <v>1.0000000000000001E-5</v>
      </c>
      <c r="D144" s="1">
        <v>2.3999999999999998E-3</v>
      </c>
      <c r="E144">
        <f t="shared" si="42"/>
        <v>8.9999999999999998E-4</v>
      </c>
      <c r="F144" s="1">
        <v>2</v>
      </c>
      <c r="G144" s="1">
        <f t="shared" si="39"/>
        <v>1.5625E-2</v>
      </c>
      <c r="H144" s="1">
        <v>0.4</v>
      </c>
      <c r="I144" s="1">
        <f t="shared" si="40"/>
        <v>0.5</v>
      </c>
      <c r="J144" s="1">
        <f t="shared" si="41"/>
        <v>1.38003125E-4</v>
      </c>
    </row>
    <row r="145" spans="1:11" x14ac:dyDescent="0.25">
      <c r="B145" s="1">
        <v>1.5699999999999999E-4</v>
      </c>
      <c r="C145" s="1">
        <v>1.0000000000000001E-5</v>
      </c>
      <c r="D145" s="1">
        <v>2.3999999999999998E-3</v>
      </c>
      <c r="E145" s="13">
        <v>1.1000000000000001E-3</v>
      </c>
      <c r="F145" s="1">
        <v>2</v>
      </c>
      <c r="G145" s="1">
        <f t="shared" si="39"/>
        <v>1.7361111111111034E-3</v>
      </c>
      <c r="H145" s="1">
        <v>0.4</v>
      </c>
      <c r="I145" s="1">
        <f t="shared" si="40"/>
        <v>0.1666666666666663</v>
      </c>
      <c r="J145" s="1">
        <f t="shared" si="41"/>
        <v>1.5117812500000001E-4</v>
      </c>
    </row>
    <row r="146" spans="1:11" x14ac:dyDescent="0.25">
      <c r="A146" s="9" t="s">
        <v>98</v>
      </c>
      <c r="B146" s="2" t="s">
        <v>221</v>
      </c>
      <c r="C146" s="2" t="s">
        <v>220</v>
      </c>
      <c r="D146" s="2" t="s">
        <v>106</v>
      </c>
      <c r="E146" s="2" t="s">
        <v>107</v>
      </c>
      <c r="F146" s="2" t="s">
        <v>108</v>
      </c>
      <c r="G146" s="2" t="s">
        <v>109</v>
      </c>
      <c r="H146" s="2" t="s">
        <v>114</v>
      </c>
      <c r="I146" s="2" t="s">
        <v>111</v>
      </c>
      <c r="J146" s="2" t="s">
        <v>112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v>-1.1000000000000001E-3</v>
      </c>
      <c r="F147" s="1">
        <v>1</v>
      </c>
      <c r="G147" s="1">
        <f>(0.5-E147/D147)^F147</f>
        <v>0.95833333333333348</v>
      </c>
      <c r="H147" s="1">
        <v>0.2</v>
      </c>
      <c r="I147" s="1">
        <f>2*(1-2*ABS(E147)/D147)</f>
        <v>0.1666666666666663</v>
      </c>
      <c r="J147" s="1">
        <f>(C147-B147)*G147+B147-(B147+C147)*(H147/2)*I147</f>
        <v>1.5034166666666667E-5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>
        <f>-0.001+0.0001</f>
        <v>-8.9999999999999998E-4</v>
      </c>
      <c r="F148" s="1">
        <v>1</v>
      </c>
      <c r="G148" s="1">
        <f t="shared" ref="G148:G158" si="43">(0.5-E148/D148)^F148</f>
        <v>0.875</v>
      </c>
      <c r="H148" s="1">
        <v>0.2</v>
      </c>
      <c r="I148" s="1">
        <f t="shared" ref="I148:I158" si="44">2*(1-2*ABS(E148)/D148)</f>
        <v>0.5</v>
      </c>
      <c r="J148" s="1">
        <f t="shared" ref="J148:J158" si="45">(C148-B148)*G148+B148-(B148+C148)*(H148/2)*I148</f>
        <v>1.3702499999999998E-5</v>
      </c>
    </row>
    <row r="149" spans="1:11" x14ac:dyDescent="0.25">
      <c r="B149" s="1">
        <v>1.0000000000000001E-5</v>
      </c>
      <c r="C149" s="1">
        <v>1.5699999999999999E-5</v>
      </c>
      <c r="D149" s="1">
        <v>2.3999999999999998E-3</v>
      </c>
      <c r="E149">
        <f>E148+0.0002</f>
        <v>-6.9999999999999999E-4</v>
      </c>
      <c r="F149" s="1">
        <v>1</v>
      </c>
      <c r="G149" s="1">
        <f t="shared" si="43"/>
        <v>0.79166666666666674</v>
      </c>
      <c r="H149" s="1">
        <v>0.2</v>
      </c>
      <c r="I149" s="1">
        <f t="shared" si="44"/>
        <v>0.83333333333333326</v>
      </c>
      <c r="J149" s="1">
        <f t="shared" si="45"/>
        <v>1.2370833333333334E-5</v>
      </c>
    </row>
    <row r="150" spans="1:11" x14ac:dyDescent="0.25">
      <c r="B150" s="1">
        <v>1.0000000000000001E-5</v>
      </c>
      <c r="C150" s="1">
        <v>1.5699999999999999E-5</v>
      </c>
      <c r="D150" s="1">
        <v>2.3999999999999998E-3</v>
      </c>
      <c r="E150">
        <f t="shared" ref="E150:E157" si="46">E149+0.0002</f>
        <v>-5.0000000000000001E-4</v>
      </c>
      <c r="F150" s="1">
        <v>1</v>
      </c>
      <c r="G150" s="1">
        <f t="shared" si="43"/>
        <v>0.70833333333333337</v>
      </c>
      <c r="H150" s="1">
        <v>0.2</v>
      </c>
      <c r="I150" s="1">
        <f t="shared" si="44"/>
        <v>1.1666666666666665</v>
      </c>
      <c r="J150" s="1">
        <f t="shared" si="45"/>
        <v>1.1039166666666666E-5</v>
      </c>
    </row>
    <row r="151" spans="1:11" x14ac:dyDescent="0.25">
      <c r="B151" s="1">
        <v>1.0000000000000001E-5</v>
      </c>
      <c r="C151" s="1">
        <v>1.5699999999999999E-5</v>
      </c>
      <c r="D151" s="1">
        <v>2.3999999999999998E-3</v>
      </c>
      <c r="E151">
        <f t="shared" si="46"/>
        <v>-3.0000000000000003E-4</v>
      </c>
      <c r="F151" s="1">
        <v>1</v>
      </c>
      <c r="G151" s="1">
        <f t="shared" si="43"/>
        <v>0.625</v>
      </c>
      <c r="H151" s="1">
        <v>0.2</v>
      </c>
      <c r="I151" s="1">
        <f t="shared" si="44"/>
        <v>1.5</v>
      </c>
      <c r="J151" s="1">
        <f t="shared" si="45"/>
        <v>9.7074999999999981E-6</v>
      </c>
    </row>
    <row r="152" spans="1:11" x14ac:dyDescent="0.25">
      <c r="B152" s="1">
        <v>1.0000000000000001E-5</v>
      </c>
      <c r="C152" s="1">
        <v>1.5699999999999999E-5</v>
      </c>
      <c r="D152" s="1">
        <v>2.3999999999999998E-3</v>
      </c>
      <c r="E152">
        <f t="shared" si="46"/>
        <v>-1.0000000000000002E-4</v>
      </c>
      <c r="F152" s="1">
        <v>1</v>
      </c>
      <c r="G152" s="1">
        <f t="shared" si="43"/>
        <v>0.54166666666666663</v>
      </c>
      <c r="H152" s="1">
        <v>0.2</v>
      </c>
      <c r="I152" s="1">
        <f t="shared" si="44"/>
        <v>1.8333333333333333</v>
      </c>
      <c r="J152" s="1">
        <f t="shared" si="45"/>
        <v>8.3758333333333321E-6</v>
      </c>
    </row>
    <row r="153" spans="1:11" x14ac:dyDescent="0.25">
      <c r="B153" s="1">
        <v>1.0000000000000001E-5</v>
      </c>
      <c r="C153" s="1">
        <v>1.5699999999999999E-5</v>
      </c>
      <c r="D153" s="1">
        <v>2.3999999999999998E-3</v>
      </c>
      <c r="E153">
        <f t="shared" si="46"/>
        <v>9.9999999999999991E-5</v>
      </c>
      <c r="F153" s="1">
        <v>1</v>
      </c>
      <c r="G153" s="1">
        <f t="shared" si="43"/>
        <v>0.45833333333333331</v>
      </c>
      <c r="H153" s="1">
        <v>0.2</v>
      </c>
      <c r="I153" s="1">
        <f t="shared" si="44"/>
        <v>1.8333333333333333</v>
      </c>
      <c r="J153" s="1">
        <f t="shared" si="45"/>
        <v>7.9008333333333324E-6</v>
      </c>
    </row>
    <row r="154" spans="1:11" x14ac:dyDescent="0.25">
      <c r="B154" s="1">
        <v>1.0000000000000001E-5</v>
      </c>
      <c r="C154" s="1">
        <v>1.5699999999999999E-5</v>
      </c>
      <c r="D154" s="1">
        <v>2.3999999999999998E-3</v>
      </c>
      <c r="E154">
        <f t="shared" si="46"/>
        <v>3.0000000000000003E-4</v>
      </c>
      <c r="F154" s="1">
        <v>1</v>
      </c>
      <c r="G154" s="1">
        <f t="shared" si="43"/>
        <v>0.375</v>
      </c>
      <c r="H154" s="1">
        <v>0.2</v>
      </c>
      <c r="I154" s="1">
        <f t="shared" si="44"/>
        <v>1.5</v>
      </c>
      <c r="J154" s="1">
        <f t="shared" si="45"/>
        <v>8.2825000000000007E-6</v>
      </c>
    </row>
    <row r="155" spans="1:11" x14ac:dyDescent="0.25">
      <c r="B155" s="1">
        <v>1.0000000000000001E-5</v>
      </c>
      <c r="C155" s="1">
        <v>1.5699999999999999E-5</v>
      </c>
      <c r="D155" s="1">
        <v>2.3999999999999998E-3</v>
      </c>
      <c r="E155">
        <f t="shared" si="46"/>
        <v>5.0000000000000001E-4</v>
      </c>
      <c r="F155" s="1">
        <v>1</v>
      </c>
      <c r="G155" s="1">
        <f t="shared" si="43"/>
        <v>0.29166666666666663</v>
      </c>
      <c r="H155" s="1">
        <v>0.2</v>
      </c>
      <c r="I155" s="1">
        <f t="shared" si="44"/>
        <v>1.1666666666666665</v>
      </c>
      <c r="J155" s="1">
        <f t="shared" si="45"/>
        <v>8.6641666666666674E-6</v>
      </c>
    </row>
    <row r="156" spans="1:11" x14ac:dyDescent="0.25">
      <c r="B156" s="1">
        <v>1.0000000000000001E-5</v>
      </c>
      <c r="C156" s="1">
        <v>1.5699999999999999E-5</v>
      </c>
      <c r="D156" s="1">
        <v>2.3999999999999998E-3</v>
      </c>
      <c r="E156">
        <f t="shared" si="46"/>
        <v>6.9999999999999999E-4</v>
      </c>
      <c r="F156" s="1">
        <v>1</v>
      </c>
      <c r="G156" s="1">
        <f t="shared" si="43"/>
        <v>0.20833333333333331</v>
      </c>
      <c r="H156" s="1">
        <v>0.2</v>
      </c>
      <c r="I156" s="1">
        <f t="shared" si="44"/>
        <v>0.83333333333333326</v>
      </c>
      <c r="J156" s="1">
        <f t="shared" si="45"/>
        <v>9.0458333333333341E-6</v>
      </c>
    </row>
    <row r="157" spans="1:11" x14ac:dyDescent="0.25">
      <c r="B157" s="1">
        <v>1.0000000000000001E-5</v>
      </c>
      <c r="C157" s="1">
        <v>1.5699999999999999E-5</v>
      </c>
      <c r="D157" s="1">
        <v>2.3999999999999998E-3</v>
      </c>
      <c r="E157">
        <f t="shared" si="46"/>
        <v>8.9999999999999998E-4</v>
      </c>
      <c r="F157" s="1">
        <v>1</v>
      </c>
      <c r="G157" s="1">
        <f t="shared" si="43"/>
        <v>0.125</v>
      </c>
      <c r="H157" s="1">
        <v>0.2</v>
      </c>
      <c r="I157" s="1">
        <f t="shared" si="44"/>
        <v>0.5</v>
      </c>
      <c r="J157" s="1">
        <f t="shared" si="45"/>
        <v>9.4275000000000008E-6</v>
      </c>
    </row>
    <row r="158" spans="1:11" x14ac:dyDescent="0.25">
      <c r="B158" s="1">
        <v>1.0000000000000001E-5</v>
      </c>
      <c r="C158" s="1">
        <v>1.5699999999999999E-5</v>
      </c>
      <c r="D158" s="1">
        <v>2.3999999999999998E-3</v>
      </c>
      <c r="E158" s="13">
        <v>1.1000000000000001E-3</v>
      </c>
      <c r="F158" s="1">
        <v>1</v>
      </c>
      <c r="G158" s="1">
        <f t="shared" si="43"/>
        <v>4.1666666666666574E-2</v>
      </c>
      <c r="H158" s="1">
        <v>0.2</v>
      </c>
      <c r="I158" s="1">
        <f t="shared" si="44"/>
        <v>0.1666666666666663</v>
      </c>
      <c r="J158" s="1">
        <f t="shared" si="45"/>
        <v>9.8091666666666675E-6</v>
      </c>
    </row>
    <row r="159" spans="1:11" x14ac:dyDescent="0.25">
      <c r="A159" s="9" t="s">
        <v>102</v>
      </c>
      <c r="B159" s="2" t="s">
        <v>221</v>
      </c>
      <c r="C159" s="2" t="s">
        <v>220</v>
      </c>
      <c r="D159" s="2" t="s">
        <v>116</v>
      </c>
      <c r="E159" s="2" t="s">
        <v>117</v>
      </c>
      <c r="F159" s="2" t="s">
        <v>118</v>
      </c>
      <c r="G159" s="2" t="s">
        <v>109</v>
      </c>
      <c r="H159" s="2" t="s">
        <v>114</v>
      </c>
      <c r="I159" s="2" t="s">
        <v>111</v>
      </c>
      <c r="J159" s="2" t="s">
        <v>112</v>
      </c>
      <c r="K159" s="2" t="s">
        <v>119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v>-1.1000000000000001E-3</v>
      </c>
      <c r="F160" s="1">
        <v>2</v>
      </c>
      <c r="G160" s="1">
        <f>(0.5-E160/D160)^F160</f>
        <v>0.91840277777777801</v>
      </c>
      <c r="H160" s="1">
        <v>0.4</v>
      </c>
      <c r="I160" s="1">
        <f>2*(1-2*ABS(E160)/D160)</f>
        <v>0.1666666666666663</v>
      </c>
      <c r="J160" s="1">
        <f>(C160-B160)*G160+B160-(B160+C160)*(H160/2)*I160</f>
        <v>2.9528819444444454</v>
      </c>
      <c r="K160" s="1">
        <f>1/J160</f>
        <v>0.33865221123431666</v>
      </c>
    </row>
    <row r="161" spans="1:11" x14ac:dyDescent="0.25">
      <c r="B161" s="1">
        <v>2.5</v>
      </c>
      <c r="C161" s="1">
        <v>3.2</v>
      </c>
      <c r="D161" s="1">
        <v>2.3999999999999998E-3</v>
      </c>
      <c r="E161">
        <f>-0.001+0.0001</f>
        <v>-8.9999999999999998E-4</v>
      </c>
      <c r="F161" s="1">
        <v>2</v>
      </c>
      <c r="G161" s="1">
        <f t="shared" ref="G161:G171" si="47">(0.5-E161/D161)^F161</f>
        <v>0.765625</v>
      </c>
      <c r="H161" s="1">
        <v>0.4</v>
      </c>
      <c r="I161" s="1">
        <f t="shared" ref="I161:I171" si="48">2*(1-2*ABS(E161)/D161)</f>
        <v>0.5</v>
      </c>
      <c r="J161" s="1">
        <f t="shared" ref="J161:J171" si="49">(C161-B161)*G161+B161-(B161+C161)*(H161/2)*I161</f>
        <v>2.4659374999999999</v>
      </c>
      <c r="K161" s="1">
        <f t="shared" ref="K161:K171" si="50">1/J161</f>
        <v>0.40552528196679766</v>
      </c>
    </row>
    <row r="162" spans="1:11" x14ac:dyDescent="0.25">
      <c r="B162" s="1">
        <v>2.5</v>
      </c>
      <c r="C162" s="1">
        <v>3.2</v>
      </c>
      <c r="D162" s="1">
        <v>2.3999999999999998E-3</v>
      </c>
      <c r="E162">
        <f>E161+0.0002</f>
        <v>-6.9999999999999999E-4</v>
      </c>
      <c r="F162" s="1">
        <v>2</v>
      </c>
      <c r="G162" s="1">
        <f t="shared" si="47"/>
        <v>0.62673611111111127</v>
      </c>
      <c r="H162" s="1">
        <v>0.4</v>
      </c>
      <c r="I162" s="1">
        <f t="shared" si="48"/>
        <v>0.83333333333333326</v>
      </c>
      <c r="J162" s="1">
        <f t="shared" si="49"/>
        <v>1.9887152777777777</v>
      </c>
      <c r="K162" s="1">
        <f t="shared" si="50"/>
        <v>0.5028371890004365</v>
      </c>
    </row>
    <row r="163" spans="1:11" x14ac:dyDescent="0.25">
      <c r="B163" s="1">
        <v>2.5</v>
      </c>
      <c r="C163" s="1">
        <v>3.2</v>
      </c>
      <c r="D163" s="1">
        <v>2.3999999999999998E-3</v>
      </c>
      <c r="E163">
        <f t="shared" ref="E163:E170" si="51">E162+0.0002</f>
        <v>-5.0000000000000001E-4</v>
      </c>
      <c r="F163" s="1">
        <v>2</v>
      </c>
      <c r="G163" s="1">
        <f t="shared" si="47"/>
        <v>0.50173611111111116</v>
      </c>
      <c r="H163" s="1">
        <v>0.4</v>
      </c>
      <c r="I163" s="1">
        <f t="shared" si="48"/>
        <v>1.1666666666666665</v>
      </c>
      <c r="J163" s="1">
        <f t="shared" si="49"/>
        <v>1.5212152777777779</v>
      </c>
      <c r="K163" s="1">
        <f t="shared" si="50"/>
        <v>0.65736915386546757</v>
      </c>
    </row>
    <row r="164" spans="1:11" x14ac:dyDescent="0.25">
      <c r="B164" s="1">
        <v>2.5</v>
      </c>
      <c r="C164" s="1">
        <v>3.2</v>
      </c>
      <c r="D164" s="1">
        <v>2.3999999999999998E-3</v>
      </c>
      <c r="E164">
        <f t="shared" si="51"/>
        <v>-3.0000000000000003E-4</v>
      </c>
      <c r="F164" s="1">
        <v>2</v>
      </c>
      <c r="G164" s="1">
        <f t="shared" si="47"/>
        <v>0.390625</v>
      </c>
      <c r="H164" s="1">
        <v>0.4</v>
      </c>
      <c r="I164" s="1">
        <f t="shared" si="48"/>
        <v>1.5</v>
      </c>
      <c r="J164" s="1">
        <f t="shared" si="49"/>
        <v>1.0634374999999998</v>
      </c>
      <c r="K164" s="1">
        <f t="shared" si="50"/>
        <v>0.94034675286511915</v>
      </c>
    </row>
    <row r="165" spans="1:11" x14ac:dyDescent="0.25">
      <c r="B165" s="1">
        <v>2.5</v>
      </c>
      <c r="C165" s="1">
        <v>3.2</v>
      </c>
      <c r="D165" s="1">
        <v>2.3999999999999998E-3</v>
      </c>
      <c r="E165">
        <f t="shared" si="51"/>
        <v>-1.0000000000000002E-4</v>
      </c>
      <c r="F165" s="1">
        <v>2</v>
      </c>
      <c r="G165" s="1">
        <f t="shared" si="47"/>
        <v>0.29340277777777773</v>
      </c>
      <c r="H165" s="1">
        <v>0.4</v>
      </c>
      <c r="I165" s="1">
        <f t="shared" si="48"/>
        <v>1.8333333333333333</v>
      </c>
      <c r="J165" s="1">
        <f t="shared" si="49"/>
        <v>0.61538194444444416</v>
      </c>
      <c r="K165" s="1">
        <f t="shared" si="50"/>
        <v>1.6250070529820015</v>
      </c>
    </row>
    <row r="166" spans="1:11" x14ac:dyDescent="0.25">
      <c r="B166" s="1">
        <v>2.5</v>
      </c>
      <c r="C166" s="1">
        <v>3.2</v>
      </c>
      <c r="D166" s="1">
        <v>2.3999999999999998E-3</v>
      </c>
      <c r="E166">
        <f t="shared" si="51"/>
        <v>9.9999999999999991E-5</v>
      </c>
      <c r="F166" s="1">
        <v>2</v>
      </c>
      <c r="G166" s="1">
        <f t="shared" si="47"/>
        <v>0.21006944444444442</v>
      </c>
      <c r="H166" s="1">
        <v>0.4</v>
      </c>
      <c r="I166" s="1">
        <f t="shared" si="48"/>
        <v>1.8333333333333333</v>
      </c>
      <c r="J166" s="1">
        <f t="shared" si="49"/>
        <v>0.55704861111111104</v>
      </c>
      <c r="K166" s="1">
        <f t="shared" si="50"/>
        <v>1.7951754659352992</v>
      </c>
    </row>
    <row r="167" spans="1:11" x14ac:dyDescent="0.25">
      <c r="B167" s="1">
        <v>2.5</v>
      </c>
      <c r="C167" s="1">
        <v>3.2</v>
      </c>
      <c r="D167" s="1">
        <v>2.3999999999999998E-3</v>
      </c>
      <c r="E167">
        <f t="shared" si="51"/>
        <v>3.0000000000000003E-4</v>
      </c>
      <c r="F167" s="1">
        <v>2</v>
      </c>
      <c r="G167" s="1">
        <f t="shared" si="47"/>
        <v>0.140625</v>
      </c>
      <c r="H167" s="1">
        <v>0.4</v>
      </c>
      <c r="I167" s="1">
        <f t="shared" si="48"/>
        <v>1.5</v>
      </c>
      <c r="J167" s="1">
        <f t="shared" si="49"/>
        <v>0.88843749999999999</v>
      </c>
      <c r="K167" s="1">
        <f t="shared" si="50"/>
        <v>1.1255715793176222</v>
      </c>
    </row>
    <row r="168" spans="1:11" x14ac:dyDescent="0.25">
      <c r="B168" s="1">
        <v>2.5</v>
      </c>
      <c r="C168" s="1">
        <v>3.2</v>
      </c>
      <c r="D168" s="1">
        <v>2.3999999999999998E-3</v>
      </c>
      <c r="E168">
        <f t="shared" si="51"/>
        <v>5.0000000000000001E-4</v>
      </c>
      <c r="F168" s="1">
        <v>2</v>
      </c>
      <c r="G168" s="1">
        <f t="shared" si="47"/>
        <v>8.506944444444442E-2</v>
      </c>
      <c r="H168" s="1">
        <v>0.4</v>
      </c>
      <c r="I168" s="1">
        <f t="shared" si="48"/>
        <v>1.1666666666666665</v>
      </c>
      <c r="J168" s="1">
        <f t="shared" si="49"/>
        <v>1.2295486111111109</v>
      </c>
      <c r="K168" s="1">
        <f t="shared" si="50"/>
        <v>0.81330659964417851</v>
      </c>
    </row>
    <row r="169" spans="1:11" x14ac:dyDescent="0.25">
      <c r="B169" s="1">
        <v>2.5</v>
      </c>
      <c r="C169" s="1">
        <v>3.2</v>
      </c>
      <c r="D169" s="1">
        <v>2.3999999999999998E-3</v>
      </c>
      <c r="E169">
        <f t="shared" si="51"/>
        <v>6.9999999999999999E-4</v>
      </c>
      <c r="F169" s="1">
        <v>2</v>
      </c>
      <c r="G169" s="1">
        <f t="shared" si="47"/>
        <v>4.3402777777777769E-2</v>
      </c>
      <c r="H169" s="1">
        <v>0.4</v>
      </c>
      <c r="I169" s="1">
        <f t="shared" si="48"/>
        <v>0.83333333333333326</v>
      </c>
      <c r="J169" s="1">
        <f t="shared" si="49"/>
        <v>1.5803819444444445</v>
      </c>
      <c r="K169" s="1">
        <f t="shared" si="50"/>
        <v>0.63275843128638909</v>
      </c>
    </row>
    <row r="170" spans="1:11" x14ac:dyDescent="0.25">
      <c r="B170" s="1">
        <v>2.5</v>
      </c>
      <c r="C170" s="1">
        <v>3.2</v>
      </c>
      <c r="D170" s="1">
        <v>2.3999999999999998E-3</v>
      </c>
      <c r="E170">
        <f t="shared" si="51"/>
        <v>8.9999999999999998E-4</v>
      </c>
      <c r="F170" s="1">
        <v>2</v>
      </c>
      <c r="G170" s="1">
        <f t="shared" si="47"/>
        <v>1.5625E-2</v>
      </c>
      <c r="H170" s="1">
        <v>0.4</v>
      </c>
      <c r="I170" s="1">
        <f t="shared" si="48"/>
        <v>0.5</v>
      </c>
      <c r="J170" s="1">
        <f t="shared" si="49"/>
        <v>1.9409374999999998</v>
      </c>
      <c r="K170" s="1">
        <f t="shared" si="50"/>
        <v>0.51521494123329581</v>
      </c>
    </row>
    <row r="171" spans="1:11" x14ac:dyDescent="0.25">
      <c r="B171" s="1">
        <v>2.5</v>
      </c>
      <c r="C171" s="1">
        <v>3.2</v>
      </c>
      <c r="D171" s="1">
        <v>2.3999999999999998E-3</v>
      </c>
      <c r="E171" s="13">
        <v>1.1000000000000001E-3</v>
      </c>
      <c r="F171" s="1">
        <v>2</v>
      </c>
      <c r="G171" s="1">
        <f t="shared" si="47"/>
        <v>1.7361111111111034E-3</v>
      </c>
      <c r="H171" s="1">
        <v>0.4</v>
      </c>
      <c r="I171" s="1">
        <f t="shared" si="48"/>
        <v>0.1666666666666663</v>
      </c>
      <c r="J171" s="1">
        <f t="shared" si="49"/>
        <v>2.3112152777777784</v>
      </c>
      <c r="K171" s="1">
        <f t="shared" si="50"/>
        <v>0.43267280621366216</v>
      </c>
    </row>
    <row r="173" spans="1:11" x14ac:dyDescent="0.25">
      <c r="A173" s="9" t="s">
        <v>49</v>
      </c>
      <c r="B173" s="2" t="s">
        <v>221</v>
      </c>
      <c r="C173" s="2" t="s">
        <v>220</v>
      </c>
      <c r="D173" s="2" t="s">
        <v>106</v>
      </c>
      <c r="E173" s="2" t="s">
        <v>107</v>
      </c>
      <c r="F173" s="2" t="s">
        <v>108</v>
      </c>
      <c r="G173" s="2" t="s">
        <v>109</v>
      </c>
      <c r="H173" s="2" t="s">
        <v>114</v>
      </c>
      <c r="I173" s="2" t="s">
        <v>111</v>
      </c>
      <c r="J173" s="2" t="s">
        <v>112</v>
      </c>
    </row>
    <row r="174" spans="1:11" x14ac:dyDescent="0.25">
      <c r="B174" s="1">
        <v>5300</v>
      </c>
      <c r="C174" s="1">
        <v>5800</v>
      </c>
      <c r="D174" s="1">
        <v>2.3999999999999998E-3</v>
      </c>
      <c r="E174">
        <v>-1.1000000000000001E-3</v>
      </c>
      <c r="F174" s="1">
        <v>2</v>
      </c>
      <c r="G174" s="1">
        <f>(0.5-E174/D174)^F174</f>
        <v>0.91840277777777801</v>
      </c>
      <c r="H174" s="1">
        <v>0.4</v>
      </c>
      <c r="I174" s="1">
        <f>2*(1-2*ABS(E174)/D174)</f>
        <v>0.1666666666666663</v>
      </c>
      <c r="J174" s="1">
        <f>(C174-B174)*G174+B174-(B174+C174)*(H174/2)*I174</f>
        <v>5389.2013888888896</v>
      </c>
    </row>
    <row r="175" spans="1:11" x14ac:dyDescent="0.25">
      <c r="B175" s="1">
        <v>5300</v>
      </c>
      <c r="C175" s="1">
        <v>5800</v>
      </c>
      <c r="D175" s="1">
        <v>2.3999999999999998E-3</v>
      </c>
      <c r="E175">
        <f>-0.001+0.0001</f>
        <v>-8.9999999999999998E-4</v>
      </c>
      <c r="F175" s="1">
        <v>2</v>
      </c>
      <c r="G175" s="1">
        <f t="shared" ref="G175:G185" si="52">(0.5-E175/D175)^F175</f>
        <v>0.765625</v>
      </c>
      <c r="H175" s="1">
        <v>0.4</v>
      </c>
      <c r="I175" s="1">
        <f t="shared" ref="I175:I185" si="53">2*(1-2*ABS(E175)/D175)</f>
        <v>0.5</v>
      </c>
      <c r="J175" s="1">
        <f t="shared" ref="J175:J185" si="54">(C175-B175)*G175+B175-(B175+C175)*(H175/2)*I175</f>
        <v>4572.8125</v>
      </c>
    </row>
    <row r="176" spans="1:11" x14ac:dyDescent="0.25">
      <c r="B176" s="1">
        <v>5300</v>
      </c>
      <c r="C176" s="1">
        <v>5800</v>
      </c>
      <c r="D176" s="1">
        <v>2.3999999999999998E-3</v>
      </c>
      <c r="E176">
        <f>E175+0.0002</f>
        <v>-6.9999999999999999E-4</v>
      </c>
      <c r="F176" s="1">
        <v>2</v>
      </c>
      <c r="G176" s="1">
        <f t="shared" si="52"/>
        <v>0.62673611111111127</v>
      </c>
      <c r="H176" s="1">
        <v>0.4</v>
      </c>
      <c r="I176" s="1">
        <f t="shared" si="53"/>
        <v>0.83333333333333326</v>
      </c>
      <c r="J176" s="1">
        <f t="shared" si="54"/>
        <v>3763.3680555555557</v>
      </c>
    </row>
    <row r="177" spans="1:15" x14ac:dyDescent="0.25">
      <c r="B177" s="1">
        <v>5300</v>
      </c>
      <c r="C177" s="1">
        <v>5800</v>
      </c>
      <c r="D177" s="1">
        <v>2.3999999999999998E-3</v>
      </c>
      <c r="E177">
        <f t="shared" ref="E177:E184" si="55">E176+0.0002</f>
        <v>-5.0000000000000001E-4</v>
      </c>
      <c r="F177" s="1">
        <v>2</v>
      </c>
      <c r="G177" s="1">
        <f t="shared" si="52"/>
        <v>0.50173611111111116</v>
      </c>
      <c r="H177" s="1">
        <v>0.4</v>
      </c>
      <c r="I177" s="1">
        <f t="shared" si="53"/>
        <v>1.1666666666666665</v>
      </c>
      <c r="J177" s="1">
        <f t="shared" si="54"/>
        <v>2960.8680555555561</v>
      </c>
    </row>
    <row r="178" spans="1:15" x14ac:dyDescent="0.25">
      <c r="B178" s="1">
        <v>5300</v>
      </c>
      <c r="C178" s="1">
        <v>5800</v>
      </c>
      <c r="D178" s="1">
        <v>2.3999999999999998E-3</v>
      </c>
      <c r="E178">
        <f t="shared" si="55"/>
        <v>-3.0000000000000003E-4</v>
      </c>
      <c r="F178" s="1">
        <v>2</v>
      </c>
      <c r="G178" s="1">
        <f t="shared" si="52"/>
        <v>0.390625</v>
      </c>
      <c r="H178" s="1">
        <v>0.4</v>
      </c>
      <c r="I178" s="1">
        <f t="shared" si="53"/>
        <v>1.5</v>
      </c>
      <c r="J178" s="1">
        <f t="shared" si="54"/>
        <v>2165.3125</v>
      </c>
    </row>
    <row r="179" spans="1:15" x14ac:dyDescent="0.25">
      <c r="B179" s="1">
        <v>5300</v>
      </c>
      <c r="C179" s="1">
        <v>5800</v>
      </c>
      <c r="D179" s="1">
        <v>2.3999999999999998E-3</v>
      </c>
      <c r="E179">
        <f t="shared" si="55"/>
        <v>-1.0000000000000002E-4</v>
      </c>
      <c r="F179" s="1">
        <v>2</v>
      </c>
      <c r="G179" s="1">
        <f t="shared" si="52"/>
        <v>0.29340277777777773</v>
      </c>
      <c r="H179" s="1">
        <v>0.4</v>
      </c>
      <c r="I179" s="1">
        <f t="shared" si="53"/>
        <v>1.8333333333333333</v>
      </c>
      <c r="J179" s="1">
        <f t="shared" si="54"/>
        <v>1376.7013888888887</v>
      </c>
    </row>
    <row r="180" spans="1:15" x14ac:dyDescent="0.25">
      <c r="B180" s="1">
        <v>5300</v>
      </c>
      <c r="C180" s="1">
        <v>5800</v>
      </c>
      <c r="D180" s="1">
        <v>2.3999999999999998E-3</v>
      </c>
      <c r="E180">
        <f t="shared" si="55"/>
        <v>9.9999999999999991E-5</v>
      </c>
      <c r="F180" s="1">
        <v>2</v>
      </c>
      <c r="G180" s="1">
        <f t="shared" si="52"/>
        <v>0.21006944444444442</v>
      </c>
      <c r="H180" s="1">
        <v>0.4</v>
      </c>
      <c r="I180" s="1">
        <f t="shared" si="53"/>
        <v>1.8333333333333333</v>
      </c>
      <c r="J180" s="1">
        <f t="shared" si="54"/>
        <v>1335.0347222222226</v>
      </c>
    </row>
    <row r="181" spans="1:15" x14ac:dyDescent="0.25">
      <c r="B181" s="1">
        <v>5300</v>
      </c>
      <c r="C181" s="1">
        <v>5800</v>
      </c>
      <c r="D181" s="1">
        <v>2.3999999999999998E-3</v>
      </c>
      <c r="E181">
        <f t="shared" si="55"/>
        <v>3.0000000000000003E-4</v>
      </c>
      <c r="F181" s="1">
        <v>2</v>
      </c>
      <c r="G181" s="1">
        <f t="shared" si="52"/>
        <v>0.140625</v>
      </c>
      <c r="H181" s="1">
        <v>0.4</v>
      </c>
      <c r="I181" s="1">
        <f t="shared" si="53"/>
        <v>1.5</v>
      </c>
      <c r="J181" s="1">
        <f t="shared" si="54"/>
        <v>2040.3125</v>
      </c>
    </row>
    <row r="182" spans="1:15" x14ac:dyDescent="0.25">
      <c r="B182" s="1">
        <v>5300</v>
      </c>
      <c r="C182" s="1">
        <v>5800</v>
      </c>
      <c r="D182" s="1">
        <v>2.3999999999999998E-3</v>
      </c>
      <c r="E182">
        <f t="shared" si="55"/>
        <v>5.0000000000000001E-4</v>
      </c>
      <c r="F182" s="1">
        <v>2</v>
      </c>
      <c r="G182" s="1">
        <f t="shared" si="52"/>
        <v>8.506944444444442E-2</v>
      </c>
      <c r="H182" s="1">
        <v>0.4</v>
      </c>
      <c r="I182" s="1">
        <f t="shared" si="53"/>
        <v>1.1666666666666665</v>
      </c>
      <c r="J182" s="1">
        <f t="shared" si="54"/>
        <v>2752.5347222222231</v>
      </c>
    </row>
    <row r="183" spans="1:15" x14ac:dyDescent="0.25">
      <c r="B183" s="1">
        <v>5300</v>
      </c>
      <c r="C183" s="1">
        <v>5800</v>
      </c>
      <c r="D183" s="1">
        <v>2.3999999999999998E-3</v>
      </c>
      <c r="E183">
        <f t="shared" si="55"/>
        <v>6.9999999999999999E-4</v>
      </c>
      <c r="F183" s="1">
        <v>2</v>
      </c>
      <c r="G183" s="1">
        <f t="shared" si="52"/>
        <v>4.3402777777777769E-2</v>
      </c>
      <c r="H183" s="1">
        <v>0.4</v>
      </c>
      <c r="I183" s="1">
        <f t="shared" si="53"/>
        <v>0.83333333333333326</v>
      </c>
      <c r="J183" s="1">
        <f t="shared" si="54"/>
        <v>3471.7013888888887</v>
      </c>
    </row>
    <row r="184" spans="1:15" x14ac:dyDescent="0.25">
      <c r="B184" s="1">
        <v>5300</v>
      </c>
      <c r="C184" s="1">
        <v>5800</v>
      </c>
      <c r="D184" s="1">
        <v>2.3999999999999998E-3</v>
      </c>
      <c r="E184">
        <f t="shared" si="55"/>
        <v>8.9999999999999998E-4</v>
      </c>
      <c r="F184" s="1">
        <v>2</v>
      </c>
      <c r="G184" s="1">
        <f t="shared" si="52"/>
        <v>1.5625E-2</v>
      </c>
      <c r="H184" s="1">
        <v>0.4</v>
      </c>
      <c r="I184" s="1">
        <f t="shared" si="53"/>
        <v>0.5</v>
      </c>
      <c r="J184" s="1">
        <f t="shared" si="54"/>
        <v>4197.8125</v>
      </c>
    </row>
    <row r="185" spans="1:15" x14ac:dyDescent="0.25">
      <c r="B185" s="1">
        <v>5300</v>
      </c>
      <c r="C185" s="1">
        <v>5800</v>
      </c>
      <c r="D185" s="1">
        <v>2.3999999999999998E-3</v>
      </c>
      <c r="E185" s="13">
        <v>1.1000000000000001E-3</v>
      </c>
      <c r="F185" s="1">
        <v>2</v>
      </c>
      <c r="G185" s="1">
        <f t="shared" si="52"/>
        <v>1.7361111111111034E-3</v>
      </c>
      <c r="H185" s="1">
        <v>0.4</v>
      </c>
      <c r="I185" s="1">
        <f t="shared" si="53"/>
        <v>0.1666666666666663</v>
      </c>
      <c r="J185" s="1">
        <f t="shared" si="54"/>
        <v>4930.8680555555566</v>
      </c>
    </row>
    <row r="189" spans="1:15" x14ac:dyDescent="0.25">
      <c r="A189" t="s">
        <v>227</v>
      </c>
      <c r="H189" t="s">
        <v>227</v>
      </c>
      <c r="O189" t="s">
        <v>227</v>
      </c>
    </row>
    <row r="190" spans="1:15" x14ac:dyDescent="0.25">
      <c r="A190" t="s">
        <v>227</v>
      </c>
      <c r="H190" t="s">
        <v>227</v>
      </c>
      <c r="O190" t="s">
        <v>227</v>
      </c>
    </row>
    <row r="191" spans="1:15" x14ac:dyDescent="0.25">
      <c r="A191" t="s">
        <v>227</v>
      </c>
      <c r="H191" t="s">
        <v>227</v>
      </c>
      <c r="O191" t="s">
        <v>227</v>
      </c>
    </row>
    <row r="192" spans="1:15" x14ac:dyDescent="0.25">
      <c r="A192" t="s">
        <v>227</v>
      </c>
      <c r="H192" t="s">
        <v>227</v>
      </c>
      <c r="O192" t="s">
        <v>227</v>
      </c>
    </row>
    <row r="193" spans="1:28" x14ac:dyDescent="0.25">
      <c r="A193" t="s">
        <v>227</v>
      </c>
      <c r="H193" t="s">
        <v>227</v>
      </c>
      <c r="O193" t="s">
        <v>227</v>
      </c>
    </row>
    <row r="194" spans="1:28" x14ac:dyDescent="0.25">
      <c r="A194" t="s">
        <v>227</v>
      </c>
      <c r="H194" t="s">
        <v>227</v>
      </c>
      <c r="O194" t="s">
        <v>227</v>
      </c>
    </row>
    <row r="195" spans="1:28" x14ac:dyDescent="0.25">
      <c r="A195" t="s">
        <v>227</v>
      </c>
      <c r="H195" t="s">
        <v>227</v>
      </c>
      <c r="O195" t="s">
        <v>227</v>
      </c>
    </row>
    <row r="197" spans="1:28" x14ac:dyDescent="0.25">
      <c r="A197" s="14" t="s">
        <v>228</v>
      </c>
      <c r="C197" s="9" t="s">
        <v>27</v>
      </c>
      <c r="D197" s="9" t="s">
        <v>28</v>
      </c>
      <c r="E197" s="9" t="s">
        <v>29</v>
      </c>
      <c r="F197" s="9" t="s">
        <v>30</v>
      </c>
      <c r="G197" s="9" t="s">
        <v>31</v>
      </c>
      <c r="H197" s="9" t="s">
        <v>229</v>
      </c>
      <c r="I197" s="9" t="s">
        <v>33</v>
      </c>
      <c r="J197" s="9" t="s">
        <v>34</v>
      </c>
      <c r="K197" s="9" t="s">
        <v>35</v>
      </c>
      <c r="L197" s="9" t="s">
        <v>36</v>
      </c>
      <c r="M197" s="9" t="s">
        <v>37</v>
      </c>
      <c r="N197" s="9" t="s">
        <v>38</v>
      </c>
      <c r="O197" s="9" t="s">
        <v>39</v>
      </c>
      <c r="P197" s="9" t="s">
        <v>40</v>
      </c>
      <c r="Q197" s="9" t="s">
        <v>41</v>
      </c>
      <c r="R197" s="9" t="s">
        <v>42</v>
      </c>
      <c r="S197" s="9" t="s">
        <v>43</v>
      </c>
      <c r="T197" s="9" t="s">
        <v>230</v>
      </c>
      <c r="U197" s="9" t="s">
        <v>231</v>
      </c>
      <c r="V197" s="9" t="s">
        <v>232</v>
      </c>
      <c r="W197" s="9" t="s">
        <v>233</v>
      </c>
      <c r="X197" s="9" t="s">
        <v>234</v>
      </c>
      <c r="Y197" s="9" t="s">
        <v>49</v>
      </c>
      <c r="Z197" s="9" t="s">
        <v>50</v>
      </c>
      <c r="AA197" s="9" t="s">
        <v>51</v>
      </c>
      <c r="AB197" s="9" t="s">
        <v>52</v>
      </c>
    </row>
    <row r="198" spans="1:28" x14ac:dyDescent="0.25">
      <c r="A198" s="11" t="s">
        <v>235</v>
      </c>
      <c r="B198" t="s">
        <v>75</v>
      </c>
      <c r="C198" s="10">
        <v>1</v>
      </c>
      <c r="D198" s="4">
        <v>119451549066.13531</v>
      </c>
      <c r="E198" s="4">
        <v>119451549066.13531</v>
      </c>
      <c r="F198" s="4">
        <v>0.31205368721702659</v>
      </c>
      <c r="G198" s="4">
        <v>0</v>
      </c>
      <c r="H198" s="4">
        <v>45479166666.666664</v>
      </c>
      <c r="I198" s="4">
        <v>51648958333.333336</v>
      </c>
      <c r="J198" s="4">
        <v>51648958333.333336</v>
      </c>
      <c r="K198" s="4">
        <v>-7.3323386691028495E-11</v>
      </c>
      <c r="L198" s="4">
        <v>-7.3323386691028495E-11</v>
      </c>
      <c r="M198" s="4">
        <v>0</v>
      </c>
      <c r="N198" s="4">
        <v>2.0000000000000001E-4</v>
      </c>
      <c r="O198" s="4">
        <v>11.296446608946567</v>
      </c>
      <c r="P198" s="4">
        <v>11.296446608946567</v>
      </c>
      <c r="Q198" s="4">
        <v>1.3540763695987659E-8</v>
      </c>
      <c r="R198" s="4">
        <v>0</v>
      </c>
      <c r="S198" s="4">
        <v>2.1994791666666636E-5</v>
      </c>
      <c r="T198" s="4">
        <v>1.5234895833333333E-5</v>
      </c>
      <c r="U198" s="4">
        <v>1.5234895833333333E-5</v>
      </c>
      <c r="V198" s="4">
        <v>0</v>
      </c>
      <c r="W198" s="4">
        <v>0</v>
      </c>
      <c r="X198" s="4">
        <v>3.1428819444444449</v>
      </c>
      <c r="Y198" s="4">
        <v>5759.2013888888887</v>
      </c>
      <c r="Z198" s="4">
        <v>-1.1999999999999999E-3</v>
      </c>
      <c r="AA198" s="4">
        <v>-1E-3</v>
      </c>
      <c r="AB198" s="3">
        <v>2</v>
      </c>
    </row>
    <row r="199" spans="1:28" x14ac:dyDescent="0.25">
      <c r="C199" s="3">
        <v>2</v>
      </c>
      <c r="D199" s="4">
        <v>125293689672.03632</v>
      </c>
      <c r="E199" s="4">
        <v>125293689672.03632</v>
      </c>
      <c r="F199" s="4">
        <v>0.32134098555343393</v>
      </c>
      <c r="G199" s="4">
        <v>0</v>
      </c>
      <c r="H199" s="4">
        <v>47312500000</v>
      </c>
      <c r="I199" s="4">
        <v>51740625000</v>
      </c>
      <c r="J199" s="4">
        <v>51740625000</v>
      </c>
      <c r="K199" s="4">
        <v>-6.1125923498570052E-11</v>
      </c>
      <c r="L199" s="4">
        <v>-6.1125923498570052E-11</v>
      </c>
      <c r="M199" s="4">
        <v>0</v>
      </c>
      <c r="N199" s="4">
        <v>2.0000000000000001E-4</v>
      </c>
      <c r="O199" s="4">
        <v>32.447240259740255</v>
      </c>
      <c r="P199" s="4">
        <v>32.447240259740255</v>
      </c>
      <c r="Q199" s="4">
        <v>1.1303706597222224E-8</v>
      </c>
      <c r="R199" s="4">
        <v>0</v>
      </c>
      <c r="S199" s="4">
        <v>4.4453125000000005E-5</v>
      </c>
      <c r="T199" s="4">
        <v>1.4364062499999999E-5</v>
      </c>
      <c r="U199" s="4">
        <v>1.4364062499999999E-5</v>
      </c>
      <c r="V199" s="4">
        <v>0</v>
      </c>
      <c r="W199" s="4">
        <v>0</v>
      </c>
      <c r="X199" s="4">
        <v>3.0359375000000002</v>
      </c>
      <c r="Y199" s="4">
        <v>5682.8125</v>
      </c>
      <c r="Z199" s="4">
        <f t="shared" ref="Z199:AA209" si="56">Z198+0.0002</f>
        <v>-9.999999999999998E-4</v>
      </c>
      <c r="AA199" s="4">
        <f t="shared" si="56"/>
        <v>-8.0000000000000004E-4</v>
      </c>
      <c r="AB199" s="3">
        <v>2</v>
      </c>
    </row>
    <row r="200" spans="1:28" x14ac:dyDescent="0.25">
      <c r="C200" s="3">
        <v>3</v>
      </c>
      <c r="D200" s="4">
        <v>130604726586.49174</v>
      </c>
      <c r="E200" s="4">
        <v>130604726586.49174</v>
      </c>
      <c r="F200" s="4">
        <v>0.32978398404107689</v>
      </c>
      <c r="G200" s="4">
        <v>0</v>
      </c>
      <c r="H200" s="4">
        <v>48979166666.666664</v>
      </c>
      <c r="I200" s="4">
        <v>51823958333.333336</v>
      </c>
      <c r="J200" s="4">
        <v>51823958333.333336</v>
      </c>
      <c r="K200" s="4">
        <v>-5.0037320596335138E-11</v>
      </c>
      <c r="L200" s="4">
        <v>-5.0037320596335138E-11</v>
      </c>
      <c r="M200" s="4">
        <v>0</v>
      </c>
      <c r="N200" s="4">
        <v>2.0000000000000001E-4</v>
      </c>
      <c r="O200" s="4">
        <v>51.675234487734457</v>
      </c>
      <c r="P200" s="4">
        <v>51.675234487734457</v>
      </c>
      <c r="Q200" s="4">
        <v>9.2700183256172878E-9</v>
      </c>
      <c r="R200" s="4">
        <v>0</v>
      </c>
      <c r="S200" s="4">
        <v>6.4869791666666635E-5</v>
      </c>
      <c r="T200" s="4">
        <v>1.3572395833333333E-5</v>
      </c>
      <c r="U200" s="4">
        <v>1.3572395833333333E-5</v>
      </c>
      <c r="V200" s="4">
        <v>0</v>
      </c>
      <c r="W200" s="4">
        <v>0</v>
      </c>
      <c r="X200" s="4">
        <v>2.9387152777777779</v>
      </c>
      <c r="Y200" s="4">
        <v>5613.3680555555557</v>
      </c>
      <c r="Z200" s="4">
        <f t="shared" si="56"/>
        <v>-7.9999999999999982E-4</v>
      </c>
      <c r="AA200" s="4">
        <f t="shared" si="56"/>
        <v>-6.0000000000000006E-4</v>
      </c>
      <c r="AB200" s="3">
        <v>2</v>
      </c>
    </row>
    <row r="201" spans="1:28" x14ac:dyDescent="0.25">
      <c r="C201" s="3">
        <v>4</v>
      </c>
      <c r="D201" s="4">
        <v>135384659809.50165</v>
      </c>
      <c r="E201" s="4">
        <v>135384659809.50165</v>
      </c>
      <c r="F201" s="4">
        <v>0.33738268267995564</v>
      </c>
      <c r="G201" s="4">
        <v>0</v>
      </c>
      <c r="H201" s="4">
        <v>50479166666.666664</v>
      </c>
      <c r="I201" s="4">
        <v>51898958333.333336</v>
      </c>
      <c r="J201" s="4">
        <v>51898958333.333336</v>
      </c>
      <c r="K201" s="4">
        <v>-4.0057577984323686E-11</v>
      </c>
      <c r="L201" s="4">
        <v>-4.0057577984323686E-11</v>
      </c>
      <c r="M201" s="4">
        <v>0</v>
      </c>
      <c r="N201" s="4">
        <v>2.0000000000000001E-4</v>
      </c>
      <c r="O201" s="4">
        <v>68.980429292929273</v>
      </c>
      <c r="P201" s="4">
        <v>68.980429292929273</v>
      </c>
      <c r="Q201" s="4">
        <v>7.4396988811728414E-9</v>
      </c>
      <c r="R201" s="4">
        <v>0</v>
      </c>
      <c r="S201" s="4">
        <v>8.3244791666666661E-5</v>
      </c>
      <c r="T201" s="4">
        <v>1.2859895833333333E-5</v>
      </c>
      <c r="U201" s="4">
        <v>1.2859895833333333E-5</v>
      </c>
      <c r="V201" s="4">
        <v>0</v>
      </c>
      <c r="W201" s="4">
        <v>0</v>
      </c>
      <c r="X201" s="4">
        <v>2.8512152777777779</v>
      </c>
      <c r="Y201" s="4">
        <v>5550.8680555555557</v>
      </c>
      <c r="Z201" s="4">
        <f t="shared" si="56"/>
        <v>-5.9999999999999984E-4</v>
      </c>
      <c r="AA201" s="4">
        <f t="shared" si="56"/>
        <v>-4.0000000000000007E-4</v>
      </c>
      <c r="AB201" s="3">
        <v>2</v>
      </c>
    </row>
    <row r="202" spans="1:28" x14ac:dyDescent="0.25">
      <c r="C202" s="3">
        <v>5</v>
      </c>
      <c r="D202" s="4">
        <v>139633489341.06601</v>
      </c>
      <c r="E202" s="4">
        <v>139633489341.06601</v>
      </c>
      <c r="F202" s="4">
        <v>0.34413708147007005</v>
      </c>
      <c r="G202" s="4">
        <v>0</v>
      </c>
      <c r="H202" s="4">
        <v>51812500000</v>
      </c>
      <c r="I202" s="4">
        <v>51965625000</v>
      </c>
      <c r="J202" s="4">
        <v>51965625000</v>
      </c>
      <c r="K202" s="4">
        <v>-3.1186695662535743E-11</v>
      </c>
      <c r="L202" s="4">
        <v>-3.1186695662535743E-11</v>
      </c>
      <c r="M202" s="4">
        <v>0</v>
      </c>
      <c r="N202" s="4">
        <v>2.0000000000000001E-4</v>
      </c>
      <c r="O202" s="4">
        <v>84.36282467532466</v>
      </c>
      <c r="P202" s="4">
        <v>84.36282467532466</v>
      </c>
      <c r="Q202" s="4">
        <v>5.8127482638888899E-9</v>
      </c>
      <c r="R202" s="4">
        <v>0</v>
      </c>
      <c r="S202" s="4">
        <v>9.9578125000000003E-5</v>
      </c>
      <c r="T202" s="4">
        <v>1.22265625E-5</v>
      </c>
      <c r="U202" s="4">
        <v>1.22265625E-5</v>
      </c>
      <c r="V202" s="4">
        <v>0</v>
      </c>
      <c r="W202" s="4">
        <v>0</v>
      </c>
      <c r="X202" s="4">
        <v>2.7734375</v>
      </c>
      <c r="Y202" s="4">
        <v>5495.3125</v>
      </c>
      <c r="Z202" s="4">
        <f t="shared" si="56"/>
        <v>-3.9999999999999986E-4</v>
      </c>
      <c r="AA202" s="4">
        <f t="shared" si="56"/>
        <v>-2.0000000000000006E-4</v>
      </c>
      <c r="AB202" s="3">
        <v>2</v>
      </c>
    </row>
    <row r="203" spans="1:28" x14ac:dyDescent="0.25">
      <c r="C203" s="3">
        <v>6</v>
      </c>
      <c r="D203" s="4">
        <v>143351215181.18481</v>
      </c>
      <c r="E203" s="4">
        <v>143351215181.18481</v>
      </c>
      <c r="F203" s="4">
        <v>0.35004718041142019</v>
      </c>
      <c r="G203" s="4">
        <v>0</v>
      </c>
      <c r="H203" s="4">
        <v>52979166666.666664</v>
      </c>
      <c r="I203" s="4">
        <v>52023958333.333336</v>
      </c>
      <c r="J203" s="4">
        <v>52023958333.333336</v>
      </c>
      <c r="K203" s="4">
        <v>-2.3424673630971285E-11</v>
      </c>
      <c r="L203" s="4">
        <v>-2.3424673630971285E-11</v>
      </c>
      <c r="M203" s="4">
        <v>0</v>
      </c>
      <c r="N203" s="4">
        <v>2.0000000000000001E-4</v>
      </c>
      <c r="O203" s="4">
        <v>97.822420634920618</v>
      </c>
      <c r="P203" s="4">
        <v>97.822420634920618</v>
      </c>
      <c r="Q203" s="4">
        <v>4.3891664737654323E-9</v>
      </c>
      <c r="R203" s="4">
        <v>0</v>
      </c>
      <c r="S203" s="4">
        <v>1.1386979166666666E-4</v>
      </c>
      <c r="T203" s="4">
        <v>1.1672395833333333E-5</v>
      </c>
      <c r="U203" s="4">
        <v>1.1672395833333333E-5</v>
      </c>
      <c r="V203" s="4">
        <v>0</v>
      </c>
      <c r="W203" s="4">
        <v>0</v>
      </c>
      <c r="X203" s="4">
        <v>2.7053819444444445</v>
      </c>
      <c r="Y203" s="4">
        <v>5446.7013888888887</v>
      </c>
      <c r="Z203" s="4">
        <f t="shared" si="56"/>
        <v>-1.9999999999999985E-4</v>
      </c>
      <c r="AA203" s="4">
        <f t="shared" si="56"/>
        <v>0</v>
      </c>
      <c r="AB203" s="3">
        <v>2</v>
      </c>
    </row>
    <row r="204" spans="1:28" x14ac:dyDescent="0.25">
      <c r="C204" s="3">
        <v>7</v>
      </c>
      <c r="D204" s="4">
        <v>146537837329.85809</v>
      </c>
      <c r="E204" s="4">
        <v>146537837329.85809</v>
      </c>
      <c r="F204" s="4">
        <v>0.355112979504006</v>
      </c>
      <c r="G204" s="4">
        <v>0</v>
      </c>
      <c r="H204" s="4">
        <v>53979166666.666664</v>
      </c>
      <c r="I204" s="4">
        <v>52073958333.333336</v>
      </c>
      <c r="J204" s="4">
        <v>52073958333.333336</v>
      </c>
      <c r="K204" s="4">
        <v>-1.6771511889630329E-11</v>
      </c>
      <c r="L204" s="4">
        <v>-1.6771511889630329E-11</v>
      </c>
      <c r="M204" s="4">
        <v>0</v>
      </c>
      <c r="N204" s="4">
        <v>2.0000000000000001E-4</v>
      </c>
      <c r="O204" s="4">
        <v>109.35921717171715</v>
      </c>
      <c r="P204" s="4">
        <v>109.35921717171715</v>
      </c>
      <c r="Q204" s="4">
        <v>3.168953510802469E-9</v>
      </c>
      <c r="R204" s="4">
        <v>0</v>
      </c>
      <c r="S204" s="4">
        <v>1.2611979166666666E-4</v>
      </c>
      <c r="T204" s="4">
        <v>1.1197395833333333E-5</v>
      </c>
      <c r="U204" s="4">
        <v>1.1197395833333333E-5</v>
      </c>
      <c r="V204" s="4">
        <v>0</v>
      </c>
      <c r="W204" s="4">
        <v>0</v>
      </c>
      <c r="X204" s="4">
        <v>2.6470486111111113</v>
      </c>
      <c r="Y204" s="4">
        <v>5405.0347222222226</v>
      </c>
      <c r="Z204" s="4">
        <f t="shared" si="56"/>
        <v>0</v>
      </c>
      <c r="AA204" s="4">
        <f t="shared" si="56"/>
        <v>2.0000000000000001E-4</v>
      </c>
      <c r="AB204" s="3">
        <v>2</v>
      </c>
    </row>
    <row r="205" spans="1:28" x14ac:dyDescent="0.25">
      <c r="C205" s="3">
        <v>8</v>
      </c>
      <c r="D205" s="4">
        <v>149193355787.08582</v>
      </c>
      <c r="E205" s="4">
        <v>149193355787.08582</v>
      </c>
      <c r="F205" s="4">
        <v>0.35933447874782748</v>
      </c>
      <c r="G205" s="4">
        <v>0</v>
      </c>
      <c r="H205" s="4">
        <v>54812500000</v>
      </c>
      <c r="I205" s="4">
        <v>52115625000</v>
      </c>
      <c r="J205" s="4">
        <v>52115625000</v>
      </c>
      <c r="K205" s="4">
        <v>-1.1227210438512867E-11</v>
      </c>
      <c r="L205" s="4">
        <v>-1.1227210438512867E-11</v>
      </c>
      <c r="M205" s="4">
        <v>0</v>
      </c>
      <c r="N205" s="4">
        <v>2.0000000000000001E-4</v>
      </c>
      <c r="O205" s="4">
        <v>118.97321428571426</v>
      </c>
      <c r="P205" s="4">
        <v>118.97321428571426</v>
      </c>
      <c r="Q205" s="4">
        <v>2.1521093750000001E-9</v>
      </c>
      <c r="R205" s="4">
        <v>0</v>
      </c>
      <c r="S205" s="4">
        <v>1.36328125E-4</v>
      </c>
      <c r="T205" s="4">
        <v>1.0801562500000001E-5</v>
      </c>
      <c r="U205" s="4">
        <v>1.0801562500000001E-5</v>
      </c>
      <c r="V205" s="4">
        <v>0</v>
      </c>
      <c r="W205" s="4">
        <v>0</v>
      </c>
      <c r="X205" s="4">
        <v>2.5984375000000002</v>
      </c>
      <c r="Y205" s="4">
        <v>5370.3125</v>
      </c>
      <c r="Z205" s="4">
        <f t="shared" si="56"/>
        <v>2.0000000000000001E-4</v>
      </c>
      <c r="AA205" s="4">
        <f t="shared" si="56"/>
        <v>4.0000000000000002E-4</v>
      </c>
      <c r="AB205" s="3">
        <v>2</v>
      </c>
    </row>
    <row r="206" spans="1:28" x14ac:dyDescent="0.25">
      <c r="C206" s="3">
        <v>9</v>
      </c>
      <c r="D206" s="4">
        <v>151317770552.86798</v>
      </c>
      <c r="E206" s="4">
        <v>151317770552.86798</v>
      </c>
      <c r="F206" s="4">
        <v>0.36271167814288469</v>
      </c>
      <c r="G206" s="4">
        <v>0</v>
      </c>
      <c r="H206" s="4">
        <v>55479166666.666664</v>
      </c>
      <c r="I206" s="4">
        <v>52148958333.333336</v>
      </c>
      <c r="J206" s="4">
        <v>52148958333.333336</v>
      </c>
      <c r="K206" s="4">
        <v>-6.7917692776188928E-12</v>
      </c>
      <c r="L206" s="4">
        <v>-6.7917692776188928E-12</v>
      </c>
      <c r="M206" s="4">
        <v>0</v>
      </c>
      <c r="N206" s="4">
        <v>2.0000000000000001E-4</v>
      </c>
      <c r="O206" s="4">
        <v>126.66441197691195</v>
      </c>
      <c r="P206" s="4">
        <v>126.66441197691195</v>
      </c>
      <c r="Q206" s="4">
        <v>1.3386340663580246E-9</v>
      </c>
      <c r="R206" s="4">
        <v>0</v>
      </c>
      <c r="S206" s="4">
        <v>1.4449479166666666E-4</v>
      </c>
      <c r="T206" s="4">
        <v>1.0484895833333334E-5</v>
      </c>
      <c r="U206" s="4">
        <v>1.0484895833333334E-5</v>
      </c>
      <c r="V206" s="4">
        <v>0</v>
      </c>
      <c r="W206" s="4">
        <v>0</v>
      </c>
      <c r="X206" s="4">
        <v>2.559548611111111</v>
      </c>
      <c r="Y206" s="4">
        <v>5342.5347222222226</v>
      </c>
      <c r="Z206" s="4">
        <f t="shared" si="56"/>
        <v>4.0000000000000002E-4</v>
      </c>
      <c r="AA206" s="4">
        <f t="shared" si="56"/>
        <v>6.0000000000000006E-4</v>
      </c>
      <c r="AB206" s="3">
        <v>2</v>
      </c>
    </row>
    <row r="207" spans="1:28" x14ac:dyDescent="0.25">
      <c r="C207" s="3">
        <v>10</v>
      </c>
      <c r="D207" s="4">
        <v>152911081627.20462</v>
      </c>
      <c r="E207" s="4">
        <v>152911081627.20462</v>
      </c>
      <c r="F207" s="4">
        <v>0.36524457768917762</v>
      </c>
      <c r="G207" s="4">
        <v>0</v>
      </c>
      <c r="H207" s="4">
        <v>55979166666.666664</v>
      </c>
      <c r="I207" s="4">
        <v>52173958333.333336</v>
      </c>
      <c r="J207" s="4">
        <v>52173958333.333336</v>
      </c>
      <c r="K207" s="4">
        <v>-3.4651884069484149E-12</v>
      </c>
      <c r="L207" s="4">
        <v>-3.4651884069484149E-12</v>
      </c>
      <c r="M207" s="4">
        <v>0</v>
      </c>
      <c r="N207" s="4">
        <v>2.0000000000000001E-4</v>
      </c>
      <c r="O207" s="4">
        <v>132.43281024531021</v>
      </c>
      <c r="P207" s="4">
        <v>132.43281024531021</v>
      </c>
      <c r="Q207" s="4">
        <v>7.2852758487654315E-10</v>
      </c>
      <c r="R207" s="4">
        <v>0</v>
      </c>
      <c r="S207" s="4">
        <v>1.5061979166666666E-4</v>
      </c>
      <c r="T207" s="4">
        <v>1.0247395833333334E-5</v>
      </c>
      <c r="U207" s="4">
        <v>1.0247395833333334E-5</v>
      </c>
      <c r="V207" s="4">
        <v>0</v>
      </c>
      <c r="W207" s="4">
        <v>0</v>
      </c>
      <c r="X207" s="4">
        <v>2.5303819444444446</v>
      </c>
      <c r="Y207" s="4">
        <v>5321.7013888888887</v>
      </c>
      <c r="Z207" s="4">
        <f t="shared" si="56"/>
        <v>6.0000000000000006E-4</v>
      </c>
      <c r="AA207" s="4">
        <f t="shared" si="56"/>
        <v>8.0000000000000004E-4</v>
      </c>
      <c r="AB207" s="3">
        <v>2</v>
      </c>
    </row>
    <row r="208" spans="1:28" x14ac:dyDescent="0.25">
      <c r="C208" s="3">
        <v>11</v>
      </c>
      <c r="D208" s="4">
        <v>153973289010.0957</v>
      </c>
      <c r="E208" s="4">
        <v>153973289010.0957</v>
      </c>
      <c r="F208" s="4">
        <v>0.36693317738670622</v>
      </c>
      <c r="G208" s="4">
        <v>0</v>
      </c>
      <c r="H208" s="4">
        <v>56312500000</v>
      </c>
      <c r="I208" s="4">
        <v>52190625000</v>
      </c>
      <c r="J208" s="4">
        <v>52190625000</v>
      </c>
      <c r="K208" s="4">
        <v>-1.2474678265014296E-12</v>
      </c>
      <c r="L208" s="4">
        <v>-1.2474678265014296E-12</v>
      </c>
      <c r="M208" s="4">
        <v>0</v>
      </c>
      <c r="N208" s="4">
        <v>2.0000000000000001E-4</v>
      </c>
      <c r="O208" s="4">
        <v>136.27840909090907</v>
      </c>
      <c r="P208" s="4">
        <v>136.27840909090907</v>
      </c>
      <c r="Q208" s="4">
        <v>3.2178993055555557E-10</v>
      </c>
      <c r="R208" s="4">
        <v>0</v>
      </c>
      <c r="S208" s="4">
        <v>1.54703125E-4</v>
      </c>
      <c r="T208" s="4">
        <v>1.00890625E-5</v>
      </c>
      <c r="U208" s="4">
        <v>1.00890625E-5</v>
      </c>
      <c r="V208" s="4">
        <v>0</v>
      </c>
      <c r="W208" s="4">
        <v>0</v>
      </c>
      <c r="X208" s="4">
        <v>2.5109374999999998</v>
      </c>
      <c r="Y208" s="4">
        <v>5307.8125</v>
      </c>
      <c r="Z208" s="4">
        <f t="shared" si="56"/>
        <v>8.0000000000000004E-4</v>
      </c>
      <c r="AA208" s="4">
        <f t="shared" si="56"/>
        <v>1E-3</v>
      </c>
      <c r="AB208" s="3">
        <v>2</v>
      </c>
    </row>
    <row r="209" spans="1:28" x14ac:dyDescent="0.25">
      <c r="B209" t="s">
        <v>240</v>
      </c>
      <c r="C209" s="10">
        <v>12</v>
      </c>
      <c r="D209" s="4">
        <v>154504392701.54129</v>
      </c>
      <c r="E209" s="4">
        <v>154504392701.54129</v>
      </c>
      <c r="F209" s="4">
        <v>0.3677774772354705</v>
      </c>
      <c r="G209" s="4">
        <v>0</v>
      </c>
      <c r="H209" s="4">
        <v>56479166666.666664</v>
      </c>
      <c r="I209" s="4">
        <v>52198958333.333336</v>
      </c>
      <c r="J209" s="4">
        <v>52198958333.333336</v>
      </c>
      <c r="K209" s="4">
        <v>-1.3860753627793601E-13</v>
      </c>
      <c r="L209" s="4">
        <v>-1.3860753627793601E-13</v>
      </c>
      <c r="M209" s="4">
        <v>0</v>
      </c>
      <c r="N209" s="4">
        <v>2.0000000000000001E-4</v>
      </c>
      <c r="O209" s="4">
        <v>138.20120851370848</v>
      </c>
      <c r="P209" s="4">
        <v>138.20120851370848</v>
      </c>
      <c r="Q209" s="4">
        <v>1.1842110339506163E-10</v>
      </c>
      <c r="R209" s="4">
        <v>0</v>
      </c>
      <c r="S209" s="4">
        <v>1.5674479166666666E-4</v>
      </c>
      <c r="T209" s="4">
        <v>1.0009895833333335E-5</v>
      </c>
      <c r="U209" s="4">
        <v>1.0009895833333335E-5</v>
      </c>
      <c r="V209" s="4">
        <v>0</v>
      </c>
      <c r="W209" s="4">
        <v>0</v>
      </c>
      <c r="X209" s="4">
        <v>2.5012152777777779</v>
      </c>
      <c r="Y209" s="4">
        <v>5300.8680555555557</v>
      </c>
      <c r="Z209" s="4">
        <f t="shared" si="56"/>
        <v>1E-3</v>
      </c>
      <c r="AA209" s="4">
        <f t="shared" si="56"/>
        <v>1.2000000000000001E-3</v>
      </c>
      <c r="AB209" s="3">
        <v>2</v>
      </c>
    </row>
    <row r="210" spans="1:28" x14ac:dyDescent="0.25">
      <c r="C210" s="10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3"/>
    </row>
    <row r="211" spans="1:28" x14ac:dyDescent="0.25">
      <c r="C211" s="10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3"/>
    </row>
    <row r="212" spans="1:28" x14ac:dyDescent="0.25">
      <c r="A212" t="s">
        <v>227</v>
      </c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3"/>
    </row>
    <row r="213" spans="1:28" x14ac:dyDescent="0.25">
      <c r="A213" t="s">
        <v>227</v>
      </c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3"/>
    </row>
    <row r="214" spans="1:28" x14ac:dyDescent="0.25">
      <c r="A214" t="s">
        <v>227</v>
      </c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3"/>
    </row>
    <row r="215" spans="1:28" x14ac:dyDescent="0.25">
      <c r="A215" s="14" t="s">
        <v>236</v>
      </c>
      <c r="C215" s="9" t="s">
        <v>27</v>
      </c>
      <c r="D215" s="9" t="s">
        <v>28</v>
      </c>
      <c r="E215" s="9" t="s">
        <v>29</v>
      </c>
      <c r="F215" s="9" t="s">
        <v>30</v>
      </c>
      <c r="G215" s="9" t="s">
        <v>31</v>
      </c>
      <c r="H215" s="9" t="s">
        <v>229</v>
      </c>
      <c r="I215" s="9" t="s">
        <v>33</v>
      </c>
      <c r="J215" s="9" t="s">
        <v>34</v>
      </c>
      <c r="K215" s="9" t="s">
        <v>35</v>
      </c>
      <c r="L215" s="9" t="s">
        <v>36</v>
      </c>
      <c r="M215" s="9" t="s">
        <v>37</v>
      </c>
      <c r="N215" s="9" t="s">
        <v>38</v>
      </c>
      <c r="O215" s="9" t="s">
        <v>39</v>
      </c>
      <c r="P215" s="9" t="s">
        <v>40</v>
      </c>
      <c r="Q215" s="9" t="s">
        <v>41</v>
      </c>
      <c r="R215" s="9" t="s">
        <v>42</v>
      </c>
      <c r="S215" s="9" t="s">
        <v>43</v>
      </c>
      <c r="T215" s="9" t="s">
        <v>230</v>
      </c>
      <c r="U215" s="9" t="s">
        <v>231</v>
      </c>
      <c r="V215" s="9" t="s">
        <v>232</v>
      </c>
      <c r="W215" s="9" t="s">
        <v>233</v>
      </c>
      <c r="X215" s="9" t="s">
        <v>234</v>
      </c>
      <c r="Y215" s="9" t="s">
        <v>49</v>
      </c>
      <c r="Z215" s="9" t="s">
        <v>50</v>
      </c>
      <c r="AA215" s="9" t="s">
        <v>51</v>
      </c>
      <c r="AB215" s="9" t="s">
        <v>52</v>
      </c>
    </row>
    <row r="216" spans="1:28" x14ac:dyDescent="0.25">
      <c r="A216" s="11" t="s">
        <v>235</v>
      </c>
      <c r="B216" t="s">
        <v>75</v>
      </c>
      <c r="C216" s="10">
        <v>1</v>
      </c>
      <c r="D216" s="4">
        <v>117194031603.28645</v>
      </c>
      <c r="E216" s="4">
        <v>117194031603.28645</v>
      </c>
      <c r="F216" s="4">
        <v>0.30642888354767572</v>
      </c>
      <c r="G216" s="4">
        <v>0</v>
      </c>
      <c r="H216" s="4">
        <v>44637500000</v>
      </c>
      <c r="I216" s="4">
        <v>50783958333.333336</v>
      </c>
      <c r="J216" s="4">
        <v>50783958333.333336</v>
      </c>
      <c r="K216" s="4">
        <v>-7.2658070516894407E-11</v>
      </c>
      <c r="L216" s="4">
        <v>-7.2658070516894407E-11</v>
      </c>
      <c r="M216" s="4">
        <v>0</v>
      </c>
      <c r="N216" s="4">
        <v>2.0000000000000001E-4</v>
      </c>
      <c r="O216" s="4">
        <v>10.142766955266916</v>
      </c>
      <c r="P216" s="4">
        <v>10.142766955266916</v>
      </c>
      <c r="Q216" s="4">
        <v>1.3417192399691363E-8</v>
      </c>
      <c r="R216" s="4">
        <v>0</v>
      </c>
      <c r="S216" s="4">
        <v>2.0603124999999974E-5</v>
      </c>
      <c r="T216" s="4">
        <v>1.5020729166666666E-5</v>
      </c>
      <c r="U216" s="4">
        <v>1.5020729166666666E-5</v>
      </c>
      <c r="V216" s="4">
        <v>0</v>
      </c>
      <c r="W216" s="4">
        <v>0</v>
      </c>
      <c r="X216" s="4">
        <v>3.095381944444445</v>
      </c>
      <c r="Y216" s="4">
        <v>5666.7013888888887</v>
      </c>
      <c r="Z216" s="4">
        <v>-1.1999999999999999E-3</v>
      </c>
      <c r="AA216" s="4">
        <v>-1E-3</v>
      </c>
      <c r="AB216" s="3">
        <v>2</v>
      </c>
    </row>
    <row r="217" spans="1:28" x14ac:dyDescent="0.25">
      <c r="C217" s="3">
        <v>2</v>
      </c>
      <c r="D217" s="4">
        <v>118521137283.4897</v>
      </c>
      <c r="E217" s="4">
        <v>118521137283.4897</v>
      </c>
      <c r="F217" s="4">
        <v>0.3044665745453814</v>
      </c>
      <c r="G217" s="4">
        <v>0</v>
      </c>
      <c r="H217" s="4">
        <v>44787500000</v>
      </c>
      <c r="I217" s="4">
        <v>49145625000</v>
      </c>
      <c r="J217" s="4">
        <v>49145625000</v>
      </c>
      <c r="K217" s="4">
        <v>-5.9129974976167762E-11</v>
      </c>
      <c r="L217" s="4">
        <v>-5.9129974976167762E-11</v>
      </c>
      <c r="M217" s="4">
        <v>0</v>
      </c>
      <c r="N217" s="4">
        <v>2.0000000000000001E-4</v>
      </c>
      <c r="O217" s="4">
        <v>28.986201298701296</v>
      </c>
      <c r="P217" s="4">
        <v>28.986201298701296</v>
      </c>
      <c r="Q217" s="4">
        <v>1.0932992708333335E-8</v>
      </c>
      <c r="R217" s="4">
        <v>0</v>
      </c>
      <c r="S217" s="4">
        <v>4.0278125000000005E-5</v>
      </c>
      <c r="T217" s="4">
        <v>1.37215625E-5</v>
      </c>
      <c r="U217" s="4">
        <v>1.37215625E-5</v>
      </c>
      <c r="V217" s="4">
        <v>0</v>
      </c>
      <c r="W217" s="4">
        <v>0</v>
      </c>
      <c r="X217" s="4">
        <v>2.8934375000000001</v>
      </c>
      <c r="Y217" s="4">
        <v>5405.3125</v>
      </c>
      <c r="Z217" s="4">
        <f t="shared" ref="Z217:AA227" si="57">Z216+0.0002</f>
        <v>-9.999999999999998E-4</v>
      </c>
      <c r="AA217" s="4">
        <f t="shared" si="57"/>
        <v>-8.0000000000000004E-4</v>
      </c>
      <c r="AB217" s="3">
        <v>2</v>
      </c>
    </row>
    <row r="218" spans="1:28" x14ac:dyDescent="0.25">
      <c r="C218" s="3">
        <v>3</v>
      </c>
      <c r="D218" s="4">
        <v>119317139272.24738</v>
      </c>
      <c r="E218" s="4">
        <v>119317139272.24738</v>
      </c>
      <c r="F218" s="4">
        <v>0.30165996569432263</v>
      </c>
      <c r="G218" s="4">
        <v>0</v>
      </c>
      <c r="H218" s="4">
        <v>44770833333.333328</v>
      </c>
      <c r="I218" s="4">
        <v>47498958333.333336</v>
      </c>
      <c r="J218" s="4">
        <v>47498958333.333336</v>
      </c>
      <c r="K218" s="4">
        <v>-4.6710739725664658E-11</v>
      </c>
      <c r="L218" s="4">
        <v>-4.6710739725664658E-11</v>
      </c>
      <c r="M218" s="4">
        <v>0</v>
      </c>
      <c r="N218" s="4">
        <v>2.0000000000000001E-4</v>
      </c>
      <c r="O218" s="4">
        <v>45.906836219336192</v>
      </c>
      <c r="P218" s="4">
        <v>45.906836219336192</v>
      </c>
      <c r="Q218" s="4">
        <v>8.6521618441358054E-9</v>
      </c>
      <c r="R218" s="4">
        <v>0</v>
      </c>
      <c r="S218" s="4">
        <v>5.7911458333333304E-5</v>
      </c>
      <c r="T218" s="4">
        <v>1.25015625E-5</v>
      </c>
      <c r="U218" s="4">
        <v>1.25015625E-5</v>
      </c>
      <c r="V218" s="4">
        <v>0</v>
      </c>
      <c r="W218" s="4">
        <v>0</v>
      </c>
      <c r="X218" s="4">
        <v>2.701215277777778</v>
      </c>
      <c r="Y218" s="4">
        <v>5150.8680555555557</v>
      </c>
      <c r="Z218" s="4">
        <f t="shared" si="57"/>
        <v>-7.9999999999999982E-4</v>
      </c>
      <c r="AA218" s="4">
        <f t="shared" si="57"/>
        <v>-6.0000000000000006E-4</v>
      </c>
      <c r="AB218" s="3">
        <v>2</v>
      </c>
    </row>
    <row r="219" spans="1:28" x14ac:dyDescent="0.25">
      <c r="C219" s="3">
        <v>4</v>
      </c>
      <c r="D219" s="4">
        <v>119582037569.55954</v>
      </c>
      <c r="E219" s="4">
        <v>119582037569.55954</v>
      </c>
      <c r="F219" s="4">
        <v>0.29800905699449964</v>
      </c>
      <c r="G219" s="4">
        <v>0</v>
      </c>
      <c r="H219" s="4">
        <v>44587500000</v>
      </c>
      <c r="I219" s="4">
        <v>45843958333.333336</v>
      </c>
      <c r="J219" s="4">
        <v>45843958333.333336</v>
      </c>
      <c r="K219" s="4">
        <v>-3.5400364765385017E-11</v>
      </c>
      <c r="L219" s="4">
        <v>-3.5400364765385017E-11</v>
      </c>
      <c r="M219" s="4">
        <v>0</v>
      </c>
      <c r="N219" s="4">
        <v>2.0000000000000001E-4</v>
      </c>
      <c r="O219" s="4">
        <v>60.904671717171695</v>
      </c>
      <c r="P219" s="4">
        <v>60.904671717171695</v>
      </c>
      <c r="Q219" s="4">
        <v>6.5746998070987676E-9</v>
      </c>
      <c r="R219" s="4">
        <v>0</v>
      </c>
      <c r="S219" s="4">
        <v>7.3503124999999993E-5</v>
      </c>
      <c r="T219" s="4">
        <v>1.1360729166666665E-5</v>
      </c>
      <c r="U219" s="4">
        <v>1.1360729166666665E-5</v>
      </c>
      <c r="V219" s="4">
        <v>0</v>
      </c>
      <c r="W219" s="4">
        <v>0</v>
      </c>
      <c r="X219" s="4">
        <v>2.5187152777777779</v>
      </c>
      <c r="Y219" s="4">
        <v>4903.3680555555557</v>
      </c>
      <c r="Z219" s="4">
        <f t="shared" si="57"/>
        <v>-5.9999999999999984E-4</v>
      </c>
      <c r="AA219" s="4">
        <f t="shared" si="57"/>
        <v>-4.0000000000000007E-4</v>
      </c>
      <c r="AB219" s="3">
        <v>2</v>
      </c>
    </row>
    <row r="220" spans="1:28" x14ac:dyDescent="0.25">
      <c r="C220" s="3">
        <v>5</v>
      </c>
      <c r="D220" s="4">
        <v>119315832175.42615</v>
      </c>
      <c r="E220" s="4">
        <v>119315832175.42615</v>
      </c>
      <c r="F220" s="4">
        <v>0.29351384844591238</v>
      </c>
      <c r="G220" s="4">
        <v>0</v>
      </c>
      <c r="H220" s="4">
        <v>44237500000</v>
      </c>
      <c r="I220" s="4">
        <v>44180625000</v>
      </c>
      <c r="J220" s="4">
        <v>44180625000</v>
      </c>
      <c r="K220" s="4">
        <v>-2.5198850095328878E-11</v>
      </c>
      <c r="L220" s="4">
        <v>-2.5198850095328878E-11</v>
      </c>
      <c r="M220" s="4">
        <v>0</v>
      </c>
      <c r="N220" s="4">
        <v>2.0000000000000001E-4</v>
      </c>
      <c r="O220" s="4">
        <v>73.979707792207776</v>
      </c>
      <c r="P220" s="4">
        <v>73.979707792207776</v>
      </c>
      <c r="Q220" s="4">
        <v>4.700606597222223E-9</v>
      </c>
      <c r="R220" s="4">
        <v>0</v>
      </c>
      <c r="S220" s="4">
        <v>8.705312500000001E-5</v>
      </c>
      <c r="T220" s="4">
        <v>1.02990625E-5</v>
      </c>
      <c r="U220" s="4">
        <v>1.02990625E-5</v>
      </c>
      <c r="V220" s="4">
        <v>0</v>
      </c>
      <c r="W220" s="4">
        <v>0</v>
      </c>
      <c r="X220" s="4">
        <v>2.3459374999999998</v>
      </c>
      <c r="Y220" s="4">
        <v>4662.8125</v>
      </c>
      <c r="Z220" s="4">
        <f t="shared" si="57"/>
        <v>-3.9999999999999986E-4</v>
      </c>
      <c r="AA220" s="4">
        <f t="shared" si="57"/>
        <v>-2.0000000000000006E-4</v>
      </c>
      <c r="AB220" s="3">
        <v>2</v>
      </c>
    </row>
    <row r="221" spans="1:28" x14ac:dyDescent="0.25">
      <c r="C221" s="3">
        <v>6</v>
      </c>
      <c r="D221" s="4">
        <v>118518523089.84721</v>
      </c>
      <c r="E221" s="4">
        <v>118518523089.84721</v>
      </c>
      <c r="F221" s="4">
        <v>0.2881743400485608</v>
      </c>
      <c r="G221" s="4">
        <v>0</v>
      </c>
      <c r="H221" s="4">
        <v>43720833333.333328</v>
      </c>
      <c r="I221" s="4">
        <v>42508958333.333336</v>
      </c>
      <c r="J221" s="4">
        <v>42508958333.333336</v>
      </c>
      <c r="K221" s="4">
        <v>-1.6106195715496231E-11</v>
      </c>
      <c r="L221" s="4">
        <v>-1.6106195715496231E-11</v>
      </c>
      <c r="M221" s="4">
        <v>0</v>
      </c>
      <c r="N221" s="4">
        <v>2.0000000000000001E-4</v>
      </c>
      <c r="O221" s="4">
        <v>85.131944444444429</v>
      </c>
      <c r="P221" s="4">
        <v>85.131944444444429</v>
      </c>
      <c r="Q221" s="4">
        <v>3.0298822145061731E-9</v>
      </c>
      <c r="R221" s="4">
        <v>0</v>
      </c>
      <c r="S221" s="4">
        <v>9.856145833333333E-5</v>
      </c>
      <c r="T221" s="4">
        <v>9.3165624999999989E-6</v>
      </c>
      <c r="U221" s="4">
        <v>9.3165624999999989E-6</v>
      </c>
      <c r="V221" s="4">
        <v>0</v>
      </c>
      <c r="W221" s="4">
        <v>0</v>
      </c>
      <c r="X221" s="4">
        <v>2.1828819444444445</v>
      </c>
      <c r="Y221" s="4">
        <v>4429.2013888888887</v>
      </c>
      <c r="Z221" s="4">
        <f t="shared" si="57"/>
        <v>-1.9999999999999985E-4</v>
      </c>
      <c r="AA221" s="4">
        <f t="shared" si="57"/>
        <v>0</v>
      </c>
      <c r="AB221" s="3">
        <v>2</v>
      </c>
    </row>
    <row r="222" spans="1:28" x14ac:dyDescent="0.25">
      <c r="C222" s="3">
        <v>7</v>
      </c>
      <c r="D222" s="4">
        <v>121705145238.52049</v>
      </c>
      <c r="E222" s="4">
        <v>121705145238.52049</v>
      </c>
      <c r="F222" s="4">
        <v>0.29324013914114661</v>
      </c>
      <c r="G222" s="4">
        <v>0</v>
      </c>
      <c r="H222" s="4">
        <v>44720833333.333328</v>
      </c>
      <c r="I222" s="4">
        <v>42558958333.333336</v>
      </c>
      <c r="J222" s="4">
        <v>42558958333.333336</v>
      </c>
      <c r="K222" s="4">
        <v>-9.4530339741552754E-12</v>
      </c>
      <c r="L222" s="4">
        <v>-9.4530339741552754E-12</v>
      </c>
      <c r="M222" s="4">
        <v>0</v>
      </c>
      <c r="N222" s="4">
        <v>2.0000000000000001E-4</v>
      </c>
      <c r="O222" s="4">
        <v>96.668740981240958</v>
      </c>
      <c r="P222" s="4">
        <v>96.668740981240958</v>
      </c>
      <c r="Q222" s="4">
        <v>1.8096692515432096E-9</v>
      </c>
      <c r="R222" s="4">
        <v>0</v>
      </c>
      <c r="S222" s="4">
        <v>1.1081145833333333E-4</v>
      </c>
      <c r="T222" s="4">
        <v>8.8415624999999993E-6</v>
      </c>
      <c r="U222" s="4">
        <v>8.8415624999999993E-6</v>
      </c>
      <c r="V222" s="4">
        <v>0</v>
      </c>
      <c r="W222" s="4">
        <v>0</v>
      </c>
      <c r="X222" s="4">
        <v>2.1245486111111114</v>
      </c>
      <c r="Y222" s="4">
        <v>4387.5347222222226</v>
      </c>
      <c r="Z222" s="4">
        <f t="shared" si="57"/>
        <v>0</v>
      </c>
      <c r="AA222" s="4">
        <f t="shared" si="57"/>
        <v>2.0000000000000001E-4</v>
      </c>
      <c r="AB222" s="3">
        <v>2</v>
      </c>
    </row>
    <row r="223" spans="1:28" x14ac:dyDescent="0.25">
      <c r="C223" s="3">
        <v>8</v>
      </c>
      <c r="D223" s="4">
        <v>128875698621.44595</v>
      </c>
      <c r="E223" s="4">
        <v>128875698621.44595</v>
      </c>
      <c r="F223" s="4">
        <v>0.30871124572366981</v>
      </c>
      <c r="G223" s="4">
        <v>0</v>
      </c>
      <c r="H223" s="4">
        <v>47237500000</v>
      </c>
      <c r="I223" s="4">
        <v>44330625000</v>
      </c>
      <c r="J223" s="4">
        <v>44330625000</v>
      </c>
      <c r="K223" s="4">
        <v>-5.239364871306004E-12</v>
      </c>
      <c r="L223" s="4">
        <v>-5.239364871306004E-12</v>
      </c>
      <c r="M223" s="4">
        <v>0</v>
      </c>
      <c r="N223" s="4">
        <v>2.0000000000000001E-4</v>
      </c>
      <c r="O223" s="4">
        <v>108.59009740259738</v>
      </c>
      <c r="P223" s="4">
        <v>108.59009740259738</v>
      </c>
      <c r="Q223" s="4">
        <v>1.0399677083333332E-9</v>
      </c>
      <c r="R223" s="4">
        <v>0</v>
      </c>
      <c r="S223" s="4">
        <v>1.2380312500000001E-4</v>
      </c>
      <c r="T223" s="4">
        <v>8.8740625000000011E-6</v>
      </c>
      <c r="U223" s="4">
        <v>8.8740625000000011E-6</v>
      </c>
      <c r="V223" s="4">
        <v>0</v>
      </c>
      <c r="W223" s="4">
        <v>0</v>
      </c>
      <c r="X223" s="4">
        <v>2.1709375</v>
      </c>
      <c r="Y223" s="4">
        <v>4537.8125</v>
      </c>
      <c r="Z223" s="4">
        <f t="shared" si="57"/>
        <v>2.0000000000000001E-4</v>
      </c>
      <c r="AA223" s="4">
        <f t="shared" si="57"/>
        <v>4.0000000000000002E-4</v>
      </c>
      <c r="AB223" s="3">
        <v>2</v>
      </c>
    </row>
    <row r="224" spans="1:28" x14ac:dyDescent="0.25">
      <c r="C224" s="3">
        <v>9</v>
      </c>
      <c r="D224" s="4">
        <v>135515148312.92587</v>
      </c>
      <c r="E224" s="4">
        <v>135515148312.92587</v>
      </c>
      <c r="F224" s="4">
        <v>0.32333805245742869</v>
      </c>
      <c r="G224" s="4">
        <v>0</v>
      </c>
      <c r="H224" s="4">
        <v>49587500000</v>
      </c>
      <c r="I224" s="4">
        <v>46093958333.333336</v>
      </c>
      <c r="J224" s="4">
        <v>46093958333.333336</v>
      </c>
      <c r="K224" s="4">
        <v>-2.1345560586802224E-12</v>
      </c>
      <c r="L224" s="4">
        <v>-2.1345560586802224E-12</v>
      </c>
      <c r="M224" s="4">
        <v>0</v>
      </c>
      <c r="N224" s="4">
        <v>2.0000000000000001E-4</v>
      </c>
      <c r="O224" s="4">
        <v>118.58865440115437</v>
      </c>
      <c r="P224" s="4">
        <v>118.58865440115437</v>
      </c>
      <c r="Q224" s="4">
        <v>4.7363499228395046E-10</v>
      </c>
      <c r="R224" s="4">
        <v>0</v>
      </c>
      <c r="S224" s="4">
        <v>1.34753125E-4</v>
      </c>
      <c r="T224" s="4">
        <v>8.9857291666666669E-6</v>
      </c>
      <c r="U224" s="4">
        <v>8.9857291666666669E-6</v>
      </c>
      <c r="V224" s="4">
        <v>0</v>
      </c>
      <c r="W224" s="4">
        <v>0</v>
      </c>
      <c r="X224" s="4">
        <v>2.227048611111111</v>
      </c>
      <c r="Y224" s="4">
        <v>4695.0347222222226</v>
      </c>
      <c r="Z224" s="4">
        <f t="shared" si="57"/>
        <v>4.0000000000000002E-4</v>
      </c>
      <c r="AA224" s="4">
        <f t="shared" si="57"/>
        <v>6.0000000000000006E-4</v>
      </c>
      <c r="AB224" s="3">
        <v>2</v>
      </c>
    </row>
    <row r="225" spans="1:28" x14ac:dyDescent="0.25">
      <c r="C225" s="3">
        <v>10</v>
      </c>
      <c r="D225" s="4">
        <v>141623494312.96027</v>
      </c>
      <c r="E225" s="4">
        <v>141623494312.96027</v>
      </c>
      <c r="F225" s="4">
        <v>0.33712055934242335</v>
      </c>
      <c r="G225" s="4">
        <v>0</v>
      </c>
      <c r="H225" s="4">
        <v>51770833333.333328</v>
      </c>
      <c r="I225" s="4">
        <v>47848958333.333336</v>
      </c>
      <c r="J225" s="4">
        <v>47848958333.333336</v>
      </c>
      <c r="K225" s="4">
        <v>-1.3860753627793611E-13</v>
      </c>
      <c r="L225" s="4">
        <v>-1.3860753627793611E-13</v>
      </c>
      <c r="M225" s="4">
        <v>0</v>
      </c>
      <c r="N225" s="4">
        <v>2.0000000000000001E-4</v>
      </c>
      <c r="O225" s="4">
        <v>126.66441197691194</v>
      </c>
      <c r="P225" s="4">
        <v>126.66441197691194</v>
      </c>
      <c r="Q225" s="4">
        <v>1.1067110339506163E-10</v>
      </c>
      <c r="R225" s="4">
        <v>0</v>
      </c>
      <c r="S225" s="4">
        <v>1.4366145833333331E-4</v>
      </c>
      <c r="T225" s="4">
        <v>9.1765625000000003E-6</v>
      </c>
      <c r="U225" s="4">
        <v>9.1765625000000003E-6</v>
      </c>
      <c r="V225" s="4">
        <v>0</v>
      </c>
      <c r="W225" s="4">
        <v>0</v>
      </c>
      <c r="X225" s="4">
        <v>2.2928819444444448</v>
      </c>
      <c r="Y225" s="4">
        <v>4859.2013888888887</v>
      </c>
      <c r="Z225" s="4">
        <f t="shared" si="57"/>
        <v>6.0000000000000006E-4</v>
      </c>
      <c r="AA225" s="4">
        <f t="shared" si="57"/>
        <v>8.0000000000000004E-4</v>
      </c>
      <c r="AB225" s="3">
        <v>2</v>
      </c>
    </row>
    <row r="226" spans="1:28" x14ac:dyDescent="0.25">
      <c r="C226" s="3">
        <v>11</v>
      </c>
      <c r="D226" s="4">
        <v>147200736621.54907</v>
      </c>
      <c r="E226" s="4">
        <v>147200736621.54907</v>
      </c>
      <c r="F226" s="4">
        <v>0.35005876637865369</v>
      </c>
      <c r="G226" s="4">
        <v>0</v>
      </c>
      <c r="H226" s="4">
        <v>53787500000</v>
      </c>
      <c r="I226" s="4">
        <v>49595625000</v>
      </c>
      <c r="J226" s="4">
        <v>49595625000</v>
      </c>
      <c r="K226" s="4">
        <v>7.4848069590085786E-13</v>
      </c>
      <c r="L226" s="4">
        <v>7.4848069590085786E-13</v>
      </c>
      <c r="M226" s="4">
        <v>0</v>
      </c>
      <c r="N226" s="4">
        <v>2.0000000000000001E-4</v>
      </c>
      <c r="O226" s="4">
        <v>132.81737012987011</v>
      </c>
      <c r="P226" s="4">
        <v>132.81737012987011</v>
      </c>
      <c r="Q226" s="4">
        <v>-4.8923958333333361E-11</v>
      </c>
      <c r="R226" s="4">
        <v>0</v>
      </c>
      <c r="S226" s="4">
        <v>1.5052812499999999E-4</v>
      </c>
      <c r="T226" s="4">
        <v>9.4465625000000011E-6</v>
      </c>
      <c r="U226" s="4">
        <v>9.4465625000000011E-6</v>
      </c>
      <c r="V226" s="4">
        <v>0</v>
      </c>
      <c r="W226" s="4">
        <v>0</v>
      </c>
      <c r="X226" s="4">
        <v>2.3684374999999998</v>
      </c>
      <c r="Y226" s="4">
        <v>5030.3125</v>
      </c>
      <c r="Z226" s="4">
        <f t="shared" si="57"/>
        <v>8.0000000000000004E-4</v>
      </c>
      <c r="AA226" s="4">
        <f t="shared" si="57"/>
        <v>1E-3</v>
      </c>
      <c r="AB226" s="3">
        <v>2</v>
      </c>
    </row>
    <row r="227" spans="1:28" x14ac:dyDescent="0.25">
      <c r="B227" t="s">
        <v>240</v>
      </c>
      <c r="C227" s="10">
        <v>12</v>
      </c>
      <c r="D227" s="4">
        <v>152246875238.69241</v>
      </c>
      <c r="E227" s="4">
        <v>152246875238.69241</v>
      </c>
      <c r="F227" s="4">
        <v>0.36215267356611963</v>
      </c>
      <c r="G227" s="4">
        <v>0</v>
      </c>
      <c r="H227" s="4">
        <v>55637500000</v>
      </c>
      <c r="I227" s="4">
        <v>51333958333.333336</v>
      </c>
      <c r="J227" s="4">
        <v>51333958333.333336</v>
      </c>
      <c r="K227" s="4">
        <v>5.2670863785615831E-13</v>
      </c>
      <c r="L227" s="4">
        <v>5.2670863785615831E-13</v>
      </c>
      <c r="M227" s="4">
        <v>0</v>
      </c>
      <c r="N227" s="4">
        <v>2.0000000000000001E-4</v>
      </c>
      <c r="O227" s="4">
        <v>137.04752886002882</v>
      </c>
      <c r="P227" s="4">
        <v>137.04752886002882</v>
      </c>
      <c r="Q227" s="4">
        <v>-5.1501929012344067E-12</v>
      </c>
      <c r="R227" s="4">
        <v>0</v>
      </c>
      <c r="S227" s="4">
        <v>1.5535312499999999E-4</v>
      </c>
      <c r="T227" s="4">
        <v>9.7957291666666677E-6</v>
      </c>
      <c r="U227" s="4">
        <v>9.7957291666666677E-6</v>
      </c>
      <c r="V227" s="4">
        <v>0</v>
      </c>
      <c r="W227" s="4">
        <v>0</v>
      </c>
      <c r="X227" s="4">
        <v>2.453715277777778</v>
      </c>
      <c r="Y227" s="4">
        <v>5208.3680555555557</v>
      </c>
      <c r="Z227" s="4">
        <f t="shared" si="57"/>
        <v>1E-3</v>
      </c>
      <c r="AA227" s="4">
        <f t="shared" si="57"/>
        <v>1.2000000000000001E-3</v>
      </c>
      <c r="AB227" s="3">
        <v>2</v>
      </c>
    </row>
    <row r="228" spans="1:28" x14ac:dyDescent="0.25">
      <c r="C228" s="10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3"/>
    </row>
    <row r="229" spans="1:28" x14ac:dyDescent="0.25">
      <c r="C229" s="10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3"/>
    </row>
    <row r="230" spans="1:28" x14ac:dyDescent="0.25">
      <c r="C230" s="10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3"/>
    </row>
    <row r="231" spans="1:28" x14ac:dyDescent="0.25">
      <c r="A231" s="14" t="s">
        <v>237</v>
      </c>
      <c r="C231" s="9" t="s">
        <v>27</v>
      </c>
      <c r="D231" s="9" t="s">
        <v>28</v>
      </c>
      <c r="E231" s="9" t="s">
        <v>29</v>
      </c>
      <c r="F231" s="9" t="s">
        <v>30</v>
      </c>
      <c r="G231" s="9" t="s">
        <v>31</v>
      </c>
      <c r="H231" s="9" t="s">
        <v>229</v>
      </c>
      <c r="I231" s="9" t="s">
        <v>33</v>
      </c>
      <c r="J231" s="9" t="s">
        <v>34</v>
      </c>
      <c r="K231" s="9" t="s">
        <v>35</v>
      </c>
      <c r="L231" s="9" t="s">
        <v>36</v>
      </c>
      <c r="M231" s="9" t="s">
        <v>37</v>
      </c>
      <c r="N231" s="9" t="s">
        <v>38</v>
      </c>
      <c r="O231" s="9" t="s">
        <v>39</v>
      </c>
      <c r="P231" s="9" t="s">
        <v>40</v>
      </c>
      <c r="Q231" s="9" t="s">
        <v>41</v>
      </c>
      <c r="R231" s="9" t="s">
        <v>42</v>
      </c>
      <c r="S231" s="9" t="s">
        <v>43</v>
      </c>
      <c r="T231" s="9" t="s">
        <v>230</v>
      </c>
      <c r="U231" s="9" t="s">
        <v>231</v>
      </c>
      <c r="V231" s="9" t="s">
        <v>232</v>
      </c>
      <c r="W231" s="9" t="s">
        <v>233</v>
      </c>
      <c r="X231" s="9" t="s">
        <v>234</v>
      </c>
      <c r="Y231" s="9" t="s">
        <v>49</v>
      </c>
      <c r="Z231" s="9" t="s">
        <v>50</v>
      </c>
      <c r="AA231" s="9" t="s">
        <v>51</v>
      </c>
      <c r="AB231" s="9" t="s">
        <v>52</v>
      </c>
    </row>
    <row r="232" spans="1:28" x14ac:dyDescent="0.25">
      <c r="A232" s="11" t="s">
        <v>235</v>
      </c>
      <c r="B232" t="s">
        <v>75</v>
      </c>
      <c r="C232" s="10">
        <v>1</v>
      </c>
      <c r="D232" s="4">
        <v>114936514140.43758</v>
      </c>
      <c r="E232" s="4">
        <v>114936514140.43758</v>
      </c>
      <c r="F232" s="4">
        <v>0.30080407987832491</v>
      </c>
      <c r="G232" s="4">
        <v>0</v>
      </c>
      <c r="H232" s="4">
        <v>43795833333.333336</v>
      </c>
      <c r="I232" s="4">
        <v>49918958333.333344</v>
      </c>
      <c r="J232" s="4">
        <v>49918958333.333344</v>
      </c>
      <c r="K232" s="4">
        <v>-7.1992754342760306E-11</v>
      </c>
      <c r="L232" s="4">
        <v>-7.1992754342760306E-11</v>
      </c>
      <c r="M232" s="4">
        <v>0</v>
      </c>
      <c r="N232" s="4">
        <v>2.0000000000000001E-4</v>
      </c>
      <c r="O232" s="4">
        <v>8.989087301587265</v>
      </c>
      <c r="P232" s="4">
        <v>8.989087301587265</v>
      </c>
      <c r="Q232" s="4">
        <v>1.3293621103395067E-8</v>
      </c>
      <c r="R232" s="4">
        <v>0</v>
      </c>
      <c r="S232" s="4">
        <v>1.9211458333333308E-5</v>
      </c>
      <c r="T232" s="4">
        <v>1.4806562500000001E-5</v>
      </c>
      <c r="U232" s="4">
        <v>1.4806562500000001E-5</v>
      </c>
      <c r="V232" s="4">
        <v>0</v>
      </c>
      <c r="W232" s="4">
        <v>0</v>
      </c>
      <c r="X232" s="4">
        <v>3.0478819444444452</v>
      </c>
      <c r="Y232" s="4">
        <v>5574.2013888888887</v>
      </c>
      <c r="Z232" s="4">
        <v>-1.1999999999999999E-3</v>
      </c>
      <c r="AA232" s="4">
        <v>-1E-3</v>
      </c>
      <c r="AB232" s="3">
        <v>2</v>
      </c>
    </row>
    <row r="233" spans="1:28" x14ac:dyDescent="0.25">
      <c r="C233" s="3">
        <v>2</v>
      </c>
      <c r="D233" s="4">
        <v>111748584894.94308</v>
      </c>
      <c r="E233" s="4">
        <v>111748584894.94308</v>
      </c>
      <c r="F233" s="4">
        <v>0.2875921635373288</v>
      </c>
      <c r="G233" s="4">
        <v>0</v>
      </c>
      <c r="H233" s="4">
        <v>42262500000</v>
      </c>
      <c r="I233" s="4">
        <v>46550625000</v>
      </c>
      <c r="J233" s="4">
        <v>46550625000</v>
      </c>
      <c r="K233" s="4">
        <v>-5.7134026453765478E-11</v>
      </c>
      <c r="L233" s="4">
        <v>-5.7134026453765478E-11</v>
      </c>
      <c r="M233" s="4">
        <v>0</v>
      </c>
      <c r="N233" s="4">
        <v>2.0000000000000001E-4</v>
      </c>
      <c r="O233" s="4">
        <v>25.525162337662334</v>
      </c>
      <c r="P233" s="4">
        <v>25.525162337662334</v>
      </c>
      <c r="Q233" s="4">
        <v>1.0562278819444445E-8</v>
      </c>
      <c r="R233" s="4">
        <v>0</v>
      </c>
      <c r="S233" s="4">
        <v>3.6103125000000005E-5</v>
      </c>
      <c r="T233" s="4">
        <v>1.3079062499999999E-5</v>
      </c>
      <c r="U233" s="4">
        <v>1.3079062499999999E-5</v>
      </c>
      <c r="V233" s="4">
        <v>0</v>
      </c>
      <c r="W233" s="4">
        <v>0</v>
      </c>
      <c r="X233" s="4">
        <v>2.7509375</v>
      </c>
      <c r="Y233" s="4">
        <v>5127.8125</v>
      </c>
      <c r="Z233" s="4">
        <f t="shared" ref="Z233:AA233" si="58">Z232+0.0002</f>
        <v>-9.999999999999998E-4</v>
      </c>
      <c r="AA233" s="4">
        <f t="shared" si="58"/>
        <v>-8.0000000000000004E-4</v>
      </c>
      <c r="AB233" s="3">
        <v>2</v>
      </c>
    </row>
    <row r="234" spans="1:28" x14ac:dyDescent="0.25">
      <c r="C234" s="3">
        <v>3</v>
      </c>
      <c r="D234" s="4">
        <v>108029551958.00302</v>
      </c>
      <c r="E234" s="4">
        <v>108029551958.00302</v>
      </c>
      <c r="F234" s="4">
        <v>0.27353594734756836</v>
      </c>
      <c r="G234" s="4">
        <v>0</v>
      </c>
      <c r="H234" s="4">
        <v>40562500000</v>
      </c>
      <c r="I234" s="4">
        <v>43173958333.333336</v>
      </c>
      <c r="J234" s="4">
        <v>43173958333.333336</v>
      </c>
      <c r="K234" s="4">
        <v>-4.3384158854994179E-11</v>
      </c>
      <c r="L234" s="4">
        <v>-4.3384158854994179E-11</v>
      </c>
      <c r="M234" s="4">
        <v>0</v>
      </c>
      <c r="N234" s="4">
        <v>2.0000000000000001E-4</v>
      </c>
      <c r="O234" s="4">
        <v>40.13843795093792</v>
      </c>
      <c r="P234" s="4">
        <v>40.13843795093792</v>
      </c>
      <c r="Q234" s="4">
        <v>8.0343053626543247E-9</v>
      </c>
      <c r="R234" s="4">
        <v>0</v>
      </c>
      <c r="S234" s="4">
        <v>5.0953124999999973E-5</v>
      </c>
      <c r="T234" s="4">
        <v>1.1430729166666666E-5</v>
      </c>
      <c r="U234" s="4">
        <v>1.1430729166666666E-5</v>
      </c>
      <c r="V234" s="4">
        <v>0</v>
      </c>
      <c r="W234" s="4">
        <v>0</v>
      </c>
      <c r="X234" s="4">
        <v>2.4637152777777778</v>
      </c>
      <c r="Y234" s="4">
        <v>4688.3680555555557</v>
      </c>
      <c r="Z234" s="4">
        <f t="shared" ref="Z234:AA234" si="59">Z233+0.0002</f>
        <v>-7.9999999999999982E-4</v>
      </c>
      <c r="AA234" s="4">
        <f t="shared" si="59"/>
        <v>-6.0000000000000006E-4</v>
      </c>
      <c r="AB234" s="3">
        <v>2</v>
      </c>
    </row>
    <row r="235" spans="1:28" x14ac:dyDescent="0.25">
      <c r="C235" s="3">
        <v>4</v>
      </c>
      <c r="D235" s="4">
        <v>103779415329.61743</v>
      </c>
      <c r="E235" s="4">
        <v>103779415329.61743</v>
      </c>
      <c r="F235" s="4">
        <v>0.25863543130904371</v>
      </c>
      <c r="G235" s="4">
        <v>0</v>
      </c>
      <c r="H235" s="4">
        <v>38695833333.333328</v>
      </c>
      <c r="I235" s="4">
        <v>39788958333.333336</v>
      </c>
      <c r="J235" s="4">
        <v>39788958333.333336</v>
      </c>
      <c r="K235" s="4">
        <v>-3.0743151546446348E-11</v>
      </c>
      <c r="L235" s="4">
        <v>-3.0743151546446348E-11</v>
      </c>
      <c r="M235" s="4">
        <v>0</v>
      </c>
      <c r="N235" s="4">
        <v>2.0000000000000001E-4</v>
      </c>
      <c r="O235" s="4">
        <v>52.828914141414124</v>
      </c>
      <c r="P235" s="4">
        <v>52.828914141414124</v>
      </c>
      <c r="Q235" s="4">
        <v>5.709700733024693E-9</v>
      </c>
      <c r="R235" s="4">
        <v>0</v>
      </c>
      <c r="S235" s="4">
        <v>6.3761458333333324E-5</v>
      </c>
      <c r="T235" s="4">
        <v>9.8615624999999997E-6</v>
      </c>
      <c r="U235" s="4">
        <v>9.8615624999999997E-6</v>
      </c>
      <c r="V235" s="4">
        <v>0</v>
      </c>
      <c r="W235" s="4">
        <v>0</v>
      </c>
      <c r="X235" s="4">
        <v>2.1862152777777779</v>
      </c>
      <c r="Y235" s="4">
        <v>4255.8680555555557</v>
      </c>
      <c r="Z235" s="4">
        <f t="shared" ref="Z235:AA235" si="60">Z234+0.0002</f>
        <v>-5.9999999999999984E-4</v>
      </c>
      <c r="AA235" s="4">
        <f t="shared" si="60"/>
        <v>-4.0000000000000007E-4</v>
      </c>
      <c r="AB235" s="3">
        <v>2</v>
      </c>
    </row>
    <row r="236" spans="1:28" x14ac:dyDescent="0.25">
      <c r="C236" s="3">
        <v>5</v>
      </c>
      <c r="D236" s="4">
        <v>98998175009.786301</v>
      </c>
      <c r="E236" s="4">
        <v>98998175009.786301</v>
      </c>
      <c r="F236" s="4">
        <v>0.24289061542175469</v>
      </c>
      <c r="G236" s="4">
        <v>0</v>
      </c>
      <c r="H236" s="4">
        <v>36662500000</v>
      </c>
      <c r="I236" s="4">
        <v>36395625000</v>
      </c>
      <c r="J236" s="4">
        <v>36395625000</v>
      </c>
      <c r="K236" s="4">
        <v>-1.9211004528122017E-11</v>
      </c>
      <c r="L236" s="4">
        <v>-1.9211004528122017E-11</v>
      </c>
      <c r="M236" s="4">
        <v>0</v>
      </c>
      <c r="N236" s="4">
        <v>2.0000000000000001E-4</v>
      </c>
      <c r="O236" s="4">
        <v>63.596590909090892</v>
      </c>
      <c r="P236" s="4">
        <v>63.596590909090892</v>
      </c>
      <c r="Q236" s="4">
        <v>3.5884649305555561E-9</v>
      </c>
      <c r="R236" s="4">
        <v>0</v>
      </c>
      <c r="S236" s="4">
        <v>7.4528125000000004E-5</v>
      </c>
      <c r="T236" s="4">
        <v>8.3715625000000004E-6</v>
      </c>
      <c r="U236" s="4">
        <v>8.3715625000000004E-6</v>
      </c>
      <c r="V236" s="4">
        <v>0</v>
      </c>
      <c r="W236" s="4">
        <v>0</v>
      </c>
      <c r="X236" s="4">
        <v>1.9184375</v>
      </c>
      <c r="Y236" s="4">
        <v>3830.3125</v>
      </c>
      <c r="Z236" s="4">
        <f t="shared" ref="Z236:AA236" si="61">Z235+0.0002</f>
        <v>-3.9999999999999986E-4</v>
      </c>
      <c r="AA236" s="4">
        <f t="shared" si="61"/>
        <v>-2.0000000000000006E-4</v>
      </c>
      <c r="AB236" s="3">
        <v>2</v>
      </c>
    </row>
    <row r="237" spans="1:28" x14ac:dyDescent="0.25">
      <c r="C237" s="3">
        <v>6</v>
      </c>
      <c r="D237" s="4">
        <v>93685830998.509613</v>
      </c>
      <c r="E237" s="4">
        <v>93685830998.509613</v>
      </c>
      <c r="F237" s="4">
        <v>0.2263014996857014</v>
      </c>
      <c r="G237" s="4">
        <v>0</v>
      </c>
      <c r="H237" s="4">
        <v>34462500000</v>
      </c>
      <c r="I237" s="4">
        <v>32993958333.333336</v>
      </c>
      <c r="J237" s="4">
        <v>32993958333.333336</v>
      </c>
      <c r="K237" s="4">
        <v>-8.7877178000211775E-12</v>
      </c>
      <c r="L237" s="4">
        <v>-8.7877178000211775E-12</v>
      </c>
      <c r="M237" s="4">
        <v>0</v>
      </c>
      <c r="N237" s="4">
        <v>2.0000000000000001E-4</v>
      </c>
      <c r="O237" s="4">
        <v>72.441468253968239</v>
      </c>
      <c r="P237" s="4">
        <v>72.441468253968239</v>
      </c>
      <c r="Q237" s="4">
        <v>1.6705979552469135E-9</v>
      </c>
      <c r="R237" s="4">
        <v>0</v>
      </c>
      <c r="S237" s="4">
        <v>8.3253124999999999E-5</v>
      </c>
      <c r="T237" s="4">
        <v>6.9607291666666652E-6</v>
      </c>
      <c r="U237" s="4">
        <v>6.9607291666666652E-6</v>
      </c>
      <c r="V237" s="4">
        <v>0</v>
      </c>
      <c r="W237" s="4">
        <v>0</v>
      </c>
      <c r="X237" s="4">
        <v>1.6603819444444443</v>
      </c>
      <c r="Y237" s="4">
        <v>3411.7013888888887</v>
      </c>
      <c r="Z237" s="4">
        <f t="shared" ref="Z237:AA237" si="62">Z236+0.0002</f>
        <v>-1.9999999999999985E-4</v>
      </c>
      <c r="AA237" s="4">
        <f t="shared" si="62"/>
        <v>0</v>
      </c>
      <c r="AB237" s="3">
        <v>2</v>
      </c>
    </row>
    <row r="238" spans="1:28" x14ac:dyDescent="0.25">
      <c r="C238" s="3">
        <v>7</v>
      </c>
      <c r="D238" s="4">
        <v>96872453147.182892</v>
      </c>
      <c r="E238" s="4">
        <v>96872453147.182892</v>
      </c>
      <c r="F238" s="4">
        <v>0.23136729877828721</v>
      </c>
      <c r="G238" s="4">
        <v>0</v>
      </c>
      <c r="H238" s="4">
        <v>35462500000</v>
      </c>
      <c r="I238" s="4">
        <v>33043958333.333336</v>
      </c>
      <c r="J238" s="4">
        <v>33043958333.333336</v>
      </c>
      <c r="K238" s="4">
        <v>-2.1345560586802216E-12</v>
      </c>
      <c r="L238" s="4">
        <v>-2.1345560586802216E-12</v>
      </c>
      <c r="M238" s="4">
        <v>0</v>
      </c>
      <c r="N238" s="4">
        <v>2.0000000000000001E-4</v>
      </c>
      <c r="O238" s="4">
        <v>83.978264790764769</v>
      </c>
      <c r="P238" s="4">
        <v>83.978264790764769</v>
      </c>
      <c r="Q238" s="4">
        <v>4.5038499228395026E-10</v>
      </c>
      <c r="R238" s="4">
        <v>0</v>
      </c>
      <c r="S238" s="4">
        <v>9.5503124999999999E-5</v>
      </c>
      <c r="T238" s="4">
        <v>6.4857291666666655E-6</v>
      </c>
      <c r="U238" s="4">
        <v>6.4857291666666655E-6</v>
      </c>
      <c r="V238" s="4">
        <v>0</v>
      </c>
      <c r="W238" s="4">
        <v>0</v>
      </c>
      <c r="X238" s="4">
        <v>1.6020486111111112</v>
      </c>
      <c r="Y238" s="4">
        <v>3370.0347222222226</v>
      </c>
      <c r="Z238" s="4">
        <f t="shared" ref="Z238:AA238" si="63">Z237+0.0002</f>
        <v>0</v>
      </c>
      <c r="AA238" s="4">
        <f t="shared" si="63"/>
        <v>2.0000000000000001E-4</v>
      </c>
      <c r="AB238" s="3">
        <v>2</v>
      </c>
    </row>
    <row r="239" spans="1:28" x14ac:dyDescent="0.25">
      <c r="C239" s="3">
        <v>8</v>
      </c>
      <c r="D239" s="4">
        <v>108558041455.80611</v>
      </c>
      <c r="E239" s="4">
        <v>108558041455.80611</v>
      </c>
      <c r="F239" s="4">
        <v>0.25808801269951209</v>
      </c>
      <c r="G239" s="4">
        <v>0</v>
      </c>
      <c r="H239" s="4">
        <v>39662500000</v>
      </c>
      <c r="I239" s="4">
        <v>36545625000</v>
      </c>
      <c r="J239" s="4">
        <v>36545625000</v>
      </c>
      <c r="K239" s="4">
        <v>7.4848069590085887E-13</v>
      </c>
      <c r="L239" s="4">
        <v>7.4848069590085887E-13</v>
      </c>
      <c r="M239" s="4">
        <v>0</v>
      </c>
      <c r="N239" s="4">
        <v>2.0000000000000001E-4</v>
      </c>
      <c r="O239" s="4">
        <v>98.206980519480496</v>
      </c>
      <c r="P239" s="4">
        <v>98.206980519480496</v>
      </c>
      <c r="Q239" s="4">
        <v>-7.2173958333333668E-11</v>
      </c>
      <c r="R239" s="4">
        <v>0</v>
      </c>
      <c r="S239" s="4">
        <v>1.11278125E-4</v>
      </c>
      <c r="T239" s="4">
        <v>6.9465625000000005E-6</v>
      </c>
      <c r="U239" s="4">
        <v>6.9465625000000005E-6</v>
      </c>
      <c r="V239" s="4">
        <v>0</v>
      </c>
      <c r="W239" s="4">
        <v>0</v>
      </c>
      <c r="X239" s="4">
        <v>1.7434375000000002</v>
      </c>
      <c r="Y239" s="4">
        <v>3705.3125</v>
      </c>
      <c r="Z239" s="4">
        <f t="shared" ref="Z239:AA239" si="64">Z238+0.0002</f>
        <v>2.0000000000000001E-4</v>
      </c>
      <c r="AA239" s="4">
        <f t="shared" si="64"/>
        <v>4.0000000000000002E-4</v>
      </c>
      <c r="AB239" s="3">
        <v>2</v>
      </c>
    </row>
    <row r="240" spans="1:28" x14ac:dyDescent="0.25">
      <c r="C240" s="3">
        <v>9</v>
      </c>
      <c r="D240" s="4">
        <v>119712526072.98376</v>
      </c>
      <c r="E240" s="4">
        <v>119712526072.98376</v>
      </c>
      <c r="F240" s="4">
        <v>0.28396442677197276</v>
      </c>
      <c r="G240" s="4">
        <v>0</v>
      </c>
      <c r="H240" s="4">
        <v>43695833333.333328</v>
      </c>
      <c r="I240" s="4">
        <v>40038958333.333336</v>
      </c>
      <c r="J240" s="4">
        <v>40038958333.333336</v>
      </c>
      <c r="K240" s="4">
        <v>2.522657160258448E-12</v>
      </c>
      <c r="L240" s="4">
        <v>2.522657160258448E-12</v>
      </c>
      <c r="M240" s="4">
        <v>0</v>
      </c>
      <c r="N240" s="4">
        <v>2.0000000000000001E-4</v>
      </c>
      <c r="O240" s="4">
        <v>110.51289682539681</v>
      </c>
      <c r="P240" s="4">
        <v>110.51289682539681</v>
      </c>
      <c r="Q240" s="4">
        <v>-3.9136408179012365E-10</v>
      </c>
      <c r="R240" s="4">
        <v>0</v>
      </c>
      <c r="S240" s="4">
        <v>1.2501145833333332E-4</v>
      </c>
      <c r="T240" s="4">
        <v>7.4865625000000012E-6</v>
      </c>
      <c r="U240" s="4">
        <v>7.4865625000000012E-6</v>
      </c>
      <c r="V240" s="4">
        <v>0</v>
      </c>
      <c r="W240" s="4">
        <v>0</v>
      </c>
      <c r="X240" s="4">
        <v>1.8945486111111109</v>
      </c>
      <c r="Y240" s="4">
        <v>4047.5347222222226</v>
      </c>
      <c r="Z240" s="4">
        <f t="shared" ref="Z240:AA240" si="65">Z239+0.0002</f>
        <v>4.0000000000000002E-4</v>
      </c>
      <c r="AA240" s="4">
        <f t="shared" si="65"/>
        <v>6.0000000000000006E-4</v>
      </c>
      <c r="AB240" s="3">
        <v>2</v>
      </c>
    </row>
    <row r="241" spans="1:28" x14ac:dyDescent="0.25">
      <c r="C241" s="3">
        <v>10</v>
      </c>
      <c r="D241" s="4">
        <v>130335906998.7159</v>
      </c>
      <c r="E241" s="4">
        <v>130335906998.7159</v>
      </c>
      <c r="F241" s="4">
        <v>0.30899654099566909</v>
      </c>
      <c r="G241" s="4">
        <v>0</v>
      </c>
      <c r="H241" s="4">
        <v>47562500000</v>
      </c>
      <c r="I241" s="4">
        <v>43523958333.333336</v>
      </c>
      <c r="J241" s="4">
        <v>43523958333.333336</v>
      </c>
      <c r="K241" s="4">
        <v>3.1879733343925427E-12</v>
      </c>
      <c r="L241" s="4">
        <v>3.1879733343925427E-12</v>
      </c>
      <c r="M241" s="4">
        <v>0</v>
      </c>
      <c r="N241" s="4">
        <v>2.0000000000000001E-4</v>
      </c>
      <c r="O241" s="4">
        <v>120.89601370851368</v>
      </c>
      <c r="P241" s="4">
        <v>120.89601370851368</v>
      </c>
      <c r="Q241" s="4">
        <v>-5.0718537808641989E-10</v>
      </c>
      <c r="R241" s="4">
        <v>0</v>
      </c>
      <c r="S241" s="4">
        <v>1.36703125E-4</v>
      </c>
      <c r="T241" s="4">
        <v>8.1057291666666669E-6</v>
      </c>
      <c r="U241" s="4">
        <v>8.1057291666666669E-6</v>
      </c>
      <c r="V241" s="4">
        <v>0</v>
      </c>
      <c r="W241" s="4">
        <v>0</v>
      </c>
      <c r="X241" s="4">
        <v>2.0553819444444446</v>
      </c>
      <c r="Y241" s="4">
        <v>4396.7013888888887</v>
      </c>
      <c r="Z241" s="4">
        <f t="shared" ref="Z241:AA241" si="66">Z240+0.0002</f>
        <v>6.0000000000000006E-4</v>
      </c>
      <c r="AA241" s="4">
        <f t="shared" si="66"/>
        <v>8.0000000000000004E-4</v>
      </c>
      <c r="AB241" s="3">
        <v>2</v>
      </c>
    </row>
    <row r="242" spans="1:28" x14ac:dyDescent="0.25">
      <c r="C242" s="3">
        <v>11</v>
      </c>
      <c r="D242" s="4">
        <v>140428184233.00247</v>
      </c>
      <c r="E242" s="4">
        <v>140428184233.00247</v>
      </c>
      <c r="F242" s="4">
        <v>0.33318435537060109</v>
      </c>
      <c r="G242" s="4">
        <v>0</v>
      </c>
      <c r="H242" s="4">
        <v>51262500000</v>
      </c>
      <c r="I242" s="4">
        <v>47000625000</v>
      </c>
      <c r="J242" s="4">
        <v>47000625000</v>
      </c>
      <c r="K242" s="4">
        <v>2.7444292183031452E-12</v>
      </c>
      <c r="L242" s="4">
        <v>2.7444292183031452E-12</v>
      </c>
      <c r="M242" s="4">
        <v>0</v>
      </c>
      <c r="N242" s="4">
        <v>2.0000000000000001E-4</v>
      </c>
      <c r="O242" s="4">
        <v>129.35633116883113</v>
      </c>
      <c r="P242" s="4">
        <v>129.35633116883113</v>
      </c>
      <c r="Q242" s="4">
        <v>-4.1963784722222229E-10</v>
      </c>
      <c r="R242" s="4">
        <v>0</v>
      </c>
      <c r="S242" s="4">
        <v>1.4635312499999999E-4</v>
      </c>
      <c r="T242" s="4">
        <v>8.8040625E-6</v>
      </c>
      <c r="U242" s="4">
        <v>8.8040625E-6</v>
      </c>
      <c r="V242" s="4">
        <v>0</v>
      </c>
      <c r="W242" s="4">
        <v>0</v>
      </c>
      <c r="X242" s="4">
        <v>2.2259374999999997</v>
      </c>
      <c r="Y242" s="4">
        <v>4752.8125</v>
      </c>
      <c r="Z242" s="4">
        <f t="shared" ref="Z242:AA242" si="67">Z241+0.0002</f>
        <v>8.0000000000000004E-4</v>
      </c>
      <c r="AA242" s="4">
        <f t="shared" si="67"/>
        <v>1E-3</v>
      </c>
      <c r="AB242" s="3">
        <v>2</v>
      </c>
    </row>
    <row r="243" spans="1:28" x14ac:dyDescent="0.25">
      <c r="B243" t="s">
        <v>240</v>
      </c>
      <c r="C243" s="10">
        <v>12</v>
      </c>
      <c r="D243" s="4">
        <v>149989357775.84357</v>
      </c>
      <c r="E243" s="4">
        <v>149989357775.84357</v>
      </c>
      <c r="F243" s="4">
        <v>0.35652786989676882</v>
      </c>
      <c r="G243" s="4">
        <v>0</v>
      </c>
      <c r="H243" s="4">
        <v>54795833333.333336</v>
      </c>
      <c r="I243" s="4">
        <v>50468958333.333344</v>
      </c>
      <c r="J243" s="4">
        <v>50468958333.333344</v>
      </c>
      <c r="K243" s="4">
        <v>1.1920248119902527E-12</v>
      </c>
      <c r="L243" s="4">
        <v>1.1920248119902527E-12</v>
      </c>
      <c r="M243" s="4">
        <v>0</v>
      </c>
      <c r="N243" s="4">
        <v>2.0000000000000001E-4</v>
      </c>
      <c r="O243" s="4">
        <v>135.89384920634919</v>
      </c>
      <c r="P243" s="4">
        <v>135.89384920634919</v>
      </c>
      <c r="Q243" s="4">
        <v>-1.2872148919753044E-10</v>
      </c>
      <c r="R243" s="4">
        <v>0</v>
      </c>
      <c r="S243" s="4">
        <v>1.5396145833333332E-4</v>
      </c>
      <c r="T243" s="4">
        <v>9.5815625000000023E-6</v>
      </c>
      <c r="U243" s="4">
        <v>9.5815625000000023E-6</v>
      </c>
      <c r="V243" s="4">
        <v>0</v>
      </c>
      <c r="W243" s="4">
        <v>0</v>
      </c>
      <c r="X243" s="4">
        <v>2.4062152777777781</v>
      </c>
      <c r="Y243" s="4">
        <v>5115.8680555555557</v>
      </c>
      <c r="Z243" s="4">
        <f t="shared" ref="Z243:AA243" si="68">Z242+0.0002</f>
        <v>1E-3</v>
      </c>
      <c r="AA243" s="4">
        <f t="shared" si="68"/>
        <v>1.2000000000000001E-3</v>
      </c>
      <c r="AB243" s="3">
        <v>2</v>
      </c>
    </row>
    <row r="247" spans="1:28" x14ac:dyDescent="0.25">
      <c r="A247" s="14" t="s">
        <v>238</v>
      </c>
      <c r="C247" s="9" t="s">
        <v>27</v>
      </c>
      <c r="D247" s="9" t="s">
        <v>28</v>
      </c>
      <c r="E247" s="9" t="s">
        <v>29</v>
      </c>
      <c r="F247" s="9" t="s">
        <v>30</v>
      </c>
      <c r="G247" s="9" t="s">
        <v>31</v>
      </c>
      <c r="H247" s="9" t="s">
        <v>229</v>
      </c>
      <c r="I247" s="9" t="s">
        <v>33</v>
      </c>
      <c r="J247" s="9" t="s">
        <v>34</v>
      </c>
      <c r="K247" s="9" t="s">
        <v>35</v>
      </c>
      <c r="L247" s="9" t="s">
        <v>36</v>
      </c>
      <c r="M247" s="9" t="s">
        <v>37</v>
      </c>
      <c r="N247" s="9" t="s">
        <v>38</v>
      </c>
      <c r="O247" s="9" t="s">
        <v>39</v>
      </c>
      <c r="P247" s="9" t="s">
        <v>40</v>
      </c>
      <c r="Q247" s="9" t="s">
        <v>41</v>
      </c>
      <c r="R247" s="9" t="s">
        <v>42</v>
      </c>
      <c r="S247" s="9" t="s">
        <v>43</v>
      </c>
      <c r="T247" s="9" t="s">
        <v>230</v>
      </c>
      <c r="U247" s="9" t="s">
        <v>231</v>
      </c>
      <c r="V247" s="9" t="s">
        <v>232</v>
      </c>
      <c r="W247" s="9" t="s">
        <v>233</v>
      </c>
      <c r="X247" s="9" t="s">
        <v>234</v>
      </c>
      <c r="Y247" s="9" t="s">
        <v>49</v>
      </c>
      <c r="Z247" s="9" t="s">
        <v>50</v>
      </c>
      <c r="AA247" s="9" t="s">
        <v>51</v>
      </c>
      <c r="AB247" s="9" t="s">
        <v>52</v>
      </c>
    </row>
    <row r="248" spans="1:28" x14ac:dyDescent="0.25">
      <c r="A248" s="11" t="s">
        <v>235</v>
      </c>
      <c r="B248" t="s">
        <v>75</v>
      </c>
      <c r="C248" s="10">
        <v>1</v>
      </c>
      <c r="D248" s="4">
        <v>112678996677.58871</v>
      </c>
      <c r="E248" s="4">
        <v>112678996677.58871</v>
      </c>
      <c r="F248" s="4">
        <v>0.29517927620897405</v>
      </c>
      <c r="G248" s="4">
        <v>0</v>
      </c>
      <c r="H248" s="4">
        <v>42954166666.666672</v>
      </c>
      <c r="I248" s="4">
        <v>49053958333.333344</v>
      </c>
      <c r="J248" s="4">
        <v>49053958333.333344</v>
      </c>
      <c r="K248" s="4">
        <v>-7.1327438168626217E-11</v>
      </c>
      <c r="L248" s="4">
        <v>-7.1327438168626217E-11</v>
      </c>
      <c r="M248" s="4">
        <v>0</v>
      </c>
      <c r="N248" s="4">
        <v>2.0000000000000001E-4</v>
      </c>
      <c r="O248" s="4">
        <v>7.8354076479076156</v>
      </c>
      <c r="P248" s="4">
        <v>7.8354076479076156</v>
      </c>
      <c r="Q248" s="4">
        <v>1.3170049807098771E-8</v>
      </c>
      <c r="R248" s="4">
        <v>0</v>
      </c>
      <c r="S248" s="4">
        <v>1.7819791666666646E-5</v>
      </c>
      <c r="T248" s="4">
        <v>1.4592395833333334E-5</v>
      </c>
      <c r="U248" s="4">
        <v>1.4592395833333334E-5</v>
      </c>
      <c r="V248" s="4">
        <v>0</v>
      </c>
      <c r="W248" s="4">
        <v>0</v>
      </c>
      <c r="X248" s="4">
        <v>3.0003819444444453</v>
      </c>
      <c r="Y248" s="4">
        <v>5481.7013888888896</v>
      </c>
      <c r="Z248" s="4">
        <v>-1.1999999999999999E-3</v>
      </c>
      <c r="AA248" s="4">
        <v>-1E-3</v>
      </c>
      <c r="AB248" s="3">
        <v>2</v>
      </c>
    </row>
    <row r="249" spans="1:28" x14ac:dyDescent="0.25">
      <c r="C249" s="3">
        <v>2</v>
      </c>
      <c r="D249" s="4">
        <v>104976032506.39647</v>
      </c>
      <c r="E249" s="4">
        <v>104976032506.39647</v>
      </c>
      <c r="F249" s="4">
        <v>0.27071775252927627</v>
      </c>
      <c r="G249" s="4">
        <v>0</v>
      </c>
      <c r="H249" s="4">
        <v>39737500000</v>
      </c>
      <c r="I249" s="4">
        <v>43955625000</v>
      </c>
      <c r="J249" s="4">
        <v>43955625000</v>
      </c>
      <c r="K249" s="4">
        <v>-5.5138077931363188E-11</v>
      </c>
      <c r="L249" s="4">
        <v>-5.5138077931363188E-11</v>
      </c>
      <c r="M249" s="4">
        <v>0</v>
      </c>
      <c r="N249" s="4">
        <v>2.0000000000000001E-4</v>
      </c>
      <c r="O249" s="4">
        <v>22.064123376623375</v>
      </c>
      <c r="P249" s="4">
        <v>22.064123376623375</v>
      </c>
      <c r="Q249" s="4">
        <v>1.0191564930555557E-8</v>
      </c>
      <c r="R249" s="4">
        <v>0</v>
      </c>
      <c r="S249" s="4">
        <v>3.1928125000000005E-5</v>
      </c>
      <c r="T249" s="4">
        <v>1.24365625E-5</v>
      </c>
      <c r="U249" s="4">
        <v>1.24365625E-5</v>
      </c>
      <c r="V249" s="4">
        <v>0</v>
      </c>
      <c r="W249" s="4">
        <v>0</v>
      </c>
      <c r="X249" s="4">
        <v>2.6084375</v>
      </c>
      <c r="Y249" s="4">
        <v>4850.3125</v>
      </c>
      <c r="Z249" s="4">
        <f t="shared" ref="Z249:AA249" si="69">Z248+0.0002</f>
        <v>-9.999999999999998E-4</v>
      </c>
      <c r="AA249" s="4">
        <f t="shared" si="69"/>
        <v>-8.0000000000000004E-4</v>
      </c>
      <c r="AB249" s="3">
        <v>2</v>
      </c>
    </row>
    <row r="250" spans="1:28" x14ac:dyDescent="0.25">
      <c r="C250" s="3">
        <v>3</v>
      </c>
      <c r="D250" s="4">
        <v>96741964643.758667</v>
      </c>
      <c r="E250" s="4">
        <v>96741964643.758667</v>
      </c>
      <c r="F250" s="4">
        <v>0.2454119290008141</v>
      </c>
      <c r="G250" s="4">
        <v>0</v>
      </c>
      <c r="H250" s="4">
        <v>36354166666.666664</v>
      </c>
      <c r="I250" s="4">
        <v>38848958333.333336</v>
      </c>
      <c r="J250" s="4">
        <v>38848958333.333336</v>
      </c>
      <c r="K250" s="4">
        <v>-4.0057577984323699E-11</v>
      </c>
      <c r="L250" s="4">
        <v>-4.0057577984323699E-11</v>
      </c>
      <c r="M250" s="4">
        <v>0</v>
      </c>
      <c r="N250" s="4">
        <v>2.0000000000000001E-4</v>
      </c>
      <c r="O250" s="4">
        <v>34.370039682539655</v>
      </c>
      <c r="P250" s="4">
        <v>34.370039682539655</v>
      </c>
      <c r="Q250" s="4">
        <v>7.4164488811728432E-9</v>
      </c>
      <c r="R250" s="4">
        <v>0</v>
      </c>
      <c r="S250" s="4">
        <v>4.3994791666666642E-5</v>
      </c>
      <c r="T250" s="4">
        <v>1.0359895833333333E-5</v>
      </c>
      <c r="U250" s="4">
        <v>1.0359895833333333E-5</v>
      </c>
      <c r="V250" s="4">
        <v>0</v>
      </c>
      <c r="W250" s="4">
        <v>0</v>
      </c>
      <c r="X250" s="4">
        <v>2.2262152777777779</v>
      </c>
      <c r="Y250" s="4">
        <v>4225.8680555555557</v>
      </c>
      <c r="Z250" s="4">
        <f t="shared" ref="Z250:AA250" si="70">Z249+0.0002</f>
        <v>-7.9999999999999982E-4</v>
      </c>
      <c r="AA250" s="4">
        <f t="shared" si="70"/>
        <v>-6.0000000000000006E-4</v>
      </c>
      <c r="AB250" s="3">
        <v>2</v>
      </c>
    </row>
    <row r="251" spans="1:28" x14ac:dyDescent="0.25">
      <c r="C251" s="3">
        <v>4</v>
      </c>
      <c r="D251" s="4">
        <v>87976793089.675339</v>
      </c>
      <c r="E251" s="4">
        <v>87976793089.675339</v>
      </c>
      <c r="F251" s="4">
        <v>0.21926180562358777</v>
      </c>
      <c r="G251" s="4">
        <v>0</v>
      </c>
      <c r="H251" s="4">
        <v>32804166666.666668</v>
      </c>
      <c r="I251" s="4">
        <v>33733958333.33334</v>
      </c>
      <c r="J251" s="4">
        <v>33733958333.33334</v>
      </c>
      <c r="K251" s="4">
        <v>-2.6085938327507676E-11</v>
      </c>
      <c r="L251" s="4">
        <v>-2.6085938327507676E-11</v>
      </c>
      <c r="M251" s="4">
        <v>0</v>
      </c>
      <c r="N251" s="4">
        <v>2.0000000000000001E-4</v>
      </c>
      <c r="O251" s="4">
        <v>44.753156565656553</v>
      </c>
      <c r="P251" s="4">
        <v>44.753156565656553</v>
      </c>
      <c r="Q251" s="4">
        <v>4.84470165895062E-9</v>
      </c>
      <c r="R251" s="4">
        <v>0</v>
      </c>
      <c r="S251" s="4">
        <v>5.4019791666666669E-5</v>
      </c>
      <c r="T251" s="4">
        <v>8.3623958333333339E-6</v>
      </c>
      <c r="U251" s="4">
        <v>8.3623958333333339E-6</v>
      </c>
      <c r="V251" s="4">
        <v>0</v>
      </c>
      <c r="W251" s="4">
        <v>0</v>
      </c>
      <c r="X251" s="4">
        <v>1.8537152777777781</v>
      </c>
      <c r="Y251" s="4">
        <v>3608.3680555555557</v>
      </c>
      <c r="Z251" s="4">
        <f t="shared" ref="Z251:AA251" si="71">Z250+0.0002</f>
        <v>-5.9999999999999984E-4</v>
      </c>
      <c r="AA251" s="4">
        <f t="shared" si="71"/>
        <v>-4.0000000000000007E-4</v>
      </c>
      <c r="AB251" s="3">
        <v>2</v>
      </c>
    </row>
    <row r="252" spans="1:28" x14ac:dyDescent="0.25">
      <c r="C252" s="3">
        <v>5</v>
      </c>
      <c r="D252" s="4">
        <v>78680517844.146454</v>
      </c>
      <c r="E252" s="4">
        <v>78680517844.146454</v>
      </c>
      <c r="F252" s="4">
        <v>0.19226738239759703</v>
      </c>
      <c r="G252" s="4">
        <v>0</v>
      </c>
      <c r="H252" s="4">
        <v>29087500000</v>
      </c>
      <c r="I252" s="4">
        <v>28610625000</v>
      </c>
      <c r="J252" s="4">
        <v>28610625000</v>
      </c>
      <c r="K252" s="4">
        <v>-1.3223158960915156E-11</v>
      </c>
      <c r="L252" s="4">
        <v>-1.3223158960915156E-11</v>
      </c>
      <c r="M252" s="4">
        <v>0</v>
      </c>
      <c r="N252" s="4">
        <v>2.0000000000000001E-4</v>
      </c>
      <c r="O252" s="4">
        <v>53.213474025974023</v>
      </c>
      <c r="P252" s="4">
        <v>53.213474025974023</v>
      </c>
      <c r="Q252" s="4">
        <v>2.47632326388889E-9</v>
      </c>
      <c r="R252" s="4">
        <v>0</v>
      </c>
      <c r="S252" s="4">
        <v>6.2003124999999998E-5</v>
      </c>
      <c r="T252" s="4">
        <v>6.4440624999999989E-6</v>
      </c>
      <c r="U252" s="4">
        <v>6.4440624999999989E-6</v>
      </c>
      <c r="V252" s="4">
        <v>0</v>
      </c>
      <c r="W252" s="4">
        <v>0</v>
      </c>
      <c r="X252" s="4">
        <v>1.4909375</v>
      </c>
      <c r="Y252" s="4">
        <v>2997.8125</v>
      </c>
      <c r="Z252" s="4">
        <f t="shared" ref="Z252:AA252" si="72">Z251+0.0002</f>
        <v>-3.9999999999999986E-4</v>
      </c>
      <c r="AA252" s="4">
        <f t="shared" si="72"/>
        <v>-2.0000000000000006E-4</v>
      </c>
      <c r="AB252" s="3">
        <v>2</v>
      </c>
    </row>
    <row r="253" spans="1:28" x14ac:dyDescent="0.25">
      <c r="C253" s="3">
        <v>6</v>
      </c>
      <c r="D253" s="4">
        <v>68853138907.172028</v>
      </c>
      <c r="E253" s="4">
        <v>68853138907.172028</v>
      </c>
      <c r="F253" s="4">
        <v>0.16442865932284206</v>
      </c>
      <c r="G253" s="4">
        <v>0</v>
      </c>
      <c r="H253" s="4">
        <v>25204166666.666664</v>
      </c>
      <c r="I253" s="4">
        <v>23478958333.333336</v>
      </c>
      <c r="J253" s="4">
        <v>23478958333.333336</v>
      </c>
      <c r="K253" s="4">
        <v>-1.4692398845461237E-12</v>
      </c>
      <c r="L253" s="4">
        <v>-1.4692398845461237E-12</v>
      </c>
      <c r="M253" s="4">
        <v>0</v>
      </c>
      <c r="N253" s="4">
        <v>2.0000000000000001E-4</v>
      </c>
      <c r="O253" s="4">
        <v>59.750992063492056</v>
      </c>
      <c r="P253" s="4">
        <v>59.750992063492056</v>
      </c>
      <c r="Q253" s="4">
        <v>3.1131369598765474E-10</v>
      </c>
      <c r="R253" s="4">
        <v>0</v>
      </c>
      <c r="S253" s="4">
        <v>6.7944791666666669E-5</v>
      </c>
      <c r="T253" s="4">
        <v>4.6048958333333322E-6</v>
      </c>
      <c r="U253" s="4">
        <v>4.6048958333333322E-6</v>
      </c>
      <c r="V253" s="4">
        <v>0</v>
      </c>
      <c r="W253" s="4">
        <v>0</v>
      </c>
      <c r="X253" s="4">
        <v>1.1378819444444446</v>
      </c>
      <c r="Y253" s="4">
        <v>2394.2013888888887</v>
      </c>
      <c r="Z253" s="4">
        <f t="shared" ref="Z253:AA253" si="73">Z252+0.0002</f>
        <v>-1.9999999999999985E-4</v>
      </c>
      <c r="AA253" s="4">
        <f t="shared" si="73"/>
        <v>0</v>
      </c>
      <c r="AB253" s="3">
        <v>2</v>
      </c>
    </row>
    <row r="254" spans="1:28" x14ac:dyDescent="0.25">
      <c r="C254" s="3">
        <v>7</v>
      </c>
      <c r="D254" s="4">
        <v>72039761055.845306</v>
      </c>
      <c r="E254" s="4">
        <v>72039761055.845306</v>
      </c>
      <c r="F254" s="4">
        <v>0.16949445841542787</v>
      </c>
      <c r="G254" s="4">
        <v>0</v>
      </c>
      <c r="H254" s="4">
        <v>26204166666.666664</v>
      </c>
      <c r="I254" s="4">
        <v>23528958333.333336</v>
      </c>
      <c r="J254" s="4">
        <v>23528958333.333336</v>
      </c>
      <c r="K254" s="4">
        <v>5.1839218567948322E-12</v>
      </c>
      <c r="L254" s="4">
        <v>5.1839218567948322E-12</v>
      </c>
      <c r="M254" s="4">
        <v>0</v>
      </c>
      <c r="N254" s="4">
        <v>2.0000000000000001E-4</v>
      </c>
      <c r="O254" s="4">
        <v>71.287788600288593</v>
      </c>
      <c r="P254" s="4">
        <v>71.287788600288593</v>
      </c>
      <c r="Q254" s="4">
        <v>-9.0889926697530851E-10</v>
      </c>
      <c r="R254" s="4">
        <v>0</v>
      </c>
      <c r="S254" s="4">
        <v>8.0194791666666668E-5</v>
      </c>
      <c r="T254" s="4">
        <v>4.1298958333333325E-6</v>
      </c>
      <c r="U254" s="4">
        <v>4.1298958333333325E-6</v>
      </c>
      <c r="V254" s="4">
        <v>0</v>
      </c>
      <c r="W254" s="4">
        <v>0</v>
      </c>
      <c r="X254" s="4">
        <v>1.0795486111111114</v>
      </c>
      <c r="Y254" s="4">
        <v>2352.5347222222226</v>
      </c>
      <c r="Z254" s="4">
        <f t="shared" ref="Z254:AA254" si="74">Z253+0.0002</f>
        <v>0</v>
      </c>
      <c r="AA254" s="4">
        <f t="shared" si="74"/>
        <v>2.0000000000000001E-4</v>
      </c>
      <c r="AB254" s="3">
        <v>2</v>
      </c>
    </row>
    <row r="255" spans="1:28" x14ac:dyDescent="0.25">
      <c r="C255" s="3">
        <v>8</v>
      </c>
      <c r="D255" s="4">
        <v>88240384290.16626</v>
      </c>
      <c r="E255" s="4">
        <v>88240384290.16626</v>
      </c>
      <c r="F255" s="4">
        <v>0.20746477967535445</v>
      </c>
      <c r="G255" s="4">
        <v>0</v>
      </c>
      <c r="H255" s="4">
        <v>32087500000</v>
      </c>
      <c r="I255" s="4">
        <v>28760625000</v>
      </c>
      <c r="J255" s="4">
        <v>28760625000</v>
      </c>
      <c r="K255" s="4">
        <v>6.7363262631077202E-12</v>
      </c>
      <c r="L255" s="4">
        <v>6.7363262631077202E-12</v>
      </c>
      <c r="M255" s="4">
        <v>0</v>
      </c>
      <c r="N255" s="4">
        <v>2.0000000000000001E-4</v>
      </c>
      <c r="O255" s="4">
        <v>87.823863636363626</v>
      </c>
      <c r="P255" s="4">
        <v>87.823863636363626</v>
      </c>
      <c r="Q255" s="4">
        <v>-1.1843156249999997E-9</v>
      </c>
      <c r="R255" s="4">
        <v>0</v>
      </c>
      <c r="S255" s="4">
        <v>9.8753124999999997E-5</v>
      </c>
      <c r="T255" s="4">
        <v>5.0190624999999999E-6</v>
      </c>
      <c r="U255" s="4">
        <v>5.0190624999999999E-6</v>
      </c>
      <c r="V255" s="4">
        <v>0</v>
      </c>
      <c r="W255" s="4">
        <v>0</v>
      </c>
      <c r="X255" s="4">
        <v>1.3159375000000002</v>
      </c>
      <c r="Y255" s="4">
        <v>2872.8125</v>
      </c>
      <c r="Z255" s="4">
        <f t="shared" ref="Z255:AA255" si="75">Z254+0.0002</f>
        <v>2.0000000000000001E-4</v>
      </c>
      <c r="AA255" s="4">
        <f t="shared" si="75"/>
        <v>4.0000000000000002E-4</v>
      </c>
      <c r="AB255" s="3">
        <v>2</v>
      </c>
    </row>
    <row r="256" spans="1:28" x14ac:dyDescent="0.25">
      <c r="C256" s="3">
        <v>9</v>
      </c>
      <c r="D256" s="4">
        <v>103909903833.04167</v>
      </c>
      <c r="E256" s="4">
        <v>103909903833.04167</v>
      </c>
      <c r="F256" s="4">
        <v>0.24459080108651682</v>
      </c>
      <c r="G256" s="4">
        <v>0</v>
      </c>
      <c r="H256" s="4">
        <v>37804166666.666672</v>
      </c>
      <c r="I256" s="4">
        <v>33983958333.33334</v>
      </c>
      <c r="J256" s="4">
        <v>33983958333.33334</v>
      </c>
      <c r="K256" s="4">
        <v>7.1798703791971168E-12</v>
      </c>
      <c r="L256" s="4">
        <v>7.1798703791971168E-12</v>
      </c>
      <c r="M256" s="4">
        <v>0</v>
      </c>
      <c r="N256" s="4">
        <v>2.0000000000000001E-4</v>
      </c>
      <c r="O256" s="4">
        <v>102.43713924963923</v>
      </c>
      <c r="P256" s="4">
        <v>102.43713924963923</v>
      </c>
      <c r="Q256" s="4">
        <v>-1.2563631558641972E-9</v>
      </c>
      <c r="R256" s="4">
        <v>0</v>
      </c>
      <c r="S256" s="4">
        <v>1.1526979166666667E-4</v>
      </c>
      <c r="T256" s="4">
        <v>5.9873958333333346E-6</v>
      </c>
      <c r="U256" s="4">
        <v>5.9873958333333346E-6</v>
      </c>
      <c r="V256" s="4">
        <v>0</v>
      </c>
      <c r="W256" s="4">
        <v>0</v>
      </c>
      <c r="X256" s="4">
        <v>1.5620486111111112</v>
      </c>
      <c r="Y256" s="4">
        <v>3400.0347222222226</v>
      </c>
      <c r="Z256" s="4">
        <f t="shared" ref="Z256:AA256" si="76">Z255+0.0002</f>
        <v>4.0000000000000002E-4</v>
      </c>
      <c r="AA256" s="4">
        <f t="shared" si="76"/>
        <v>6.0000000000000006E-4</v>
      </c>
      <c r="AB256" s="3">
        <v>2</v>
      </c>
    </row>
    <row r="257" spans="1:28" x14ac:dyDescent="0.25">
      <c r="C257" s="3">
        <v>10</v>
      </c>
      <c r="D257" s="4">
        <v>119048319684.47154</v>
      </c>
      <c r="E257" s="4">
        <v>119048319684.47154</v>
      </c>
      <c r="F257" s="4">
        <v>0.28087252264891482</v>
      </c>
      <c r="G257" s="4">
        <v>0</v>
      </c>
      <c r="H257" s="4">
        <v>43354166666.666664</v>
      </c>
      <c r="I257" s="4">
        <v>39198958333.333336</v>
      </c>
      <c r="J257" s="4">
        <v>39198958333.333336</v>
      </c>
      <c r="K257" s="4">
        <v>6.5145542050630206E-12</v>
      </c>
      <c r="L257" s="4">
        <v>6.5145542050630206E-12</v>
      </c>
      <c r="M257" s="4">
        <v>0</v>
      </c>
      <c r="N257" s="4">
        <v>2.0000000000000001E-4</v>
      </c>
      <c r="O257" s="4">
        <v>115.12761544011541</v>
      </c>
      <c r="P257" s="4">
        <v>115.12761544011541</v>
      </c>
      <c r="Q257" s="4">
        <v>-1.1250418595679012E-9</v>
      </c>
      <c r="R257" s="4">
        <v>0</v>
      </c>
      <c r="S257" s="4">
        <v>1.2974479166666665E-4</v>
      </c>
      <c r="T257" s="4">
        <v>7.0348958333333335E-6</v>
      </c>
      <c r="U257" s="4">
        <v>7.0348958333333335E-6</v>
      </c>
      <c r="V257" s="4">
        <v>0</v>
      </c>
      <c r="W257" s="4">
        <v>0</v>
      </c>
      <c r="X257" s="4">
        <v>1.8178819444444447</v>
      </c>
      <c r="Y257" s="4">
        <v>3934.2013888888887</v>
      </c>
      <c r="Z257" s="4">
        <f t="shared" ref="Z257:AA257" si="77">Z256+0.0002</f>
        <v>6.0000000000000006E-4</v>
      </c>
      <c r="AA257" s="4">
        <f t="shared" si="77"/>
        <v>8.0000000000000004E-4</v>
      </c>
      <c r="AB257" s="3">
        <v>2</v>
      </c>
    </row>
    <row r="258" spans="1:28" x14ac:dyDescent="0.25">
      <c r="C258" s="3">
        <v>11</v>
      </c>
      <c r="D258" s="4">
        <v>133655631844.45586</v>
      </c>
      <c r="E258" s="4">
        <v>133655631844.45586</v>
      </c>
      <c r="F258" s="4">
        <v>0.31630994436254856</v>
      </c>
      <c r="G258" s="4">
        <v>0</v>
      </c>
      <c r="H258" s="4">
        <v>48737500000</v>
      </c>
      <c r="I258" s="4">
        <v>44405625000</v>
      </c>
      <c r="J258" s="4">
        <v>44405625000</v>
      </c>
      <c r="K258" s="4">
        <v>4.7403777407054323E-12</v>
      </c>
      <c r="L258" s="4">
        <v>4.7403777407054323E-12</v>
      </c>
      <c r="M258" s="4">
        <v>0</v>
      </c>
      <c r="N258" s="4">
        <v>2.0000000000000001E-4</v>
      </c>
      <c r="O258" s="4">
        <v>125.89529220779218</v>
      </c>
      <c r="P258" s="4">
        <v>125.89529220779218</v>
      </c>
      <c r="Q258" s="4">
        <v>-7.9035173611111112E-10</v>
      </c>
      <c r="R258" s="4">
        <v>0</v>
      </c>
      <c r="S258" s="4">
        <v>1.4217812500000001E-4</v>
      </c>
      <c r="T258" s="4">
        <v>8.1615625000000007E-6</v>
      </c>
      <c r="U258" s="4">
        <v>8.1615625000000007E-6</v>
      </c>
      <c r="V258" s="4">
        <v>0</v>
      </c>
      <c r="W258" s="4">
        <v>0</v>
      </c>
      <c r="X258" s="4">
        <v>2.0834374999999996</v>
      </c>
      <c r="Y258" s="4">
        <v>4475.3125</v>
      </c>
      <c r="Z258" s="4">
        <f t="shared" ref="Z258:AA258" si="78">Z257+0.0002</f>
        <v>8.0000000000000004E-4</v>
      </c>
      <c r="AA258" s="4">
        <f t="shared" si="78"/>
        <v>1E-3</v>
      </c>
      <c r="AB258" s="3">
        <v>2</v>
      </c>
    </row>
    <row r="259" spans="1:28" x14ac:dyDescent="0.25">
      <c r="B259" t="s">
        <v>240</v>
      </c>
      <c r="C259" s="10">
        <v>12</v>
      </c>
      <c r="D259" s="4">
        <v>147731840312.99469</v>
      </c>
      <c r="E259" s="4">
        <v>147731840312.99469</v>
      </c>
      <c r="F259" s="4">
        <v>0.35090306622741796</v>
      </c>
      <c r="G259" s="4">
        <v>0</v>
      </c>
      <c r="H259" s="4">
        <v>53954166666.666672</v>
      </c>
      <c r="I259" s="4">
        <v>49603958333.333344</v>
      </c>
      <c r="J259" s="4">
        <v>49603958333.333344</v>
      </c>
      <c r="K259" s="4">
        <v>1.8573409861243469E-12</v>
      </c>
      <c r="L259" s="4">
        <v>1.8573409861243469E-12</v>
      </c>
      <c r="M259" s="4">
        <v>0</v>
      </c>
      <c r="N259" s="4">
        <v>2.0000000000000001E-4</v>
      </c>
      <c r="O259" s="4">
        <v>134.74016955266953</v>
      </c>
      <c r="P259" s="4">
        <v>134.74016955266953</v>
      </c>
      <c r="Q259" s="4">
        <v>-2.5229278549382643E-10</v>
      </c>
      <c r="R259" s="4">
        <v>0</v>
      </c>
      <c r="S259" s="4">
        <v>1.5256979166666668E-4</v>
      </c>
      <c r="T259" s="4">
        <v>9.3673958333333353E-6</v>
      </c>
      <c r="U259" s="4">
        <v>9.3673958333333353E-6</v>
      </c>
      <c r="V259" s="4">
        <v>0</v>
      </c>
      <c r="W259" s="4">
        <v>0</v>
      </c>
      <c r="X259" s="4">
        <v>2.3587152777777782</v>
      </c>
      <c r="Y259" s="4">
        <v>5023.3680555555566</v>
      </c>
      <c r="Z259" s="4">
        <f t="shared" ref="Z259:AA259" si="79">Z258+0.0002</f>
        <v>1E-3</v>
      </c>
      <c r="AA259" s="4">
        <f t="shared" si="79"/>
        <v>1.2000000000000001E-3</v>
      </c>
      <c r="AB259" s="3">
        <v>2</v>
      </c>
    </row>
    <row r="260" spans="1:28" x14ac:dyDescent="0.25">
      <c r="C260" s="10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3"/>
    </row>
    <row r="261" spans="1:28" x14ac:dyDescent="0.25">
      <c r="C261" s="10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3"/>
    </row>
    <row r="262" spans="1:28" x14ac:dyDescent="0.25">
      <c r="A262" s="14" t="s">
        <v>239</v>
      </c>
      <c r="C262" s="9" t="s">
        <v>27</v>
      </c>
      <c r="D262" s="9" t="s">
        <v>28</v>
      </c>
      <c r="E262" s="9" t="s">
        <v>29</v>
      </c>
      <c r="F262" s="9" t="s">
        <v>30</v>
      </c>
      <c r="G262" s="9" t="s">
        <v>31</v>
      </c>
      <c r="H262" s="9" t="s">
        <v>229</v>
      </c>
      <c r="I262" s="9" t="s">
        <v>33</v>
      </c>
      <c r="J262" s="9" t="s">
        <v>34</v>
      </c>
      <c r="K262" s="9" t="s">
        <v>35</v>
      </c>
      <c r="L262" s="9" t="s">
        <v>36</v>
      </c>
      <c r="M262" s="9" t="s">
        <v>37</v>
      </c>
      <c r="N262" s="9" t="s">
        <v>38</v>
      </c>
      <c r="O262" s="9" t="s">
        <v>39</v>
      </c>
      <c r="P262" s="9" t="s">
        <v>40</v>
      </c>
      <c r="Q262" s="9" t="s">
        <v>41</v>
      </c>
      <c r="R262" s="9" t="s">
        <v>42</v>
      </c>
      <c r="S262" s="9" t="s">
        <v>43</v>
      </c>
      <c r="T262" s="9" t="s">
        <v>230</v>
      </c>
      <c r="U262" s="9" t="s">
        <v>231</v>
      </c>
      <c r="V262" s="9" t="s">
        <v>232</v>
      </c>
      <c r="W262" s="9" t="s">
        <v>233</v>
      </c>
      <c r="X262" s="9" t="s">
        <v>234</v>
      </c>
      <c r="Y262" s="9" t="s">
        <v>49</v>
      </c>
      <c r="Z262" s="9" t="s">
        <v>50</v>
      </c>
      <c r="AA262" s="9" t="s">
        <v>51</v>
      </c>
      <c r="AB262" s="9" t="s">
        <v>52</v>
      </c>
    </row>
    <row r="263" spans="1:28" x14ac:dyDescent="0.25">
      <c r="A263" s="11" t="s">
        <v>235</v>
      </c>
      <c r="B263" t="s">
        <v>75</v>
      </c>
      <c r="C263" s="10">
        <v>1</v>
      </c>
      <c r="D263" s="4">
        <v>110421479214.73984</v>
      </c>
      <c r="E263" s="4">
        <v>110421479214.73984</v>
      </c>
      <c r="F263" s="4">
        <v>0.28955447253962324</v>
      </c>
      <c r="G263" s="4">
        <v>0</v>
      </c>
      <c r="H263" s="4">
        <v>42112500000.000008</v>
      </c>
      <c r="I263" s="4">
        <v>48188958333.333344</v>
      </c>
      <c r="J263" s="4">
        <v>48188958333.333344</v>
      </c>
      <c r="K263" s="4">
        <v>-7.0662121994492116E-11</v>
      </c>
      <c r="L263" s="4">
        <v>-7.0662121994492116E-11</v>
      </c>
      <c r="M263" s="4">
        <v>0</v>
      </c>
      <c r="N263" s="4">
        <v>2.0000000000000001E-4</v>
      </c>
      <c r="O263" s="4">
        <v>6.6817279942279635</v>
      </c>
      <c r="P263" s="4">
        <v>6.6817279942279635</v>
      </c>
      <c r="Q263" s="4">
        <v>1.3046478510802474E-8</v>
      </c>
      <c r="R263" s="4">
        <v>0</v>
      </c>
      <c r="S263" s="4">
        <v>1.6428124999999981E-5</v>
      </c>
      <c r="T263" s="4">
        <v>1.4378229166666668E-5</v>
      </c>
      <c r="U263" s="4">
        <v>1.4378229166666668E-5</v>
      </c>
      <c r="V263" s="4">
        <v>0</v>
      </c>
      <c r="W263" s="4">
        <v>0</v>
      </c>
      <c r="X263" s="4">
        <v>2.9528819444444454</v>
      </c>
      <c r="Y263" s="4">
        <v>5389.2013888888896</v>
      </c>
      <c r="Z263" s="4">
        <v>-1.1999999999999999E-3</v>
      </c>
      <c r="AA263" s="4">
        <v>-1E-3</v>
      </c>
      <c r="AB263" s="3">
        <v>2</v>
      </c>
    </row>
    <row r="264" spans="1:28" x14ac:dyDescent="0.25">
      <c r="C264" s="3">
        <v>2</v>
      </c>
      <c r="D264" s="4">
        <v>98203480117.849854</v>
      </c>
      <c r="E264" s="4">
        <v>98203480117.849854</v>
      </c>
      <c r="F264" s="4">
        <v>0.25384334152122368</v>
      </c>
      <c r="G264" s="4">
        <v>0</v>
      </c>
      <c r="H264" s="4">
        <v>37212500000</v>
      </c>
      <c r="I264" s="4">
        <v>41360625000</v>
      </c>
      <c r="J264" s="4">
        <v>41360625000</v>
      </c>
      <c r="K264" s="4">
        <v>-5.3142129408960904E-11</v>
      </c>
      <c r="L264" s="4">
        <v>-5.3142129408960904E-11</v>
      </c>
      <c r="M264" s="4">
        <v>0</v>
      </c>
      <c r="N264" s="4">
        <v>2.0000000000000001E-4</v>
      </c>
      <c r="O264" s="4">
        <v>18.603084415584412</v>
      </c>
      <c r="P264" s="4">
        <v>18.603084415584412</v>
      </c>
      <c r="Q264" s="4">
        <v>9.8208510416666686E-9</v>
      </c>
      <c r="R264" s="4">
        <v>0</v>
      </c>
      <c r="S264" s="4">
        <v>2.7753125000000005E-5</v>
      </c>
      <c r="T264" s="4">
        <v>1.1794062499999999E-5</v>
      </c>
      <c r="U264" s="4">
        <v>1.1794062499999999E-5</v>
      </c>
      <c r="V264" s="4">
        <v>0</v>
      </c>
      <c r="W264" s="4">
        <v>0</v>
      </c>
      <c r="X264" s="4">
        <v>2.4659374999999999</v>
      </c>
      <c r="Y264" s="4">
        <v>4572.8125</v>
      </c>
      <c r="Z264" s="4">
        <f t="shared" ref="Z264:AA264" si="80">Z263+0.0002</f>
        <v>-9.999999999999998E-4</v>
      </c>
      <c r="AA264" s="4">
        <f t="shared" si="80"/>
        <v>-8.0000000000000004E-4</v>
      </c>
      <c r="AB264" s="3">
        <v>2</v>
      </c>
    </row>
    <row r="265" spans="1:28" x14ac:dyDescent="0.25">
      <c r="C265" s="3">
        <v>3</v>
      </c>
      <c r="D265" s="4">
        <v>85454377329.514297</v>
      </c>
      <c r="E265" s="4">
        <v>85454377329.514297</v>
      </c>
      <c r="F265" s="4">
        <v>0.21728791065405983</v>
      </c>
      <c r="G265" s="4">
        <v>0</v>
      </c>
      <c r="H265" s="4">
        <v>32145833333.333332</v>
      </c>
      <c r="I265" s="4">
        <v>34523958333.333336</v>
      </c>
      <c r="J265" s="4">
        <v>34523958333.333336</v>
      </c>
      <c r="K265" s="4">
        <v>-3.6730997113653219E-11</v>
      </c>
      <c r="L265" s="4">
        <v>-3.6730997113653219E-11</v>
      </c>
      <c r="M265" s="4">
        <v>0</v>
      </c>
      <c r="N265" s="4">
        <v>2.0000000000000001E-4</v>
      </c>
      <c r="O265" s="4">
        <v>28.601641414141387</v>
      </c>
      <c r="P265" s="4">
        <v>28.601641414141387</v>
      </c>
      <c r="Q265" s="4">
        <v>6.7985923996913617E-9</v>
      </c>
      <c r="R265" s="4">
        <v>0</v>
      </c>
      <c r="S265" s="4">
        <v>3.7036458333333305E-5</v>
      </c>
      <c r="T265" s="4">
        <v>9.2890624999999996E-6</v>
      </c>
      <c r="U265" s="4">
        <v>9.2890624999999996E-6</v>
      </c>
      <c r="V265" s="4">
        <v>0</v>
      </c>
      <c r="W265" s="4">
        <v>0</v>
      </c>
      <c r="X265" s="4">
        <v>1.9887152777777777</v>
      </c>
      <c r="Y265" s="4">
        <v>3763.3680555555557</v>
      </c>
      <c r="Z265" s="4">
        <f t="shared" ref="Z265:AA265" si="81">Z264+0.0002</f>
        <v>-7.9999999999999982E-4</v>
      </c>
      <c r="AA265" s="4">
        <f t="shared" si="81"/>
        <v>-6.0000000000000006E-4</v>
      </c>
      <c r="AB265" s="3">
        <v>2</v>
      </c>
    </row>
    <row r="266" spans="1:28" x14ac:dyDescent="0.25">
      <c r="C266" s="3">
        <v>4</v>
      </c>
      <c r="D266" s="4">
        <v>72174170849.733215</v>
      </c>
      <c r="E266" s="4">
        <v>72174170849.733215</v>
      </c>
      <c r="F266" s="4">
        <v>0.17988817993813175</v>
      </c>
      <c r="G266" s="4">
        <v>0</v>
      </c>
      <c r="H266" s="4">
        <v>26912500000</v>
      </c>
      <c r="I266" s="4">
        <v>27678958333.33334</v>
      </c>
      <c r="J266" s="4">
        <v>27678958333.33334</v>
      </c>
      <c r="K266" s="4">
        <v>-2.1428725108569004E-11</v>
      </c>
      <c r="L266" s="4">
        <v>-2.1428725108569004E-11</v>
      </c>
      <c r="M266" s="4">
        <v>0</v>
      </c>
      <c r="N266" s="4">
        <v>2.0000000000000001E-4</v>
      </c>
      <c r="O266" s="4">
        <v>36.677398989898975</v>
      </c>
      <c r="P266" s="4">
        <v>36.677398989898975</v>
      </c>
      <c r="Q266" s="4">
        <v>3.9797025848765454E-9</v>
      </c>
      <c r="R266" s="4">
        <v>0</v>
      </c>
      <c r="S266" s="4">
        <v>4.4278125000000001E-5</v>
      </c>
      <c r="T266" s="4">
        <v>6.8632291666666657E-6</v>
      </c>
      <c r="U266" s="4">
        <v>6.8632291666666657E-6</v>
      </c>
      <c r="V266" s="4">
        <v>0</v>
      </c>
      <c r="W266" s="4">
        <v>0</v>
      </c>
      <c r="X266" s="4">
        <v>1.5212152777777779</v>
      </c>
      <c r="Y266" s="4">
        <v>2960.8680555555561</v>
      </c>
      <c r="Z266" s="4">
        <f t="shared" ref="Z266:AA266" si="82">Z265+0.0002</f>
        <v>-5.9999999999999984E-4</v>
      </c>
      <c r="AA266" s="4">
        <f t="shared" si="82"/>
        <v>-4.0000000000000007E-4</v>
      </c>
      <c r="AB266" s="3">
        <v>2</v>
      </c>
    </row>
    <row r="267" spans="1:28" x14ac:dyDescent="0.25">
      <c r="C267" s="3">
        <v>5</v>
      </c>
      <c r="D267" s="4">
        <v>58362860678.506592</v>
      </c>
      <c r="E267" s="4">
        <v>58362860678.506592</v>
      </c>
      <c r="F267" s="4">
        <v>0.14164414937343933</v>
      </c>
      <c r="G267" s="4">
        <v>0</v>
      </c>
      <c r="H267" s="4">
        <v>21512500000</v>
      </c>
      <c r="I267" s="4">
        <v>20825625000</v>
      </c>
      <c r="J267" s="4">
        <v>20825625000</v>
      </c>
      <c r="K267" s="4">
        <v>-7.2353133937082911E-12</v>
      </c>
      <c r="L267" s="4">
        <v>-7.2353133937082911E-12</v>
      </c>
      <c r="M267" s="4">
        <v>0</v>
      </c>
      <c r="N267" s="4">
        <v>2.0000000000000001E-4</v>
      </c>
      <c r="O267" s="4">
        <v>42.830357142857132</v>
      </c>
      <c r="P267" s="4">
        <v>42.830357142857132</v>
      </c>
      <c r="Q267" s="4">
        <v>1.3641815972222223E-9</v>
      </c>
      <c r="R267" s="4">
        <v>0</v>
      </c>
      <c r="S267" s="4">
        <v>4.9478125000000005E-5</v>
      </c>
      <c r="T267" s="4">
        <v>4.5165624999999992E-6</v>
      </c>
      <c r="U267" s="4">
        <v>4.5165624999999992E-6</v>
      </c>
      <c r="V267" s="4">
        <v>0</v>
      </c>
      <c r="W267" s="4">
        <v>0</v>
      </c>
      <c r="X267" s="4">
        <v>1.0634374999999998</v>
      </c>
      <c r="Y267" s="4">
        <v>2165.3125</v>
      </c>
      <c r="Z267" s="4">
        <f t="shared" ref="Z267:AA267" si="83">Z266+0.0002</f>
        <v>-3.9999999999999986E-4</v>
      </c>
      <c r="AA267" s="4">
        <f t="shared" si="83"/>
        <v>-2.0000000000000006E-4</v>
      </c>
      <c r="AB267" s="3">
        <v>2</v>
      </c>
    </row>
    <row r="268" spans="1:28" x14ac:dyDescent="0.25">
      <c r="C268" s="3">
        <v>6</v>
      </c>
      <c r="D268" s="4">
        <v>44020446815.834427</v>
      </c>
      <c r="E268" s="4">
        <v>44020446815.834427</v>
      </c>
      <c r="F268" s="4">
        <v>0.10255581895998264</v>
      </c>
      <c r="G268" s="4">
        <v>0</v>
      </c>
      <c r="H268" s="4">
        <v>15945833333.333336</v>
      </c>
      <c r="I268" s="4">
        <v>13963958333.333336</v>
      </c>
      <c r="J268" s="4">
        <v>13963958333.333336</v>
      </c>
      <c r="K268" s="4">
        <v>5.84923803092893E-12</v>
      </c>
      <c r="L268" s="4">
        <v>5.84923803092893E-12</v>
      </c>
      <c r="M268" s="4">
        <v>0</v>
      </c>
      <c r="N268" s="4">
        <v>2.0000000000000001E-4</v>
      </c>
      <c r="O268" s="4">
        <v>47.060515873015866</v>
      </c>
      <c r="P268" s="4">
        <v>47.060515873015866</v>
      </c>
      <c r="Q268" s="4">
        <v>-1.0479705632716053E-9</v>
      </c>
      <c r="R268" s="4">
        <v>0</v>
      </c>
      <c r="S268" s="4">
        <v>5.2636458333333338E-5</v>
      </c>
      <c r="T268" s="4">
        <v>2.2490624999999976E-6</v>
      </c>
      <c r="U268" s="4">
        <v>2.2490624999999976E-6</v>
      </c>
      <c r="V268" s="4">
        <v>0</v>
      </c>
      <c r="W268" s="4">
        <v>0</v>
      </c>
      <c r="X268" s="4">
        <v>0.61538194444444416</v>
      </c>
      <c r="Y268" s="4">
        <v>1376.7013888888887</v>
      </c>
      <c r="Z268" s="4">
        <f t="shared" ref="Z268:AA268" si="84">Z267+0.0002</f>
        <v>-1.9999999999999985E-4</v>
      </c>
      <c r="AA268" s="4">
        <f t="shared" si="84"/>
        <v>0</v>
      </c>
      <c r="AB268" s="3">
        <v>2</v>
      </c>
    </row>
    <row r="269" spans="1:28" x14ac:dyDescent="0.25">
      <c r="C269" s="3">
        <v>7</v>
      </c>
      <c r="D269" s="4">
        <v>47207068964.507706</v>
      </c>
      <c r="E269" s="4">
        <v>47207068964.507706</v>
      </c>
      <c r="F269" s="4">
        <v>0.10762161805256845</v>
      </c>
      <c r="G269" s="4">
        <v>0</v>
      </c>
      <c r="H269" s="4">
        <v>16945833333.333336</v>
      </c>
      <c r="I269" s="4">
        <v>14013958333.333336</v>
      </c>
      <c r="J269" s="4">
        <v>14013958333.333336</v>
      </c>
      <c r="K269" s="4">
        <v>1.2502399772269886E-11</v>
      </c>
      <c r="L269" s="4">
        <v>1.2502399772269886E-11</v>
      </c>
      <c r="M269" s="4">
        <v>0</v>
      </c>
      <c r="N269" s="4">
        <v>2.0000000000000001E-4</v>
      </c>
      <c r="O269" s="4">
        <v>58.597312409812396</v>
      </c>
      <c r="P269" s="4">
        <v>58.597312409812396</v>
      </c>
      <c r="Q269" s="4">
        <v>-2.2681835262345685E-9</v>
      </c>
      <c r="R269" s="4">
        <v>0</v>
      </c>
      <c r="S269" s="4">
        <v>6.4886458333333338E-5</v>
      </c>
      <c r="T269" s="4">
        <v>1.7740624999999979E-6</v>
      </c>
      <c r="U269" s="4">
        <v>1.7740624999999979E-6</v>
      </c>
      <c r="V269" s="4">
        <v>0</v>
      </c>
      <c r="W269" s="4">
        <v>0</v>
      </c>
      <c r="X269" s="4">
        <v>0.55704861111111104</v>
      </c>
      <c r="Y269" s="4">
        <v>1335.0347222222226</v>
      </c>
      <c r="Z269" s="4">
        <f t="shared" ref="Z269:AA269" si="85">Z268+0.0002</f>
        <v>0</v>
      </c>
      <c r="AA269" s="4">
        <f t="shared" si="85"/>
        <v>2.0000000000000001E-4</v>
      </c>
      <c r="AB269" s="3">
        <v>2</v>
      </c>
    </row>
    <row r="270" spans="1:28" x14ac:dyDescent="0.25">
      <c r="C270" s="3">
        <v>8</v>
      </c>
      <c r="D270" s="4">
        <v>67922727124.526398</v>
      </c>
      <c r="E270" s="4">
        <v>67922727124.526398</v>
      </c>
      <c r="F270" s="4">
        <v>0.15684154665119676</v>
      </c>
      <c r="G270" s="4">
        <v>0</v>
      </c>
      <c r="H270" s="4">
        <v>24512500000</v>
      </c>
      <c r="I270" s="4">
        <v>20975625000</v>
      </c>
      <c r="J270" s="4">
        <v>20975625000</v>
      </c>
      <c r="K270" s="4">
        <v>1.2724171830314585E-11</v>
      </c>
      <c r="L270" s="4">
        <v>1.2724171830314585E-11</v>
      </c>
      <c r="M270" s="4">
        <v>0</v>
      </c>
      <c r="N270" s="4">
        <v>2.0000000000000001E-4</v>
      </c>
      <c r="O270" s="4">
        <v>77.440746753246742</v>
      </c>
      <c r="P270" s="4">
        <v>77.440746753246742</v>
      </c>
      <c r="Q270" s="4">
        <v>-2.2964572916666675E-9</v>
      </c>
      <c r="R270" s="4">
        <v>0</v>
      </c>
      <c r="S270" s="4">
        <v>8.6228125000000004E-5</v>
      </c>
      <c r="T270" s="4">
        <v>3.0915625000000001E-6</v>
      </c>
      <c r="U270" s="4">
        <v>3.0915625000000001E-6</v>
      </c>
      <c r="V270" s="4">
        <v>0</v>
      </c>
      <c r="W270" s="4">
        <v>0</v>
      </c>
      <c r="X270" s="4">
        <v>0.88843749999999999</v>
      </c>
      <c r="Y270" s="4">
        <v>2040.3125</v>
      </c>
      <c r="Z270" s="4">
        <f t="shared" ref="Z270:AA270" si="86">Z269+0.0002</f>
        <v>2.0000000000000001E-4</v>
      </c>
      <c r="AA270" s="4">
        <f t="shared" si="86"/>
        <v>4.0000000000000002E-4</v>
      </c>
      <c r="AB270" s="3">
        <v>2</v>
      </c>
    </row>
    <row r="271" spans="1:28" x14ac:dyDescent="0.25">
      <c r="C271" s="3">
        <v>9</v>
      </c>
      <c r="D271" s="4">
        <v>88107281593.099548</v>
      </c>
      <c r="E271" s="4">
        <v>88107281593.099548</v>
      </c>
      <c r="F271" s="4">
        <v>0.2052171754010608</v>
      </c>
      <c r="G271" s="4">
        <v>0</v>
      </c>
      <c r="H271" s="4">
        <v>31912500000</v>
      </c>
      <c r="I271" s="4">
        <v>27928958333.33334</v>
      </c>
      <c r="J271" s="4">
        <v>27928958333.33334</v>
      </c>
      <c r="K271" s="4">
        <v>1.1837083598135788E-11</v>
      </c>
      <c r="L271" s="4">
        <v>1.1837083598135788E-11</v>
      </c>
      <c r="M271" s="4">
        <v>0</v>
      </c>
      <c r="N271" s="4">
        <v>2.0000000000000001E-4</v>
      </c>
      <c r="O271" s="4">
        <v>94.361381673881652</v>
      </c>
      <c r="P271" s="4">
        <v>94.361381673881652</v>
      </c>
      <c r="Q271" s="4">
        <v>-2.1213622299382721E-9</v>
      </c>
      <c r="R271" s="4">
        <v>0</v>
      </c>
      <c r="S271" s="4">
        <v>1.05528125E-4</v>
      </c>
      <c r="T271" s="4">
        <v>4.4882291666666672E-6</v>
      </c>
      <c r="U271" s="4">
        <v>4.4882291666666672E-6</v>
      </c>
      <c r="V271" s="4">
        <v>0</v>
      </c>
      <c r="W271" s="4">
        <v>0</v>
      </c>
      <c r="X271" s="4">
        <v>1.2295486111111109</v>
      </c>
      <c r="Y271" s="4">
        <v>2752.5347222222231</v>
      </c>
      <c r="Z271" s="4">
        <f t="shared" ref="Z271:AA271" si="87">Z270+0.0002</f>
        <v>4.0000000000000002E-4</v>
      </c>
      <c r="AA271" s="4">
        <f t="shared" si="87"/>
        <v>6.0000000000000006E-4</v>
      </c>
      <c r="AB271" s="3">
        <v>2</v>
      </c>
    </row>
    <row r="272" spans="1:28" x14ac:dyDescent="0.25">
      <c r="C272" s="3">
        <v>10</v>
      </c>
      <c r="D272" s="4">
        <v>107760732370.22717</v>
      </c>
      <c r="E272" s="4">
        <v>107760732370.22717</v>
      </c>
      <c r="F272" s="4">
        <v>0.25274850430216056</v>
      </c>
      <c r="G272" s="4">
        <v>0</v>
      </c>
      <c r="H272" s="4">
        <v>39145833333.333328</v>
      </c>
      <c r="I272" s="4">
        <v>34873958333.333336</v>
      </c>
      <c r="J272" s="4">
        <v>34873958333.333336</v>
      </c>
      <c r="K272" s="4">
        <v>9.841135075733501E-12</v>
      </c>
      <c r="L272" s="4">
        <v>9.841135075733501E-12</v>
      </c>
      <c r="M272" s="4">
        <v>0</v>
      </c>
      <c r="N272" s="4">
        <v>2.0000000000000001E-4</v>
      </c>
      <c r="O272" s="4">
        <v>109.35921717171713</v>
      </c>
      <c r="P272" s="4">
        <v>109.35921717171713</v>
      </c>
      <c r="Q272" s="4">
        <v>-1.7428983410493829E-9</v>
      </c>
      <c r="R272" s="4">
        <v>0</v>
      </c>
      <c r="S272" s="4">
        <v>1.2278645833333334E-4</v>
      </c>
      <c r="T272" s="4">
        <v>5.9640625000000001E-6</v>
      </c>
      <c r="U272" s="4">
        <v>5.9640625000000001E-6</v>
      </c>
      <c r="V272" s="4">
        <v>0</v>
      </c>
      <c r="W272" s="4">
        <v>0</v>
      </c>
      <c r="X272" s="4">
        <v>1.5803819444444445</v>
      </c>
      <c r="Y272" s="4">
        <v>3471.7013888888887</v>
      </c>
      <c r="Z272" s="4">
        <f t="shared" ref="Z272:AA272" si="88">Z271+0.0002</f>
        <v>6.0000000000000006E-4</v>
      </c>
      <c r="AA272" s="4">
        <f t="shared" si="88"/>
        <v>8.0000000000000004E-4</v>
      </c>
      <c r="AB272" s="3">
        <v>2</v>
      </c>
    </row>
    <row r="273" spans="1:28" x14ac:dyDescent="0.25">
      <c r="C273" s="3">
        <v>11</v>
      </c>
      <c r="D273" s="4">
        <v>126883079455.90924</v>
      </c>
      <c r="E273" s="4">
        <v>126883079455.90924</v>
      </c>
      <c r="F273" s="4">
        <v>0.29943553335449596</v>
      </c>
      <c r="G273" s="4">
        <v>0</v>
      </c>
      <c r="H273" s="4">
        <v>46212500000</v>
      </c>
      <c r="I273" s="4">
        <v>41810625000</v>
      </c>
      <c r="J273" s="4">
        <v>41810625000</v>
      </c>
      <c r="K273" s="4">
        <v>6.7363262631077202E-12</v>
      </c>
      <c r="L273" s="4">
        <v>6.7363262631077202E-12</v>
      </c>
      <c r="M273" s="4">
        <v>0</v>
      </c>
      <c r="N273" s="4">
        <v>2.0000000000000001E-4</v>
      </c>
      <c r="O273" s="4">
        <v>122.43425324675323</v>
      </c>
      <c r="P273" s="4">
        <v>122.43425324675323</v>
      </c>
      <c r="Q273" s="4">
        <v>-1.1610656250000003E-9</v>
      </c>
      <c r="R273" s="4">
        <v>0</v>
      </c>
      <c r="S273" s="4">
        <v>1.38003125E-4</v>
      </c>
      <c r="T273" s="4">
        <v>7.5190624999999996E-6</v>
      </c>
      <c r="U273" s="4">
        <v>7.5190624999999996E-6</v>
      </c>
      <c r="V273" s="4">
        <v>0</v>
      </c>
      <c r="W273" s="4">
        <v>0</v>
      </c>
      <c r="X273" s="4">
        <v>1.9409374999999998</v>
      </c>
      <c r="Y273" s="4">
        <v>4197.8125</v>
      </c>
      <c r="Z273" s="4">
        <f t="shared" ref="Z273:AA273" si="89">Z272+0.0002</f>
        <v>8.0000000000000004E-4</v>
      </c>
      <c r="AA273" s="4">
        <f t="shared" si="89"/>
        <v>1E-3</v>
      </c>
      <c r="AB273" s="3">
        <v>2</v>
      </c>
    </row>
    <row r="274" spans="1:28" x14ac:dyDescent="0.25">
      <c r="B274" t="s">
        <v>240</v>
      </c>
      <c r="C274" s="10">
        <v>12</v>
      </c>
      <c r="D274" s="4">
        <v>145474322850.14581</v>
      </c>
      <c r="E274" s="4">
        <v>145474322850.14581</v>
      </c>
      <c r="F274" s="4">
        <v>0.34527826255806715</v>
      </c>
      <c r="G274" s="4">
        <v>0</v>
      </c>
      <c r="H274" s="4">
        <v>53112500000.000008</v>
      </c>
      <c r="I274" s="4">
        <v>48738958333.333344</v>
      </c>
      <c r="J274" s="4">
        <v>48738958333.333344</v>
      </c>
      <c r="K274" s="4">
        <v>2.5226571602584412E-12</v>
      </c>
      <c r="L274" s="4">
        <v>2.5226571602584412E-12</v>
      </c>
      <c r="M274" s="4">
        <v>0</v>
      </c>
      <c r="N274" s="4">
        <v>2.0000000000000001E-4</v>
      </c>
      <c r="O274" s="4">
        <v>133.58648989898987</v>
      </c>
      <c r="P274" s="4">
        <v>133.58648989898987</v>
      </c>
      <c r="Q274" s="4">
        <v>-3.7586408179012251E-10</v>
      </c>
      <c r="R274" s="4">
        <v>0</v>
      </c>
      <c r="S274" s="4">
        <v>1.5117812500000001E-4</v>
      </c>
      <c r="T274" s="4">
        <v>9.15322916666667E-6</v>
      </c>
      <c r="U274" s="4">
        <v>9.15322916666667E-6</v>
      </c>
      <c r="V274" s="4">
        <v>0</v>
      </c>
      <c r="W274" s="4">
        <v>0</v>
      </c>
      <c r="X274" s="4">
        <v>2.3112152777777784</v>
      </c>
      <c r="Y274" s="4">
        <v>4930.8680555555566</v>
      </c>
      <c r="Z274" s="4">
        <f t="shared" ref="Z274:AA274" si="90">Z273+0.0002</f>
        <v>1E-3</v>
      </c>
      <c r="AA274" s="4">
        <f t="shared" si="90"/>
        <v>1.2000000000000001E-3</v>
      </c>
      <c r="AB274" s="3">
        <v>2</v>
      </c>
    </row>
    <row r="275" spans="1:28" x14ac:dyDescent="0.25">
      <c r="C275" s="3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3"/>
    </row>
    <row r="276" spans="1:28" x14ac:dyDescent="0.25">
      <c r="C276" s="3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3"/>
    </row>
    <row r="277" spans="1:28" x14ac:dyDescent="0.25">
      <c r="C277" s="3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3"/>
    </row>
    <row r="278" spans="1:28" x14ac:dyDescent="0.25">
      <c r="C278" s="3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3"/>
    </row>
    <row r="279" spans="1:28" x14ac:dyDescent="0.25">
      <c r="C279" s="3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3"/>
    </row>
    <row r="280" spans="1:28" x14ac:dyDescent="0.25">
      <c r="C280" s="3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3"/>
    </row>
    <row r="281" spans="1:28" x14ac:dyDescent="0.25">
      <c r="C281" s="3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3"/>
    </row>
    <row r="282" spans="1:28" x14ac:dyDescent="0.25">
      <c r="C282" s="10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3"/>
    </row>
    <row r="286" spans="1:28" x14ac:dyDescent="0.25">
      <c r="A286" s="14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</row>
    <row r="287" spans="1:28" x14ac:dyDescent="0.25">
      <c r="A287" s="11"/>
      <c r="C287" s="10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3"/>
    </row>
    <row r="288" spans="1:28" x14ac:dyDescent="0.25">
      <c r="C288" s="3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3"/>
    </row>
    <row r="289" spans="1:28" x14ac:dyDescent="0.25">
      <c r="C289" s="3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3"/>
    </row>
    <row r="290" spans="1:28" x14ac:dyDescent="0.25">
      <c r="C290" s="3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3"/>
    </row>
    <row r="291" spans="1:28" x14ac:dyDescent="0.25">
      <c r="C291" s="3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3"/>
    </row>
    <row r="292" spans="1:28" x14ac:dyDescent="0.25">
      <c r="C292" s="3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3"/>
    </row>
    <row r="293" spans="1:28" x14ac:dyDescent="0.25">
      <c r="C293" s="3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3"/>
    </row>
    <row r="294" spans="1:28" x14ac:dyDescent="0.25">
      <c r="C294" s="3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3"/>
    </row>
    <row r="295" spans="1:28" x14ac:dyDescent="0.25">
      <c r="C295" s="3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3"/>
    </row>
    <row r="296" spans="1:28" x14ac:dyDescent="0.25">
      <c r="C296" s="3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3"/>
    </row>
    <row r="297" spans="1:28" x14ac:dyDescent="0.25">
      <c r="C297" s="3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3"/>
    </row>
    <row r="298" spans="1:28" x14ac:dyDescent="0.25">
      <c r="C298" s="10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3"/>
    </row>
    <row r="301" spans="1:28" x14ac:dyDescent="0.25">
      <c r="A301" s="14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</row>
    <row r="302" spans="1:28" x14ac:dyDescent="0.25">
      <c r="A302" s="11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</row>
    <row r="303" spans="1:28" x14ac:dyDescent="0.25">
      <c r="C303" s="10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3"/>
    </row>
    <row r="304" spans="1:28" x14ac:dyDescent="0.25">
      <c r="C304" s="3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3"/>
    </row>
    <row r="305" spans="1:28" x14ac:dyDescent="0.25">
      <c r="C305" s="3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3"/>
    </row>
    <row r="306" spans="1:28" x14ac:dyDescent="0.25">
      <c r="C306" s="3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3"/>
    </row>
    <row r="307" spans="1:28" x14ac:dyDescent="0.25">
      <c r="C307" s="3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3"/>
    </row>
    <row r="308" spans="1:28" x14ac:dyDescent="0.25">
      <c r="C308" s="3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3"/>
    </row>
    <row r="309" spans="1:28" x14ac:dyDescent="0.25">
      <c r="C309" s="3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3"/>
    </row>
    <row r="310" spans="1:28" x14ac:dyDescent="0.25">
      <c r="C310" s="3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3"/>
    </row>
    <row r="311" spans="1:28" x14ac:dyDescent="0.25">
      <c r="C311" s="3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3"/>
    </row>
    <row r="312" spans="1:28" x14ac:dyDescent="0.25">
      <c r="C312" s="3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3"/>
    </row>
    <row r="313" spans="1:28" x14ac:dyDescent="0.25">
      <c r="C313" s="3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3"/>
    </row>
    <row r="314" spans="1:28" x14ac:dyDescent="0.25">
      <c r="C314" s="10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3"/>
    </row>
    <row r="319" spans="1:28" x14ac:dyDescent="0.25">
      <c r="A319" s="14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</row>
    <row r="320" spans="1:28" x14ac:dyDescent="0.25">
      <c r="A320" s="11"/>
      <c r="C320" s="10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3"/>
    </row>
    <row r="321" spans="1:28" x14ac:dyDescent="0.25">
      <c r="C321" s="3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3"/>
    </row>
    <row r="322" spans="1:28" x14ac:dyDescent="0.25">
      <c r="C322" s="3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3"/>
    </row>
    <row r="323" spans="1:28" x14ac:dyDescent="0.25">
      <c r="C323" s="3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3"/>
    </row>
    <row r="324" spans="1:28" x14ac:dyDescent="0.25">
      <c r="C324" s="3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3"/>
    </row>
    <row r="325" spans="1:28" x14ac:dyDescent="0.25">
      <c r="C325" s="3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3"/>
    </row>
    <row r="326" spans="1:28" x14ac:dyDescent="0.25">
      <c r="C326" s="3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3"/>
    </row>
    <row r="327" spans="1:28" x14ac:dyDescent="0.25">
      <c r="C327" s="3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3"/>
    </row>
    <row r="328" spans="1:28" x14ac:dyDescent="0.25">
      <c r="C328" s="3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3"/>
    </row>
    <row r="329" spans="1:28" x14ac:dyDescent="0.25">
      <c r="C329" s="3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3"/>
    </row>
    <row r="330" spans="1:28" x14ac:dyDescent="0.25">
      <c r="C330" s="3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3"/>
    </row>
    <row r="331" spans="1:28" x14ac:dyDescent="0.25">
      <c r="C331" s="10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3"/>
    </row>
    <row r="335" spans="1:28" x14ac:dyDescent="0.25">
      <c r="A335" s="14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</row>
    <row r="336" spans="1:28" x14ac:dyDescent="0.25">
      <c r="A336" s="11"/>
      <c r="C336" s="10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3"/>
    </row>
    <row r="337" spans="1:28" x14ac:dyDescent="0.25">
      <c r="C337" s="3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3"/>
    </row>
    <row r="338" spans="1:28" x14ac:dyDescent="0.25">
      <c r="C338" s="3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3"/>
    </row>
    <row r="339" spans="1:28" x14ac:dyDescent="0.25">
      <c r="C339" s="3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3"/>
    </row>
    <row r="340" spans="1:28" x14ac:dyDescent="0.25">
      <c r="C340" s="3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3"/>
    </row>
    <row r="341" spans="1:28" x14ac:dyDescent="0.25">
      <c r="C341" s="3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3"/>
    </row>
    <row r="342" spans="1:28" x14ac:dyDescent="0.25">
      <c r="C342" s="3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3"/>
    </row>
    <row r="343" spans="1:28" x14ac:dyDescent="0.25">
      <c r="C343" s="3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3"/>
    </row>
    <row r="344" spans="1:28" x14ac:dyDescent="0.25">
      <c r="C344" s="3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3"/>
    </row>
    <row r="345" spans="1:28" x14ac:dyDescent="0.25">
      <c r="C345" s="3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3"/>
    </row>
    <row r="346" spans="1:28" x14ac:dyDescent="0.25">
      <c r="C346" s="3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3"/>
    </row>
    <row r="347" spans="1:28" x14ac:dyDescent="0.25">
      <c r="C347" s="10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3"/>
    </row>
    <row r="351" spans="1:28" x14ac:dyDescent="0.25">
      <c r="A351" s="14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</row>
    <row r="352" spans="1:28" x14ac:dyDescent="0.25">
      <c r="A352" s="11"/>
      <c r="C352" s="10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3"/>
    </row>
    <row r="353" spans="1:28" x14ac:dyDescent="0.25">
      <c r="C353" s="3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3"/>
    </row>
    <row r="354" spans="1:28" x14ac:dyDescent="0.25">
      <c r="C354" s="3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3"/>
    </row>
    <row r="355" spans="1:28" x14ac:dyDescent="0.25">
      <c r="C355" s="3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3"/>
    </row>
    <row r="356" spans="1:28" x14ac:dyDescent="0.25">
      <c r="C356" s="3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3"/>
    </row>
    <row r="357" spans="1:28" x14ac:dyDescent="0.25">
      <c r="C357" s="3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3"/>
    </row>
    <row r="358" spans="1:28" x14ac:dyDescent="0.25">
      <c r="C358" s="3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3"/>
    </row>
    <row r="359" spans="1:28" x14ac:dyDescent="0.25">
      <c r="C359" s="3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3"/>
    </row>
    <row r="360" spans="1:28" x14ac:dyDescent="0.25">
      <c r="C360" s="3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3"/>
    </row>
    <row r="361" spans="1:28" x14ac:dyDescent="0.25">
      <c r="C361" s="3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3"/>
    </row>
    <row r="362" spans="1:28" x14ac:dyDescent="0.25">
      <c r="C362" s="3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3"/>
    </row>
    <row r="363" spans="1:28" x14ac:dyDescent="0.25">
      <c r="C363" s="10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3"/>
    </row>
    <row r="366" spans="1:28" x14ac:dyDescent="0.25">
      <c r="A366" s="14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</row>
    <row r="367" spans="1:28" x14ac:dyDescent="0.25">
      <c r="A367" s="11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</row>
    <row r="368" spans="1:28" x14ac:dyDescent="0.25">
      <c r="C368" s="10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3"/>
    </row>
    <row r="369" spans="1:28" x14ac:dyDescent="0.25">
      <c r="C369" s="3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3"/>
    </row>
    <row r="370" spans="1:28" x14ac:dyDescent="0.25">
      <c r="C370" s="3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3"/>
    </row>
    <row r="371" spans="1:28" x14ac:dyDescent="0.25">
      <c r="C371" s="3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3"/>
    </row>
    <row r="372" spans="1:28" x14ac:dyDescent="0.25">
      <c r="C372" s="3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3"/>
    </row>
    <row r="373" spans="1:28" x14ac:dyDescent="0.25">
      <c r="C373" s="3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3"/>
    </row>
    <row r="374" spans="1:28" x14ac:dyDescent="0.25">
      <c r="C374" s="3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3"/>
    </row>
    <row r="375" spans="1:28" x14ac:dyDescent="0.25">
      <c r="C375" s="3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3"/>
    </row>
    <row r="376" spans="1:28" x14ac:dyDescent="0.25">
      <c r="C376" s="3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3"/>
    </row>
    <row r="377" spans="1:28" x14ac:dyDescent="0.25">
      <c r="C377" s="3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3"/>
    </row>
    <row r="378" spans="1:28" x14ac:dyDescent="0.25">
      <c r="C378" s="3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3"/>
    </row>
    <row r="379" spans="1:28" x14ac:dyDescent="0.25">
      <c r="C379" s="10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3"/>
    </row>
    <row r="384" spans="1:28" x14ac:dyDescent="0.25">
      <c r="A384" s="14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</row>
    <row r="385" spans="1:28" x14ac:dyDescent="0.25">
      <c r="A385" s="11"/>
      <c r="C385" s="10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3"/>
    </row>
    <row r="386" spans="1:28" x14ac:dyDescent="0.25">
      <c r="C386" s="3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3"/>
    </row>
    <row r="387" spans="1:28" x14ac:dyDescent="0.25">
      <c r="C387" s="3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3"/>
    </row>
    <row r="388" spans="1:28" x14ac:dyDescent="0.25">
      <c r="C388" s="3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3"/>
    </row>
    <row r="389" spans="1:28" x14ac:dyDescent="0.25">
      <c r="C389" s="3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3"/>
    </row>
    <row r="390" spans="1:28" x14ac:dyDescent="0.25">
      <c r="C390" s="3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3"/>
    </row>
    <row r="391" spans="1:28" x14ac:dyDescent="0.25">
      <c r="C391" s="3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3"/>
    </row>
    <row r="392" spans="1:28" x14ac:dyDescent="0.25">
      <c r="C392" s="3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3"/>
    </row>
    <row r="393" spans="1:28" x14ac:dyDescent="0.25">
      <c r="C393" s="3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3"/>
    </row>
    <row r="394" spans="1:28" x14ac:dyDescent="0.25">
      <c r="C394" s="3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3"/>
    </row>
    <row r="395" spans="1:28" x14ac:dyDescent="0.25">
      <c r="C395" s="3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3"/>
    </row>
    <row r="396" spans="1:28" x14ac:dyDescent="0.25">
      <c r="C396" s="10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3"/>
    </row>
    <row r="400" spans="1:28" x14ac:dyDescent="0.25">
      <c r="A400" s="14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</row>
    <row r="401" spans="1:28" x14ac:dyDescent="0.25">
      <c r="A401" s="11"/>
      <c r="C401" s="10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3"/>
    </row>
    <row r="402" spans="1:28" x14ac:dyDescent="0.25">
      <c r="C402" s="3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3"/>
    </row>
    <row r="403" spans="1:28" x14ac:dyDescent="0.25">
      <c r="C403" s="3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3"/>
    </row>
    <row r="404" spans="1:28" x14ac:dyDescent="0.25">
      <c r="C404" s="3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3"/>
    </row>
    <row r="405" spans="1:28" x14ac:dyDescent="0.25">
      <c r="C405" s="3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3"/>
    </row>
    <row r="406" spans="1:28" x14ac:dyDescent="0.25">
      <c r="C406" s="3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3"/>
    </row>
    <row r="407" spans="1:28" x14ac:dyDescent="0.25">
      <c r="C407" s="3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3"/>
    </row>
    <row r="408" spans="1:28" x14ac:dyDescent="0.25">
      <c r="C408" s="3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3"/>
    </row>
    <row r="409" spans="1:28" x14ac:dyDescent="0.25">
      <c r="C409" s="3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3"/>
    </row>
    <row r="410" spans="1:28" x14ac:dyDescent="0.25">
      <c r="C410" s="3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3"/>
    </row>
    <row r="411" spans="1:28" x14ac:dyDescent="0.25">
      <c r="C411" s="3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3"/>
    </row>
    <row r="412" spans="1:28" x14ac:dyDescent="0.25">
      <c r="C412" s="10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3"/>
    </row>
    <row r="416" spans="1:28" x14ac:dyDescent="0.25">
      <c r="A416" s="14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</row>
    <row r="417" spans="1:28" x14ac:dyDescent="0.25">
      <c r="A417" s="11"/>
      <c r="C417" s="10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3"/>
    </row>
    <row r="418" spans="1:28" x14ac:dyDescent="0.25">
      <c r="C418" s="3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3"/>
    </row>
    <row r="419" spans="1:28" x14ac:dyDescent="0.25">
      <c r="C419" s="3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3"/>
    </row>
    <row r="420" spans="1:28" x14ac:dyDescent="0.25">
      <c r="C420" s="3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3"/>
    </row>
    <row r="421" spans="1:28" x14ac:dyDescent="0.25">
      <c r="C421" s="3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3"/>
    </row>
    <row r="422" spans="1:28" x14ac:dyDescent="0.25">
      <c r="C422" s="3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3"/>
    </row>
    <row r="423" spans="1:28" x14ac:dyDescent="0.25">
      <c r="C423" s="3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3"/>
    </row>
    <row r="424" spans="1:28" x14ac:dyDescent="0.25">
      <c r="C424" s="3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3"/>
    </row>
    <row r="425" spans="1:28" x14ac:dyDescent="0.25">
      <c r="C425" s="3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3"/>
    </row>
    <row r="426" spans="1:28" x14ac:dyDescent="0.25">
      <c r="C426" s="3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3"/>
    </row>
    <row r="427" spans="1:28" x14ac:dyDescent="0.25">
      <c r="C427" s="3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3"/>
    </row>
    <row r="428" spans="1:28" x14ac:dyDescent="0.25">
      <c r="C428" s="10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3"/>
    </row>
    <row r="431" spans="1:28" x14ac:dyDescent="0.25">
      <c r="A431" s="14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</row>
    <row r="432" spans="1:28" x14ac:dyDescent="0.25">
      <c r="A432" s="11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</row>
    <row r="433" spans="3:28" x14ac:dyDescent="0.25">
      <c r="C433" s="10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3"/>
    </row>
    <row r="434" spans="3:28" x14ac:dyDescent="0.25">
      <c r="C434" s="3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3"/>
    </row>
    <row r="435" spans="3:28" x14ac:dyDescent="0.25">
      <c r="C435" s="3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3"/>
    </row>
    <row r="436" spans="3:28" x14ac:dyDescent="0.25">
      <c r="C436" s="3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3"/>
    </row>
    <row r="437" spans="3:28" x14ac:dyDescent="0.25">
      <c r="C437" s="3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3"/>
    </row>
    <row r="438" spans="3:28" x14ac:dyDescent="0.25">
      <c r="C438" s="3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3"/>
    </row>
    <row r="439" spans="3:28" x14ac:dyDescent="0.25">
      <c r="C439" s="3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3"/>
    </row>
    <row r="440" spans="3:28" x14ac:dyDescent="0.25">
      <c r="C440" s="3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3"/>
    </row>
    <row r="441" spans="3:28" x14ac:dyDescent="0.25">
      <c r="C441" s="3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3"/>
    </row>
    <row r="442" spans="3:28" x14ac:dyDescent="0.25">
      <c r="C442" s="3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3"/>
    </row>
    <row r="443" spans="3:28" x14ac:dyDescent="0.25">
      <c r="C443" s="3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3"/>
    </row>
    <row r="444" spans="3:28" x14ac:dyDescent="0.25">
      <c r="C444" s="10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3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267"/>
  <sheetViews>
    <sheetView topLeftCell="M232" zoomScale="90" zoomScaleNormal="90" workbookViewId="0">
      <selection activeCell="C240" sqref="C240:AB251"/>
    </sheetView>
  </sheetViews>
  <sheetFormatPr defaultRowHeight="14" x14ac:dyDescent="0.25"/>
  <cols>
    <col min="1" max="1" width="13.36328125" customWidth="1"/>
    <col min="2" max="2" width="15.36328125" customWidth="1"/>
    <col min="3" max="3" width="10.453125" bestFit="1" customWidth="1"/>
    <col min="4" max="4" width="11.90625" customWidth="1"/>
    <col min="5" max="5" width="13.1796875" customWidth="1"/>
    <col min="6" max="6" width="11.36328125" customWidth="1"/>
    <col min="7" max="7" width="10.54296875" bestFit="1" customWidth="1"/>
    <col min="8" max="8" width="10.36328125" bestFit="1" customWidth="1"/>
    <col min="9" max="9" width="11" customWidth="1"/>
    <col min="10" max="10" width="11.36328125" bestFit="1" customWidth="1"/>
    <col min="11" max="11" width="12.08984375" customWidth="1"/>
    <col min="12" max="12" width="11.7265625" customWidth="1"/>
    <col min="13" max="13" width="10.26953125" bestFit="1" customWidth="1"/>
    <col min="14" max="14" width="12" customWidth="1"/>
    <col min="15" max="15" width="11.54296875" customWidth="1"/>
    <col min="16" max="16" width="11.26953125" customWidth="1"/>
    <col min="17" max="17" width="11.1796875" customWidth="1"/>
    <col min="18" max="18" width="11.08984375" customWidth="1"/>
    <col min="19" max="19" width="10.81640625" customWidth="1"/>
    <col min="20" max="23" width="10.26953125" bestFit="1" customWidth="1"/>
    <col min="24" max="25" width="11.36328125" bestFit="1" customWidth="1"/>
    <col min="26" max="26" width="12.7265625" customWidth="1"/>
    <col min="27" max="27" width="11.26953125" customWidth="1"/>
    <col min="32" max="32" width="12.08984375" customWidth="1"/>
    <col min="33" max="33" width="10.54296875" customWidth="1"/>
    <col min="34" max="35" width="11" customWidth="1"/>
    <col min="36" max="36" width="11.26953125" customWidth="1"/>
    <col min="37" max="37" width="12" customWidth="1"/>
    <col min="43" max="43" width="12.453125" bestFit="1" customWidth="1"/>
    <col min="44" max="44" width="8.81640625" bestFit="1" customWidth="1"/>
    <col min="49" max="49" width="14.90625" customWidth="1"/>
    <col min="53" max="53" width="10.81640625" customWidth="1"/>
    <col min="57" max="57" width="9.26953125" bestFit="1" customWidth="1"/>
  </cols>
  <sheetData>
    <row r="1" spans="1:59" x14ac:dyDescent="0.25">
      <c r="B1" s="1" t="s">
        <v>76</v>
      </c>
      <c r="C1" s="1" t="s">
        <v>77</v>
      </c>
      <c r="D1" s="1" t="s">
        <v>78</v>
      </c>
      <c r="E1" s="1" t="s">
        <v>79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80</v>
      </c>
      <c r="K1" s="1" t="s">
        <v>81</v>
      </c>
      <c r="L1" t="s">
        <v>8</v>
      </c>
      <c r="M1" t="s">
        <v>9</v>
      </c>
      <c r="N1" t="s">
        <v>10</v>
      </c>
      <c r="O1" t="s">
        <v>82</v>
      </c>
      <c r="P1" t="s">
        <v>83</v>
      </c>
      <c r="AE1" s="2" t="s">
        <v>154</v>
      </c>
      <c r="AW1" t="s">
        <v>260</v>
      </c>
      <c r="AX1" t="s">
        <v>261</v>
      </c>
      <c r="AY1" t="s">
        <v>262</v>
      </c>
      <c r="AZ1" t="s">
        <v>263</v>
      </c>
      <c r="BA1" t="s">
        <v>264</v>
      </c>
      <c r="BB1" t="s">
        <v>265</v>
      </c>
      <c r="BC1" t="s">
        <v>266</v>
      </c>
      <c r="BD1" t="s">
        <v>267</v>
      </c>
      <c r="BE1" t="s">
        <v>268</v>
      </c>
      <c r="BF1" t="s">
        <v>269</v>
      </c>
      <c r="BG1" t="s">
        <v>270</v>
      </c>
    </row>
    <row r="2" spans="1:59" x14ac:dyDescent="0.25">
      <c r="A2" s="1" t="s">
        <v>75</v>
      </c>
      <c r="B2" s="1">
        <v>128444444444.44444</v>
      </c>
      <c r="C2" s="1">
        <v>39444444444.444443</v>
      </c>
      <c r="D2" s="1">
        <v>44500000000</v>
      </c>
      <c r="E2" s="1">
        <v>43000000000</v>
      </c>
      <c r="F2" s="1">
        <v>43000000000</v>
      </c>
      <c r="G2" s="1">
        <v>-13.355555555555556</v>
      </c>
      <c r="H2" s="1">
        <v>0</v>
      </c>
      <c r="I2" s="1">
        <v>1.4735555555555557E-8</v>
      </c>
      <c r="J2" s="1">
        <v>1.0000000000000001E-5</v>
      </c>
      <c r="K2" s="1">
        <v>0</v>
      </c>
      <c r="L2" s="1">
        <v>1.5699999999999999E-5</v>
      </c>
      <c r="M2" s="1">
        <v>4.0024444444444442E-4</v>
      </c>
      <c r="N2" s="1">
        <v>4.0024444444444442E-4</v>
      </c>
      <c r="O2" s="1">
        <v>3.2</v>
      </c>
      <c r="P2" s="1">
        <v>5800</v>
      </c>
      <c r="AV2">
        <v>1</v>
      </c>
      <c r="AX2" s="1">
        <v>2.5</v>
      </c>
      <c r="AY2" s="1">
        <v>3.2</v>
      </c>
      <c r="AZ2" s="1">
        <v>2.3999999999999998E-3</v>
      </c>
      <c r="BA2" s="1">
        <v>-1.14E-3</v>
      </c>
      <c r="BB2" s="1">
        <v>1</v>
      </c>
      <c r="BC2" s="1">
        <f t="shared" ref="BC2:BC21" si="0">(0.5-BA2/AZ2)^BB2</f>
        <v>0.97500000000000009</v>
      </c>
      <c r="BD2" s="1">
        <v>0.2</v>
      </c>
      <c r="BE2" s="1">
        <f>4*(ABS(BA2)/AZ2)</f>
        <v>1.9000000000000001</v>
      </c>
      <c r="BF2" s="1">
        <f t="shared" ref="BF2:BF21" si="1">(AY2-AX2)*BC2+AX2-(AX2+AY2)*(BD2/2)*BE2</f>
        <v>2.0994999999999999</v>
      </c>
      <c r="BG2" s="1">
        <f t="shared" ref="BG2:BG21" si="2">1/BF2</f>
        <v>0.4763038818766373</v>
      </c>
    </row>
    <row r="3" spans="1:59" x14ac:dyDescent="0.25">
      <c r="A3" s="1" t="s">
        <v>219</v>
      </c>
      <c r="B3" s="1">
        <v>178764378478.66418</v>
      </c>
      <c r="C3" s="1">
        <v>65764378478.6642</v>
      </c>
      <c r="D3" s="1">
        <v>56500000000</v>
      </c>
      <c r="E3" s="1">
        <v>45300000000</v>
      </c>
      <c r="F3" s="1">
        <v>45300000000</v>
      </c>
      <c r="G3" s="1">
        <v>0</v>
      </c>
      <c r="H3" s="1">
        <v>138.44155844155841</v>
      </c>
      <c r="I3" s="1">
        <v>9.3000000000000002E-11</v>
      </c>
      <c r="J3" s="1">
        <v>1.5881818181818182E-4</v>
      </c>
      <c r="K3" s="1">
        <v>0</v>
      </c>
      <c r="L3" s="1">
        <v>1.0000000000000001E-5</v>
      </c>
      <c r="M3" s="1">
        <v>4.0024444444444442E-4</v>
      </c>
      <c r="N3" s="1">
        <v>4.0024444444444442E-4</v>
      </c>
      <c r="O3" s="1">
        <v>2.5</v>
      </c>
      <c r="P3" s="1">
        <v>5300</v>
      </c>
      <c r="AE3" t="s">
        <v>155</v>
      </c>
      <c r="AF3" t="s">
        <v>156</v>
      </c>
      <c r="AG3" t="s">
        <v>157</v>
      </c>
      <c r="AH3" t="s">
        <v>158</v>
      </c>
      <c r="AI3" t="s">
        <v>159</v>
      </c>
      <c r="AJ3" t="s">
        <v>160</v>
      </c>
      <c r="AK3" t="s">
        <v>161</v>
      </c>
      <c r="AL3" s="3" t="s">
        <v>162</v>
      </c>
      <c r="AM3" t="s">
        <v>163</v>
      </c>
      <c r="AN3" t="s">
        <v>164</v>
      </c>
      <c r="AO3" t="s">
        <v>165</v>
      </c>
      <c r="AP3" t="s">
        <v>166</v>
      </c>
      <c r="AV3">
        <v>2</v>
      </c>
      <c r="AX3" s="1">
        <v>2.5</v>
      </c>
      <c r="AY3" s="1">
        <v>3.2</v>
      </c>
      <c r="AZ3" s="1">
        <v>2.3999999999999998E-3</v>
      </c>
      <c r="BA3" s="1">
        <f t="shared" ref="BA3:BA21" si="3">BA2+0.00012</f>
        <v>-1.0199999999999999E-3</v>
      </c>
      <c r="BB3" s="1">
        <v>1</v>
      </c>
      <c r="BC3" s="1">
        <f t="shared" si="0"/>
        <v>0.92500000000000004</v>
      </c>
      <c r="BD3" s="1">
        <v>0.2</v>
      </c>
      <c r="BE3" s="1">
        <f t="shared" ref="BE3:BE21" si="4">4*(ABS(BA3)/AZ3)</f>
        <v>1.7</v>
      </c>
      <c r="BF3" s="1">
        <f t="shared" si="1"/>
        <v>2.1784999999999997</v>
      </c>
      <c r="BG3" s="1">
        <f t="shared" si="2"/>
        <v>0.45903144365389037</v>
      </c>
    </row>
    <row r="4" spans="1:59" x14ac:dyDescent="0.25">
      <c r="A4" s="1"/>
      <c r="B4" s="1"/>
      <c r="C4" s="1"/>
      <c r="AE4">
        <v>1</v>
      </c>
      <c r="AF4" s="4">
        <v>0.47040376323010591</v>
      </c>
      <c r="AG4" s="4">
        <v>2.0000000000000001E-4</v>
      </c>
      <c r="AH4" s="5">
        <f>AF4*AG4</f>
        <v>9.4080752646021184E-5</v>
      </c>
      <c r="AI4" s="4">
        <f t="shared" ref="AI4:AI15" si="5">AF4*AG4</f>
        <v>9.4080752646021184E-5</v>
      </c>
      <c r="AJ4" s="5">
        <f>SUM(AI4:AI15)</f>
        <v>1.0879414138224523E-3</v>
      </c>
      <c r="AK4" s="6">
        <f>AH4/AJ4</f>
        <v>8.6475936526279523E-2</v>
      </c>
      <c r="AL4" s="7">
        <f>1-AM4</f>
        <v>0.9135240634737205</v>
      </c>
      <c r="AM4" s="7">
        <f>AH4/AJ4</f>
        <v>8.6475936526279523E-2</v>
      </c>
      <c r="AN4" s="8">
        <v>20</v>
      </c>
      <c r="AO4">
        <v>300</v>
      </c>
      <c r="AP4">
        <f>AN4*AL4+AO4*AM4</f>
        <v>44.213262227358271</v>
      </c>
      <c r="AQ4" s="13"/>
      <c r="AR4" s="13"/>
      <c r="AV4">
        <v>3</v>
      </c>
      <c r="AX4" s="1">
        <v>2.5</v>
      </c>
      <c r="AY4" s="1">
        <v>3.2</v>
      </c>
      <c r="AZ4" s="1">
        <v>2.3999999999999998E-3</v>
      </c>
      <c r="BA4" s="1">
        <f t="shared" si="3"/>
        <v>-8.9999999999999987E-4</v>
      </c>
      <c r="BB4" s="1">
        <v>1</v>
      </c>
      <c r="BC4" s="1">
        <f t="shared" si="0"/>
        <v>0.875</v>
      </c>
      <c r="BD4" s="1">
        <v>0.2</v>
      </c>
      <c r="BE4" s="1">
        <f t="shared" si="4"/>
        <v>1.5</v>
      </c>
      <c r="BF4" s="1">
        <f t="shared" si="1"/>
        <v>2.2575000000000003</v>
      </c>
      <c r="BG4" s="1">
        <f t="shared" si="2"/>
        <v>0.44296788482834987</v>
      </c>
    </row>
    <row r="5" spans="1:59" x14ac:dyDescent="0.25">
      <c r="A5" s="1"/>
      <c r="B5" s="1"/>
      <c r="C5" s="1"/>
      <c r="AE5">
        <v>2</v>
      </c>
      <c r="AF5" s="4">
        <v>0.44296788482834987</v>
      </c>
      <c r="AG5" s="4">
        <v>2.0000000000000001E-4</v>
      </c>
      <c r="AH5" s="5">
        <f t="shared" ref="AH5:AH15" si="6">AF5*AG5+AH4</f>
        <v>1.8267432961169115E-4</v>
      </c>
      <c r="AI5" s="4">
        <f t="shared" si="5"/>
        <v>8.859357696566998E-5</v>
      </c>
      <c r="AJ5" s="5">
        <v>1.0879414138224523E-3</v>
      </c>
      <c r="AK5" s="6">
        <f t="shared" ref="AK5:AK15" si="7">AH5/AJ5</f>
        <v>0.1679082414648321</v>
      </c>
      <c r="AL5" s="7">
        <f t="shared" ref="AL5:AL15" si="8">1-AM5</f>
        <v>0.83209175853516792</v>
      </c>
      <c r="AM5" s="7">
        <f t="shared" ref="AM5:AM15" si="9">AH5/AJ5</f>
        <v>0.1679082414648321</v>
      </c>
      <c r="AN5" s="8">
        <v>20</v>
      </c>
      <c r="AO5">
        <v>300</v>
      </c>
      <c r="AP5">
        <f t="shared" ref="AP5:AP15" si="10">AN5*AL5+AO5*AM5</f>
        <v>67.014307610152997</v>
      </c>
      <c r="AQ5" s="13"/>
      <c r="AR5" s="13"/>
      <c r="AV5">
        <v>4</v>
      </c>
      <c r="AX5" s="1">
        <v>2.5</v>
      </c>
      <c r="AY5" s="1">
        <v>3.2</v>
      </c>
      <c r="AZ5" s="1">
        <v>2.3999999999999998E-3</v>
      </c>
      <c r="BA5" s="1">
        <f t="shared" si="3"/>
        <v>-7.7999999999999988E-4</v>
      </c>
      <c r="BB5" s="1">
        <v>1</v>
      </c>
      <c r="BC5" s="1">
        <f t="shared" si="0"/>
        <v>0.82499999999999996</v>
      </c>
      <c r="BD5" s="1">
        <v>0.2</v>
      </c>
      <c r="BE5" s="1">
        <f t="shared" si="4"/>
        <v>1.2999999999999998</v>
      </c>
      <c r="BF5" s="1">
        <f t="shared" si="1"/>
        <v>2.3365</v>
      </c>
      <c r="BG5" s="1">
        <f t="shared" si="2"/>
        <v>0.42799058420714742</v>
      </c>
    </row>
    <row r="6" spans="1:59" x14ac:dyDescent="0.25">
      <c r="A6" s="1"/>
      <c r="B6" s="1"/>
      <c r="C6" s="1"/>
      <c r="AE6">
        <v>3</v>
      </c>
      <c r="AF6" s="4">
        <v>0.41855598186257414</v>
      </c>
      <c r="AG6" s="4">
        <v>2.0000000000000001E-4</v>
      </c>
      <c r="AH6" s="5">
        <f t="shared" si="6"/>
        <v>2.6638552598420601E-4</v>
      </c>
      <c r="AI6" s="4">
        <f t="shared" si="5"/>
        <v>8.3711196372514832E-5</v>
      </c>
      <c r="AJ6" s="5">
        <v>1.0879414138224523E-3</v>
      </c>
      <c r="AK6" s="6">
        <f t="shared" si="7"/>
        <v>0.24485282258744778</v>
      </c>
      <c r="AL6" s="7">
        <f t="shared" si="8"/>
        <v>0.75514717741255222</v>
      </c>
      <c r="AM6" s="7">
        <f t="shared" si="9"/>
        <v>0.24485282258744778</v>
      </c>
      <c r="AN6" s="8">
        <v>20</v>
      </c>
      <c r="AO6">
        <v>300</v>
      </c>
      <c r="AP6">
        <f t="shared" si="10"/>
        <v>88.558790324485386</v>
      </c>
      <c r="AQ6" s="13"/>
      <c r="AR6" s="13"/>
      <c r="AV6">
        <v>5</v>
      </c>
      <c r="AX6" s="1">
        <v>2.5</v>
      </c>
      <c r="AY6" s="1">
        <v>3.2</v>
      </c>
      <c r="AZ6" s="1">
        <v>2.3999999999999998E-3</v>
      </c>
      <c r="BA6" s="1">
        <f t="shared" si="3"/>
        <v>-6.5999999999999989E-4</v>
      </c>
      <c r="BB6" s="1">
        <v>1</v>
      </c>
      <c r="BC6" s="1">
        <f t="shared" si="0"/>
        <v>0.77499999999999991</v>
      </c>
      <c r="BD6" s="1">
        <v>0.2</v>
      </c>
      <c r="BE6" s="1">
        <f t="shared" si="4"/>
        <v>1.0999999999999999</v>
      </c>
      <c r="BF6" s="1">
        <f t="shared" si="1"/>
        <v>2.4154999999999998</v>
      </c>
      <c r="BG6" s="1">
        <f t="shared" si="2"/>
        <v>0.41399296211964398</v>
      </c>
    </row>
    <row r="7" spans="1:59" x14ac:dyDescent="0.25">
      <c r="B7" s="9" t="s">
        <v>27</v>
      </c>
      <c r="C7" s="9" t="s">
        <v>28</v>
      </c>
      <c r="D7" s="9" t="s">
        <v>29</v>
      </c>
      <c r="E7" s="9" t="s">
        <v>30</v>
      </c>
      <c r="F7" s="9" t="s">
        <v>31</v>
      </c>
      <c r="G7" s="9" t="s">
        <v>167</v>
      </c>
      <c r="H7" s="9" t="s">
        <v>33</v>
      </c>
      <c r="I7" s="9" t="s">
        <v>34</v>
      </c>
      <c r="J7" s="9" t="s">
        <v>35</v>
      </c>
      <c r="K7" s="9" t="s">
        <v>36</v>
      </c>
      <c r="L7" s="9" t="s">
        <v>37</v>
      </c>
      <c r="M7" s="9" t="s">
        <v>38</v>
      </c>
      <c r="N7" s="9" t="s">
        <v>39</v>
      </c>
      <c r="O7" s="9" t="s">
        <v>40</v>
      </c>
      <c r="P7" s="9" t="s">
        <v>41</v>
      </c>
      <c r="Q7" s="9" t="s">
        <v>42</v>
      </c>
      <c r="R7" s="9" t="s">
        <v>43</v>
      </c>
      <c r="S7" s="9" t="s">
        <v>168</v>
      </c>
      <c r="T7" s="9" t="s">
        <v>169</v>
      </c>
      <c r="U7" s="9" t="s">
        <v>170</v>
      </c>
      <c r="V7" s="9" t="s">
        <v>171</v>
      </c>
      <c r="W7" s="9" t="s">
        <v>172</v>
      </c>
      <c r="X7" s="9" t="s">
        <v>49</v>
      </c>
      <c r="Y7" s="9" t="s">
        <v>50</v>
      </c>
      <c r="Z7" s="9" t="s">
        <v>51</v>
      </c>
      <c r="AA7" s="9" t="s">
        <v>52</v>
      </c>
      <c r="AE7">
        <v>4</v>
      </c>
      <c r="AF7" s="4">
        <v>0.39669421487603301</v>
      </c>
      <c r="AG7" s="4">
        <v>2.0000000000000001E-4</v>
      </c>
      <c r="AH7" s="5">
        <f t="shared" si="6"/>
        <v>3.4572436895941261E-4</v>
      </c>
      <c r="AI7" s="4">
        <f t="shared" si="5"/>
        <v>7.9338842975206611E-5</v>
      </c>
      <c r="AJ7" s="5">
        <v>1.0879414138224523E-3</v>
      </c>
      <c r="AK7" s="6">
        <f t="shared" si="7"/>
        <v>0.31777848013407223</v>
      </c>
      <c r="AL7" s="7">
        <f t="shared" si="8"/>
        <v>0.68222151986592783</v>
      </c>
      <c r="AM7" s="7">
        <f t="shared" si="9"/>
        <v>0.31777848013407223</v>
      </c>
      <c r="AN7" s="8">
        <v>20</v>
      </c>
      <c r="AO7">
        <v>300</v>
      </c>
      <c r="AP7">
        <f t="shared" si="10"/>
        <v>108.97797443754023</v>
      </c>
      <c r="AQ7" s="13"/>
      <c r="AR7" s="13"/>
      <c r="AV7">
        <v>6</v>
      </c>
      <c r="AX7" s="1">
        <v>2.5</v>
      </c>
      <c r="AY7" s="1">
        <v>3.2</v>
      </c>
      <c r="AZ7" s="1">
        <v>2.3999999999999998E-3</v>
      </c>
      <c r="BA7" s="1">
        <f t="shared" si="3"/>
        <v>-5.399999999999999E-4</v>
      </c>
      <c r="BB7" s="1">
        <v>1</v>
      </c>
      <c r="BC7" s="1">
        <f t="shared" si="0"/>
        <v>0.72499999999999998</v>
      </c>
      <c r="BD7" s="1">
        <v>0.2</v>
      </c>
      <c r="BE7" s="1">
        <f t="shared" si="4"/>
        <v>0.89999999999999991</v>
      </c>
      <c r="BF7" s="1">
        <f t="shared" si="1"/>
        <v>2.4945000000000004</v>
      </c>
      <c r="BG7" s="1">
        <f t="shared" si="2"/>
        <v>0.40088194026859086</v>
      </c>
    </row>
    <row r="8" spans="1:59" x14ac:dyDescent="0.25">
      <c r="A8" t="s">
        <v>222</v>
      </c>
      <c r="B8" s="10">
        <v>1</v>
      </c>
      <c r="C8" s="4">
        <v>68259241770.554169</v>
      </c>
      <c r="D8" s="4">
        <v>68259241770.554169</v>
      </c>
      <c r="E8" s="4">
        <v>0.18588064442611041</v>
      </c>
      <c r="F8" s="4">
        <v>0</v>
      </c>
      <c r="G8" s="4">
        <v>26483333333.333328</v>
      </c>
      <c r="H8" s="4">
        <v>32594999999.999996</v>
      </c>
      <c r="I8" s="4">
        <v>32594999999.999996</v>
      </c>
      <c r="J8" s="4">
        <v>-6.1874404194470923E-11</v>
      </c>
      <c r="K8" s="4">
        <v>-6.1874404194470923E-11</v>
      </c>
      <c r="L8" s="4">
        <v>0</v>
      </c>
      <c r="M8" s="4">
        <v>2.0000000000000001E-4</v>
      </c>
      <c r="N8" s="4">
        <v>-19.61255411255414</v>
      </c>
      <c r="O8" s="4">
        <v>-19.61255411255414</v>
      </c>
      <c r="P8" s="4">
        <v>1.1406880555555558E-8</v>
      </c>
      <c r="Q8" s="4">
        <v>0</v>
      </c>
      <c r="R8" s="4">
        <v>-1.4491666666666703E-5</v>
      </c>
      <c r="S8" s="4">
        <v>1.0750833333333332E-5</v>
      </c>
      <c r="T8" s="4">
        <v>1.0750833333333332E-5</v>
      </c>
      <c r="U8" s="4">
        <v>4.0024444444444442E-4</v>
      </c>
      <c r="V8" s="4">
        <v>4.0024444444444442E-4</v>
      </c>
      <c r="W8" s="4">
        <v>2.125833333333333</v>
      </c>
      <c r="X8" s="4">
        <v>3744.1666666666665</v>
      </c>
      <c r="Y8" s="4">
        <v>-1.1999999999999999E-3</v>
      </c>
      <c r="Z8" s="4">
        <v>-1E-3</v>
      </c>
      <c r="AA8" s="3">
        <v>2</v>
      </c>
      <c r="AE8">
        <v>5</v>
      </c>
      <c r="AF8" s="4">
        <v>0.37700282752120645</v>
      </c>
      <c r="AG8" s="4">
        <v>2.0000000000000001E-4</v>
      </c>
      <c r="AH8" s="5">
        <f t="shared" si="6"/>
        <v>4.2112493446365391E-4</v>
      </c>
      <c r="AI8" s="4">
        <f t="shared" si="5"/>
        <v>7.5400565504241297E-5</v>
      </c>
      <c r="AJ8" s="5">
        <v>1.0879414138224523E-3</v>
      </c>
      <c r="AK8" s="6">
        <f t="shared" si="7"/>
        <v>0.38708420243333053</v>
      </c>
      <c r="AL8" s="7">
        <f t="shared" si="8"/>
        <v>0.61291579756666947</v>
      </c>
      <c r="AM8" s="7">
        <f t="shared" si="9"/>
        <v>0.38708420243333053</v>
      </c>
      <c r="AN8" s="8">
        <v>20</v>
      </c>
      <c r="AO8">
        <v>300</v>
      </c>
      <c r="AP8">
        <f t="shared" si="10"/>
        <v>128.38357668133256</v>
      </c>
      <c r="AQ8" s="13"/>
      <c r="AR8" s="13"/>
      <c r="AV8">
        <v>7</v>
      </c>
      <c r="AX8" s="1">
        <v>2.5</v>
      </c>
      <c r="AY8" s="1">
        <v>3.2</v>
      </c>
      <c r="AZ8" s="1">
        <v>2.3999999999999998E-3</v>
      </c>
      <c r="BA8" s="1">
        <f t="shared" si="3"/>
        <v>-4.1999999999999991E-4</v>
      </c>
      <c r="BB8" s="1">
        <v>1</v>
      </c>
      <c r="BC8" s="1">
        <f t="shared" si="0"/>
        <v>0.67500000000000004</v>
      </c>
      <c r="BD8" s="1">
        <v>0.2</v>
      </c>
      <c r="BE8" s="1">
        <f t="shared" si="4"/>
        <v>0.7</v>
      </c>
      <c r="BF8" s="1">
        <f t="shared" si="1"/>
        <v>2.5735000000000001</v>
      </c>
      <c r="BG8" s="1">
        <f t="shared" si="2"/>
        <v>0.38857586943850786</v>
      </c>
    </row>
    <row r="9" spans="1:59" x14ac:dyDescent="0.25">
      <c r="B9" s="3">
        <v>2</v>
      </c>
      <c r="C9" s="4">
        <v>80475933770.62294</v>
      </c>
      <c r="D9" s="4">
        <v>80475933770.62294</v>
      </c>
      <c r="E9" s="4">
        <v>0.2134456581960997</v>
      </c>
      <c r="F9" s="4">
        <v>0</v>
      </c>
      <c r="G9" s="4">
        <v>30850000000</v>
      </c>
      <c r="H9" s="4">
        <v>36105000000</v>
      </c>
      <c r="I9" s="4">
        <v>36105000000</v>
      </c>
      <c r="J9" s="4">
        <v>-5.7882507149666329E-11</v>
      </c>
      <c r="K9" s="4">
        <v>-5.7882507149666329E-11</v>
      </c>
      <c r="L9" s="4">
        <v>0</v>
      </c>
      <c r="M9" s="4">
        <v>2.0000000000000001E-4</v>
      </c>
      <c r="N9" s="4">
        <v>-3.4610389610389625</v>
      </c>
      <c r="O9" s="4">
        <v>-3.4610389610389625</v>
      </c>
      <c r="P9" s="4">
        <v>1.0680952777777779E-8</v>
      </c>
      <c r="Q9" s="4">
        <v>0</v>
      </c>
      <c r="R9" s="4">
        <v>3.3249999999999995E-6</v>
      </c>
      <c r="S9" s="4">
        <v>1.1132499999999999E-5</v>
      </c>
      <c r="T9" s="4">
        <v>1.1132499999999999E-5</v>
      </c>
      <c r="U9" s="4">
        <v>4.0024444444444442E-4</v>
      </c>
      <c r="V9" s="4">
        <v>4.0024444444444442E-4</v>
      </c>
      <c r="W9" s="4">
        <v>2.2575000000000003</v>
      </c>
      <c r="X9" s="4">
        <v>4072.5</v>
      </c>
      <c r="Y9" s="4">
        <f t="shared" ref="Y9:Z19" si="11">Y8+0.0002</f>
        <v>-9.999999999999998E-4</v>
      </c>
      <c r="Z9" s="4">
        <f t="shared" si="11"/>
        <v>-8.0000000000000004E-4</v>
      </c>
      <c r="AA9" s="3">
        <v>2</v>
      </c>
      <c r="AE9">
        <v>6</v>
      </c>
      <c r="AF9" s="4">
        <v>0.35917390002993116</v>
      </c>
      <c r="AG9" s="4">
        <v>2.0000000000000001E-4</v>
      </c>
      <c r="AH9" s="5">
        <f t="shared" si="6"/>
        <v>4.929597144696402E-4</v>
      </c>
      <c r="AI9" s="4">
        <f t="shared" si="5"/>
        <v>7.1834780005986237E-5</v>
      </c>
      <c r="AJ9" s="5">
        <v>1.0879414138224523E-3</v>
      </c>
      <c r="AK9" s="6">
        <f t="shared" si="7"/>
        <v>0.45311237186719439</v>
      </c>
      <c r="AL9" s="7">
        <f t="shared" si="8"/>
        <v>0.54688762813280567</v>
      </c>
      <c r="AM9" s="7">
        <f t="shared" si="9"/>
        <v>0.45311237186719439</v>
      </c>
      <c r="AN9" s="8">
        <v>20</v>
      </c>
      <c r="AO9">
        <v>300</v>
      </c>
      <c r="AP9">
        <f t="shared" si="10"/>
        <v>146.87146412281442</v>
      </c>
      <c r="AQ9" s="13"/>
      <c r="AR9" s="13"/>
      <c r="AV9">
        <v>8</v>
      </c>
      <c r="AX9" s="1">
        <v>2.5</v>
      </c>
      <c r="AY9" s="1">
        <v>3.2</v>
      </c>
      <c r="AZ9" s="1">
        <v>2.3999999999999998E-3</v>
      </c>
      <c r="BA9" s="1">
        <f t="shared" si="3"/>
        <v>-2.9999999999999992E-4</v>
      </c>
      <c r="BB9" s="1">
        <v>1</v>
      </c>
      <c r="BC9" s="1">
        <f t="shared" si="0"/>
        <v>0.625</v>
      </c>
      <c r="BD9" s="1">
        <v>0.2</v>
      </c>
      <c r="BE9" s="1">
        <f t="shared" si="4"/>
        <v>0.49999999999999989</v>
      </c>
      <c r="BF9" s="1">
        <f t="shared" si="1"/>
        <v>2.6524999999999999</v>
      </c>
      <c r="BG9" s="1">
        <f t="shared" si="2"/>
        <v>0.37700282752120645</v>
      </c>
    </row>
    <row r="10" spans="1:59" x14ac:dyDescent="0.25">
      <c r="B10" s="3">
        <v>3</v>
      </c>
      <c r="C10" s="4">
        <v>92692625770.691696</v>
      </c>
      <c r="D10" s="4">
        <v>92692625770.691696</v>
      </c>
      <c r="E10" s="4">
        <v>0.24101067196608886</v>
      </c>
      <c r="F10" s="4">
        <v>0</v>
      </c>
      <c r="G10" s="4">
        <v>35216666666.666664</v>
      </c>
      <c r="H10" s="4">
        <v>39615000000</v>
      </c>
      <c r="I10" s="4">
        <v>39615000000</v>
      </c>
      <c r="J10" s="4">
        <v>-5.3890610104861768E-11</v>
      </c>
      <c r="K10" s="4">
        <v>-5.3890610104861768E-11</v>
      </c>
      <c r="L10" s="4">
        <v>0</v>
      </c>
      <c r="M10" s="4">
        <v>2.0000000000000001E-4</v>
      </c>
      <c r="N10" s="4">
        <v>12.690476190476179</v>
      </c>
      <c r="O10" s="4">
        <v>12.690476190476179</v>
      </c>
      <c r="P10" s="4">
        <v>9.9550250000000002E-9</v>
      </c>
      <c r="Q10" s="4">
        <v>0</v>
      </c>
      <c r="R10" s="4">
        <v>2.1141666666666651E-5</v>
      </c>
      <c r="S10" s="4">
        <v>1.1514166666666666E-5</v>
      </c>
      <c r="T10" s="4">
        <v>1.1514166666666666E-5</v>
      </c>
      <c r="U10" s="4">
        <v>4.0024444444444399E-4</v>
      </c>
      <c r="V10" s="4">
        <v>4.0024444444444399E-4</v>
      </c>
      <c r="W10" s="4">
        <v>2.3891666666666667</v>
      </c>
      <c r="X10" s="4">
        <v>4400.833333333333</v>
      </c>
      <c r="Y10" s="4">
        <f t="shared" si="11"/>
        <v>-7.9999999999999982E-4</v>
      </c>
      <c r="Z10" s="4">
        <f t="shared" si="11"/>
        <v>-6.0000000000000006E-4</v>
      </c>
      <c r="AA10" s="3">
        <v>2</v>
      </c>
      <c r="AE10">
        <v>7</v>
      </c>
      <c r="AF10" s="4">
        <v>0.36686028737389181</v>
      </c>
      <c r="AG10" s="4">
        <v>2.0000000000000001E-4</v>
      </c>
      <c r="AH10" s="5">
        <f t="shared" si="6"/>
        <v>5.6633177194441854E-4</v>
      </c>
      <c r="AI10" s="4">
        <f t="shared" si="5"/>
        <v>7.337205747477837E-5</v>
      </c>
      <c r="AJ10" s="5">
        <v>1.0879414138224523E-3</v>
      </c>
      <c r="AK10" s="6">
        <f t="shared" si="7"/>
        <v>0.52055355623849953</v>
      </c>
      <c r="AL10" s="7">
        <f t="shared" si="8"/>
        <v>0.47944644376150047</v>
      </c>
      <c r="AM10" s="7">
        <f t="shared" si="9"/>
        <v>0.52055355623849953</v>
      </c>
      <c r="AN10" s="8">
        <v>20</v>
      </c>
      <c r="AO10">
        <v>300</v>
      </c>
      <c r="AP10">
        <f t="shared" si="10"/>
        <v>165.75499574677985</v>
      </c>
      <c r="AQ10" s="13"/>
      <c r="AR10" s="13"/>
      <c r="AV10">
        <v>9</v>
      </c>
      <c r="AX10" s="1">
        <v>2.5</v>
      </c>
      <c r="AY10" s="1">
        <v>3.2</v>
      </c>
      <c r="AZ10" s="1">
        <v>2.3999999999999998E-3</v>
      </c>
      <c r="BA10" s="1">
        <f t="shared" si="3"/>
        <v>-1.7999999999999993E-4</v>
      </c>
      <c r="BB10" s="1">
        <v>1</v>
      </c>
      <c r="BC10" s="1">
        <f t="shared" si="0"/>
        <v>0.57499999999999996</v>
      </c>
      <c r="BD10" s="1">
        <v>0.2</v>
      </c>
      <c r="BE10" s="1">
        <f t="shared" si="4"/>
        <v>0.29999999999999993</v>
      </c>
      <c r="BF10" s="1">
        <f t="shared" si="1"/>
        <v>2.7315</v>
      </c>
      <c r="BG10" s="1">
        <f t="shared" si="2"/>
        <v>0.36609921288669228</v>
      </c>
    </row>
    <row r="11" spans="1:59" x14ac:dyDescent="0.25">
      <c r="B11" s="3">
        <v>4</v>
      </c>
      <c r="C11" s="4">
        <v>104909317770.76045</v>
      </c>
      <c r="D11" s="4">
        <v>104909317770.76045</v>
      </c>
      <c r="E11" s="4">
        <v>0.26857568573607815</v>
      </c>
      <c r="F11" s="4">
        <v>0</v>
      </c>
      <c r="G11" s="4">
        <v>39583333333.333336</v>
      </c>
      <c r="H11" s="4">
        <v>43125000000</v>
      </c>
      <c r="I11" s="4">
        <v>43125000000</v>
      </c>
      <c r="J11" s="4">
        <v>-4.9898713060057187E-11</v>
      </c>
      <c r="K11" s="4">
        <v>-4.9898713060057187E-11</v>
      </c>
      <c r="L11" s="4">
        <v>0</v>
      </c>
      <c r="M11" s="4">
        <v>2.0000000000000001E-4</v>
      </c>
      <c r="N11" s="4">
        <v>28.841991341991324</v>
      </c>
      <c r="O11" s="4">
        <v>28.841991341991324</v>
      </c>
      <c r="P11" s="4">
        <v>9.2290972222222227E-9</v>
      </c>
      <c r="Q11" s="4">
        <v>0</v>
      </c>
      <c r="R11" s="4">
        <v>3.8958333333333329E-5</v>
      </c>
      <c r="S11" s="4">
        <v>1.1895833333333332E-5</v>
      </c>
      <c r="T11" s="4">
        <v>1.1895833333333332E-5</v>
      </c>
      <c r="U11" s="4">
        <v>4.0024444444444399E-4</v>
      </c>
      <c r="V11" s="4">
        <v>4.0024444444444399E-4</v>
      </c>
      <c r="W11" s="4">
        <v>2.5208333333333335</v>
      </c>
      <c r="X11" s="4">
        <v>4729.166666666667</v>
      </c>
      <c r="Y11" s="4">
        <f t="shared" si="11"/>
        <v>-5.9999999999999984E-4</v>
      </c>
      <c r="Z11" s="4">
        <f t="shared" si="11"/>
        <v>-4.0000000000000007E-4</v>
      </c>
      <c r="AA11" s="3">
        <v>2</v>
      </c>
      <c r="AE11">
        <v>8</v>
      </c>
      <c r="AF11" s="4">
        <v>0.40363269424823411</v>
      </c>
      <c r="AG11" s="4">
        <v>2.0000000000000001E-4</v>
      </c>
      <c r="AH11" s="5">
        <f t="shared" si="6"/>
        <v>6.4705831079406534E-4</v>
      </c>
      <c r="AI11" s="4">
        <f t="shared" si="5"/>
        <v>8.0726538849646828E-5</v>
      </c>
      <c r="AJ11" s="5">
        <v>1.0879414138224523E-3</v>
      </c>
      <c r="AK11" s="6">
        <f t="shared" si="7"/>
        <v>0.5947547382359899</v>
      </c>
      <c r="AL11" s="7">
        <f t="shared" si="8"/>
        <v>0.4052452617640101</v>
      </c>
      <c r="AM11" s="7">
        <f t="shared" si="9"/>
        <v>0.5947547382359899</v>
      </c>
      <c r="AN11" s="8">
        <v>20</v>
      </c>
      <c r="AO11">
        <v>300</v>
      </c>
      <c r="AP11">
        <f t="shared" si="10"/>
        <v>186.53132670607718</v>
      </c>
      <c r="AQ11" s="13"/>
      <c r="AR11" s="13"/>
      <c r="AV11">
        <v>10</v>
      </c>
      <c r="AX11" s="1">
        <v>2.5</v>
      </c>
      <c r="AY11" s="1">
        <v>3.2</v>
      </c>
      <c r="AZ11" s="1">
        <v>2.3999999999999998E-3</v>
      </c>
      <c r="BA11" s="1">
        <f t="shared" si="3"/>
        <v>-5.9999999999999927E-5</v>
      </c>
      <c r="BB11" s="1">
        <v>1</v>
      </c>
      <c r="BC11" s="1">
        <f t="shared" si="0"/>
        <v>0.52500000000000002</v>
      </c>
      <c r="BD11" s="1">
        <v>0.2</v>
      </c>
      <c r="BE11" s="1">
        <f t="shared" si="4"/>
        <v>9.9999999999999881E-2</v>
      </c>
      <c r="BF11" s="1">
        <f t="shared" si="1"/>
        <v>2.8105000000000002</v>
      </c>
      <c r="BG11" s="1">
        <f t="shared" si="2"/>
        <v>0.35580857498665713</v>
      </c>
    </row>
    <row r="12" spans="1:59" x14ac:dyDescent="0.25">
      <c r="B12" s="3">
        <v>5</v>
      </c>
      <c r="C12" s="4">
        <v>117126009770.82922</v>
      </c>
      <c r="D12" s="4">
        <v>117126009770.82922</v>
      </c>
      <c r="E12" s="4">
        <v>0.29614069950606731</v>
      </c>
      <c r="F12" s="4">
        <v>0</v>
      </c>
      <c r="G12" s="4">
        <v>43950000000</v>
      </c>
      <c r="H12" s="4">
        <v>46635000000</v>
      </c>
      <c r="I12" s="4">
        <v>46635000000</v>
      </c>
      <c r="J12" s="4">
        <v>-4.5906816015252613E-11</v>
      </c>
      <c r="K12" s="4">
        <v>-4.5906816015252613E-11</v>
      </c>
      <c r="L12" s="4">
        <v>0</v>
      </c>
      <c r="M12" s="4">
        <v>2.0000000000000001E-4</v>
      </c>
      <c r="N12" s="4">
        <v>44.99350649350648</v>
      </c>
      <c r="O12" s="4">
        <v>44.99350649350648</v>
      </c>
      <c r="P12" s="4">
        <v>8.5031694444444436E-9</v>
      </c>
      <c r="Q12" s="4">
        <v>0</v>
      </c>
      <c r="R12" s="4">
        <v>5.6774999999999998E-5</v>
      </c>
      <c r="S12" s="4">
        <v>1.2277499999999999E-5</v>
      </c>
      <c r="T12" s="4">
        <v>1.2277499999999999E-5</v>
      </c>
      <c r="U12" s="4">
        <v>4.0024444444444399E-4</v>
      </c>
      <c r="V12" s="4">
        <v>4.0024444444444399E-4</v>
      </c>
      <c r="W12" s="4">
        <v>2.6524999999999999</v>
      </c>
      <c r="X12" s="4">
        <v>5057.5</v>
      </c>
      <c r="Y12" s="4">
        <f t="shared" si="11"/>
        <v>-3.9999999999999986E-4</v>
      </c>
      <c r="Z12" s="4">
        <f t="shared" si="11"/>
        <v>-2.0000000000000006E-4</v>
      </c>
      <c r="AA12" s="3">
        <v>2</v>
      </c>
      <c r="AE12">
        <v>9</v>
      </c>
      <c r="AF12" s="4">
        <v>0.44859813084112155</v>
      </c>
      <c r="AG12" s="4">
        <v>2.0000000000000001E-4</v>
      </c>
      <c r="AH12" s="5">
        <f t="shared" si="6"/>
        <v>7.3677793696228964E-4</v>
      </c>
      <c r="AI12" s="4">
        <f t="shared" si="5"/>
        <v>8.9719626168224313E-5</v>
      </c>
      <c r="AJ12" s="5">
        <v>1.0879414138224523E-3</v>
      </c>
      <c r="AK12" s="6">
        <f t="shared" si="7"/>
        <v>0.67722207060179884</v>
      </c>
      <c r="AL12" s="7">
        <f t="shared" si="8"/>
        <v>0.32277792939820116</v>
      </c>
      <c r="AM12" s="7">
        <f t="shared" si="9"/>
        <v>0.67722207060179884</v>
      </c>
      <c r="AN12" s="8">
        <v>20</v>
      </c>
      <c r="AO12">
        <v>300</v>
      </c>
      <c r="AP12">
        <f t="shared" si="10"/>
        <v>209.62217976850368</v>
      </c>
      <c r="AQ12" s="13"/>
      <c r="AR12" s="13"/>
      <c r="AV12">
        <v>11</v>
      </c>
      <c r="AX12" s="1">
        <v>2.5</v>
      </c>
      <c r="AY12" s="1">
        <v>3.2</v>
      </c>
      <c r="AZ12" s="1">
        <v>2.3999999999999998E-3</v>
      </c>
      <c r="BA12" s="1">
        <f t="shared" si="3"/>
        <v>6.0000000000000076E-5</v>
      </c>
      <c r="BB12" s="1">
        <v>1</v>
      </c>
      <c r="BC12" s="1">
        <f t="shared" si="0"/>
        <v>0.47499999999999998</v>
      </c>
      <c r="BD12" s="1">
        <v>0.2</v>
      </c>
      <c r="BE12" s="1">
        <f t="shared" si="4"/>
        <v>0.10000000000000013</v>
      </c>
      <c r="BF12" s="1">
        <f t="shared" si="1"/>
        <v>2.7755000000000001</v>
      </c>
      <c r="BG12" s="1">
        <f t="shared" si="2"/>
        <v>0.36029544226265536</v>
      </c>
    </row>
    <row r="13" spans="1:59" x14ac:dyDescent="0.25">
      <c r="B13" s="3">
        <v>6</v>
      </c>
      <c r="C13" s="4">
        <v>129342701770.89798</v>
      </c>
      <c r="D13" s="4">
        <v>129342701770.89798</v>
      </c>
      <c r="E13" s="4">
        <v>0.32370571327605657</v>
      </c>
      <c r="F13" s="4">
        <v>0</v>
      </c>
      <c r="G13" s="4">
        <v>48316666666.666664</v>
      </c>
      <c r="H13" s="4">
        <v>50145000000</v>
      </c>
      <c r="I13" s="4">
        <v>50145000000</v>
      </c>
      <c r="J13" s="4">
        <v>-4.1914918970448032E-11</v>
      </c>
      <c r="K13" s="4">
        <v>-4.1914918970448032E-11</v>
      </c>
      <c r="L13" s="4">
        <v>0</v>
      </c>
      <c r="M13" s="4">
        <v>2.0000000000000001E-4</v>
      </c>
      <c r="N13" s="4">
        <v>61.145021645021643</v>
      </c>
      <c r="O13" s="4">
        <v>61.145021645021643</v>
      </c>
      <c r="P13" s="4">
        <v>7.7772416666666678E-9</v>
      </c>
      <c r="Q13" s="4">
        <v>0</v>
      </c>
      <c r="R13" s="4">
        <v>7.4591666666666659E-5</v>
      </c>
      <c r="S13" s="4">
        <v>1.2659166666666666E-5</v>
      </c>
      <c r="T13" s="4">
        <v>1.2659166666666666E-5</v>
      </c>
      <c r="U13" s="4">
        <v>4.0024444444444399E-4</v>
      </c>
      <c r="V13" s="4">
        <v>4.0024444444444399E-4</v>
      </c>
      <c r="W13" s="4">
        <v>2.7841666666666667</v>
      </c>
      <c r="X13" s="4">
        <v>5385.833333333333</v>
      </c>
      <c r="Y13" s="4">
        <f t="shared" si="11"/>
        <v>-1.9999999999999985E-4</v>
      </c>
      <c r="Z13" s="4">
        <f t="shared" si="11"/>
        <v>0</v>
      </c>
      <c r="AA13" s="3">
        <v>2</v>
      </c>
      <c r="AE13">
        <v>10</v>
      </c>
      <c r="AF13" s="4">
        <v>0.50483803113167858</v>
      </c>
      <c r="AG13" s="4">
        <v>2.0000000000000001E-4</v>
      </c>
      <c r="AH13" s="5">
        <f t="shared" si="6"/>
        <v>8.3774554318862536E-4</v>
      </c>
      <c r="AI13" s="4">
        <f t="shared" si="5"/>
        <v>1.0096760622633572E-4</v>
      </c>
      <c r="AJ13" s="5">
        <v>1.0879414138224523E-3</v>
      </c>
      <c r="AK13" s="6">
        <f t="shared" si="7"/>
        <v>0.77002817665082668</v>
      </c>
      <c r="AL13" s="7">
        <f t="shared" si="8"/>
        <v>0.22997182334917332</v>
      </c>
      <c r="AM13" s="7">
        <f t="shared" si="9"/>
        <v>0.77002817665082668</v>
      </c>
      <c r="AN13" s="8">
        <v>20</v>
      </c>
      <c r="AO13">
        <v>300</v>
      </c>
      <c r="AP13">
        <f t="shared" si="10"/>
        <v>235.60788946223147</v>
      </c>
      <c r="AQ13" s="13"/>
      <c r="AR13" s="13"/>
      <c r="AV13">
        <v>12</v>
      </c>
      <c r="AX13" s="1">
        <v>2.5</v>
      </c>
      <c r="AY13" s="1">
        <v>3.2</v>
      </c>
      <c r="AZ13" s="1">
        <v>2.3999999999999998E-3</v>
      </c>
      <c r="BA13" s="1">
        <f t="shared" si="3"/>
        <v>1.8000000000000009E-4</v>
      </c>
      <c r="BB13" s="1">
        <v>1</v>
      </c>
      <c r="BC13" s="1">
        <f t="shared" si="0"/>
        <v>0.42499999999999993</v>
      </c>
      <c r="BD13" s="1">
        <v>0.2</v>
      </c>
      <c r="BE13" s="1">
        <f t="shared" si="4"/>
        <v>0.30000000000000016</v>
      </c>
      <c r="BF13" s="1">
        <f t="shared" si="1"/>
        <v>2.6264999999999996</v>
      </c>
      <c r="BG13" s="1">
        <f t="shared" si="2"/>
        <v>0.38073481819912436</v>
      </c>
    </row>
    <row r="14" spans="1:59" x14ac:dyDescent="0.25">
      <c r="B14" s="3">
        <v>7</v>
      </c>
      <c r="C14" s="4">
        <v>132529323919.57124</v>
      </c>
      <c r="D14" s="4">
        <v>132529323919.57124</v>
      </c>
      <c r="E14" s="4">
        <v>0.32877151236864233</v>
      </c>
      <c r="F14" s="4">
        <v>0</v>
      </c>
      <c r="G14" s="4">
        <v>49316666666.666664</v>
      </c>
      <c r="H14" s="4">
        <v>50195000000</v>
      </c>
      <c r="I14" s="4">
        <v>50195000000</v>
      </c>
      <c r="J14" s="4">
        <v>-3.526175722910708E-11</v>
      </c>
      <c r="K14" s="4">
        <v>-3.526175722910708E-11</v>
      </c>
      <c r="L14" s="4">
        <v>0</v>
      </c>
      <c r="M14" s="4">
        <v>2.0000000000000001E-4</v>
      </c>
      <c r="N14" s="4">
        <v>72.681818181818173</v>
      </c>
      <c r="O14" s="4">
        <v>72.681818181818173</v>
      </c>
      <c r="P14" s="4">
        <v>6.557028703703705E-9</v>
      </c>
      <c r="Q14" s="4">
        <v>0</v>
      </c>
      <c r="R14" s="4">
        <v>8.6841666666666659E-5</v>
      </c>
      <c r="S14" s="4">
        <v>1.2184166666666666E-5</v>
      </c>
      <c r="T14" s="4">
        <v>1.2184166666666666E-5</v>
      </c>
      <c r="U14" s="4">
        <v>4.0024444444444399E-4</v>
      </c>
      <c r="V14" s="4">
        <v>4.0024444444444399E-4</v>
      </c>
      <c r="W14" s="4">
        <v>2.7258333333333331</v>
      </c>
      <c r="X14" s="4">
        <v>5344.166666666667</v>
      </c>
      <c r="Y14" s="4">
        <f t="shared" si="11"/>
        <v>0</v>
      </c>
      <c r="Z14" s="4">
        <f t="shared" si="11"/>
        <v>2.0000000000000001E-4</v>
      </c>
      <c r="AA14" s="3">
        <v>2</v>
      </c>
      <c r="AE14">
        <v>11</v>
      </c>
      <c r="AF14">
        <v>0.57720057720057727</v>
      </c>
      <c r="AG14">
        <v>2.0000000000000001E-4</v>
      </c>
      <c r="AH14" s="5">
        <f t="shared" si="6"/>
        <v>9.531856586287408E-4</v>
      </c>
      <c r="AI14" s="4">
        <f t="shared" si="5"/>
        <v>1.1544011544011545E-4</v>
      </c>
      <c r="AJ14" s="5">
        <v>1.0879414138224523E-3</v>
      </c>
      <c r="AK14" s="6">
        <f t="shared" si="7"/>
        <v>0.87613693763136491</v>
      </c>
      <c r="AL14" s="7">
        <f t="shared" si="8"/>
        <v>0.12386306236863509</v>
      </c>
      <c r="AM14" s="7">
        <f t="shared" si="9"/>
        <v>0.87613693763136491</v>
      </c>
      <c r="AN14" s="8">
        <v>20</v>
      </c>
      <c r="AO14">
        <v>300</v>
      </c>
      <c r="AP14">
        <f t="shared" si="10"/>
        <v>265.31834253678221</v>
      </c>
      <c r="AQ14" s="13"/>
      <c r="AR14" s="13"/>
      <c r="AV14">
        <v>13</v>
      </c>
      <c r="AX14" s="1">
        <v>2.5</v>
      </c>
      <c r="AY14" s="1">
        <v>3.2</v>
      </c>
      <c r="AZ14" s="1">
        <v>2.3999999999999998E-3</v>
      </c>
      <c r="BA14" s="1">
        <f t="shared" si="3"/>
        <v>3.0000000000000008E-4</v>
      </c>
      <c r="BB14" s="1">
        <v>1</v>
      </c>
      <c r="BC14" s="1">
        <f t="shared" si="0"/>
        <v>0.37499999999999994</v>
      </c>
      <c r="BD14" s="1">
        <v>0.2</v>
      </c>
      <c r="BE14" s="1">
        <f t="shared" si="4"/>
        <v>0.50000000000000022</v>
      </c>
      <c r="BF14" s="1">
        <f t="shared" si="1"/>
        <v>2.4775</v>
      </c>
      <c r="BG14" s="1">
        <f t="shared" si="2"/>
        <v>0.40363269424823411</v>
      </c>
    </row>
    <row r="15" spans="1:59" x14ac:dyDescent="0.25">
      <c r="B15" s="3">
        <v>8</v>
      </c>
      <c r="C15" s="4">
        <v>126685876216.84903</v>
      </c>
      <c r="D15" s="4">
        <v>126685876216.84903</v>
      </c>
      <c r="E15" s="4">
        <v>0.31133809678382479</v>
      </c>
      <c r="F15" s="4">
        <v>0</v>
      </c>
      <c r="G15" s="4">
        <v>46950000000</v>
      </c>
      <c r="H15" s="4">
        <v>46785000000</v>
      </c>
      <c r="I15" s="4">
        <v>46785000000</v>
      </c>
      <c r="J15" s="4">
        <v>-2.5947330791229735E-11</v>
      </c>
      <c r="K15" s="4">
        <v>-2.5947330791229735E-11</v>
      </c>
      <c r="L15" s="4">
        <v>0</v>
      </c>
      <c r="M15" s="4">
        <v>2.0000000000000001E-4</v>
      </c>
      <c r="N15" s="4">
        <v>79.603896103896091</v>
      </c>
      <c r="O15" s="4">
        <v>79.603896103896091</v>
      </c>
      <c r="P15" s="4">
        <v>4.8425305555555559E-9</v>
      </c>
      <c r="Q15" s="4">
        <v>0</v>
      </c>
      <c r="R15" s="4">
        <v>9.3524999999999996E-5</v>
      </c>
      <c r="S15" s="4">
        <v>1.08525E-5</v>
      </c>
      <c r="T15" s="4">
        <v>1.08525E-5</v>
      </c>
      <c r="U15" s="4">
        <v>4.0024444444444399E-4</v>
      </c>
      <c r="V15" s="4">
        <v>4.0024444444444399E-4</v>
      </c>
      <c r="W15" s="4">
        <v>2.4775</v>
      </c>
      <c r="X15" s="4">
        <v>4932.5</v>
      </c>
      <c r="Y15" s="4">
        <f t="shared" si="11"/>
        <v>2.0000000000000001E-4</v>
      </c>
      <c r="Z15" s="4">
        <f t="shared" si="11"/>
        <v>4.0000000000000002E-4</v>
      </c>
      <c r="AA15" s="3">
        <v>2</v>
      </c>
      <c r="AE15">
        <v>12</v>
      </c>
      <c r="AF15">
        <v>0.67377877596855706</v>
      </c>
      <c r="AG15">
        <v>2.0000000000000001E-4</v>
      </c>
      <c r="AH15" s="5">
        <f t="shared" si="6"/>
        <v>1.0879414138224523E-3</v>
      </c>
      <c r="AI15" s="4">
        <f t="shared" si="5"/>
        <v>1.3475575519371143E-4</v>
      </c>
      <c r="AJ15" s="5">
        <v>1.0879414138224523E-3</v>
      </c>
      <c r="AK15" s="6">
        <f t="shared" si="7"/>
        <v>1</v>
      </c>
      <c r="AL15" s="7">
        <f t="shared" si="8"/>
        <v>0</v>
      </c>
      <c r="AM15" s="7">
        <f t="shared" si="9"/>
        <v>1</v>
      </c>
      <c r="AN15" s="8">
        <v>20</v>
      </c>
      <c r="AO15">
        <v>300</v>
      </c>
      <c r="AP15">
        <f t="shared" si="10"/>
        <v>300</v>
      </c>
      <c r="AQ15" s="13"/>
      <c r="AR15" s="13"/>
      <c r="AV15">
        <v>14</v>
      </c>
      <c r="AX15" s="1">
        <v>2.5</v>
      </c>
      <c r="AY15" s="1">
        <v>3.2</v>
      </c>
      <c r="AZ15" s="1">
        <v>2.3999999999999998E-3</v>
      </c>
      <c r="BA15" s="1">
        <f t="shared" si="3"/>
        <v>4.2000000000000007E-4</v>
      </c>
      <c r="BB15" s="1">
        <v>1</v>
      </c>
      <c r="BC15" s="1">
        <f t="shared" si="0"/>
        <v>0.32499999999999996</v>
      </c>
      <c r="BD15" s="1">
        <v>0.2</v>
      </c>
      <c r="BE15" s="1">
        <f t="shared" si="4"/>
        <v>0.70000000000000018</v>
      </c>
      <c r="BF15" s="1">
        <f t="shared" si="1"/>
        <v>2.3285</v>
      </c>
      <c r="BG15" s="1">
        <f t="shared" si="2"/>
        <v>0.42946102641185313</v>
      </c>
    </row>
    <row r="16" spans="1:59" x14ac:dyDescent="0.25">
      <c r="B16" s="3">
        <v>9</v>
      </c>
      <c r="C16" s="4">
        <v>120842428514.12679</v>
      </c>
      <c r="D16" s="4">
        <v>120842428514.12679</v>
      </c>
      <c r="E16" s="4">
        <v>0.2939046811990072</v>
      </c>
      <c r="F16" s="4">
        <v>0</v>
      </c>
      <c r="G16" s="4">
        <v>44583333333.333336</v>
      </c>
      <c r="H16" s="4">
        <v>43375000000</v>
      </c>
      <c r="I16" s="4">
        <v>43375000000</v>
      </c>
      <c r="J16" s="4">
        <v>-1.6632904353352391E-11</v>
      </c>
      <c r="K16" s="4">
        <v>-1.6632904353352391E-11</v>
      </c>
      <c r="L16" s="4">
        <v>0</v>
      </c>
      <c r="M16" s="4">
        <v>2.0000000000000001E-4</v>
      </c>
      <c r="N16" s="4">
        <v>86.525974025973994</v>
      </c>
      <c r="O16" s="4">
        <v>86.525974025973994</v>
      </c>
      <c r="P16" s="4">
        <v>3.1280324074074077E-9</v>
      </c>
      <c r="Q16" s="4">
        <v>0</v>
      </c>
      <c r="R16" s="4">
        <v>1.0020833333333333E-4</v>
      </c>
      <c r="S16" s="4">
        <v>9.5208333333333338E-6</v>
      </c>
      <c r="T16" s="4">
        <v>9.5208333333333338E-6</v>
      </c>
      <c r="U16" s="4">
        <v>4.0024444444444399E-4</v>
      </c>
      <c r="V16" s="4">
        <v>4.0024444444444399E-4</v>
      </c>
      <c r="W16" s="4">
        <v>2.2291666666666665</v>
      </c>
      <c r="X16" s="4">
        <v>4520.833333333333</v>
      </c>
      <c r="Y16" s="4">
        <f t="shared" si="11"/>
        <v>4.0000000000000002E-4</v>
      </c>
      <c r="Z16" s="4">
        <f t="shared" si="11"/>
        <v>6.0000000000000006E-4</v>
      </c>
      <c r="AA16" s="3">
        <v>2</v>
      </c>
      <c r="AV16">
        <v>15</v>
      </c>
      <c r="AX16" s="1">
        <v>2.5</v>
      </c>
      <c r="AY16" s="1">
        <v>3.2</v>
      </c>
      <c r="AZ16" s="1">
        <v>2.3999999999999998E-3</v>
      </c>
      <c r="BA16" s="1">
        <f t="shared" si="3"/>
        <v>5.4000000000000012E-4</v>
      </c>
      <c r="BB16" s="1">
        <v>1</v>
      </c>
      <c r="BC16" s="1">
        <f t="shared" si="0"/>
        <v>0.27499999999999991</v>
      </c>
      <c r="BD16" s="1">
        <v>0.2</v>
      </c>
      <c r="BE16" s="1">
        <f t="shared" si="4"/>
        <v>0.90000000000000024</v>
      </c>
      <c r="BF16" s="1">
        <f t="shared" si="1"/>
        <v>2.1794999999999995</v>
      </c>
      <c r="BG16" s="1">
        <f t="shared" si="2"/>
        <v>0.45882083046570321</v>
      </c>
    </row>
    <row r="17" spans="1:59" x14ac:dyDescent="0.25">
      <c r="B17" s="3">
        <v>10</v>
      </c>
      <c r="C17" s="4">
        <v>114998980811.40457</v>
      </c>
      <c r="D17" s="4">
        <v>114998980811.40457</v>
      </c>
      <c r="E17" s="4">
        <v>0.27647126561418955</v>
      </c>
      <c r="F17" s="4">
        <v>0</v>
      </c>
      <c r="G17" s="4">
        <v>42216666666.666664</v>
      </c>
      <c r="H17" s="4">
        <v>39965000000</v>
      </c>
      <c r="I17" s="4">
        <v>39965000000</v>
      </c>
      <c r="J17" s="4">
        <v>-7.3184779154750521E-12</v>
      </c>
      <c r="K17" s="4">
        <v>-7.3184779154750521E-12</v>
      </c>
      <c r="L17" s="4">
        <v>0</v>
      </c>
      <c r="M17" s="4">
        <v>2.0000000000000001E-4</v>
      </c>
      <c r="N17" s="4">
        <v>93.448051948051926</v>
      </c>
      <c r="O17" s="4">
        <v>93.448051948051926</v>
      </c>
      <c r="P17" s="4">
        <v>1.4135342592592591E-9</v>
      </c>
      <c r="Q17" s="4">
        <v>0</v>
      </c>
      <c r="R17" s="4">
        <v>1.0689166666666666E-4</v>
      </c>
      <c r="S17" s="4">
        <v>8.189166666666666E-6</v>
      </c>
      <c r="T17" s="4">
        <v>8.189166666666666E-6</v>
      </c>
      <c r="U17" s="4">
        <v>4.0024444444444399E-4</v>
      </c>
      <c r="V17" s="4">
        <v>4.0024444444444399E-4</v>
      </c>
      <c r="W17" s="4">
        <v>1.9808333333333334</v>
      </c>
      <c r="X17" s="4">
        <v>4109.166666666667</v>
      </c>
      <c r="Y17" s="4">
        <f t="shared" si="11"/>
        <v>6.0000000000000006E-4</v>
      </c>
      <c r="Z17" s="4">
        <f t="shared" si="11"/>
        <v>8.0000000000000004E-4</v>
      </c>
      <c r="AA17" s="3">
        <v>2</v>
      </c>
      <c r="AQ17" s="13"/>
      <c r="AR17" s="13"/>
      <c r="AV17">
        <v>16</v>
      </c>
      <c r="AX17" s="1">
        <v>2.5</v>
      </c>
      <c r="AY17" s="1">
        <v>3.2</v>
      </c>
      <c r="AZ17" s="1">
        <v>2.3999999999999998E-3</v>
      </c>
      <c r="BA17" s="1">
        <f t="shared" si="3"/>
        <v>6.600000000000001E-4</v>
      </c>
      <c r="BB17" s="1">
        <v>1</v>
      </c>
      <c r="BC17" s="1">
        <f t="shared" si="0"/>
        <v>0.22499999999999992</v>
      </c>
      <c r="BD17" s="1">
        <v>0.2</v>
      </c>
      <c r="BE17" s="1">
        <f t="shared" si="4"/>
        <v>1.1000000000000003</v>
      </c>
      <c r="BF17" s="1">
        <f t="shared" si="1"/>
        <v>2.0304999999999995</v>
      </c>
      <c r="BG17" s="1">
        <f t="shared" si="2"/>
        <v>0.49248953459738992</v>
      </c>
    </row>
    <row r="18" spans="1:59" x14ac:dyDescent="0.25">
      <c r="B18" s="3">
        <v>11</v>
      </c>
      <c r="C18" s="4">
        <v>109155533108.68236</v>
      </c>
      <c r="D18" s="4">
        <v>109155533108.68236</v>
      </c>
      <c r="E18" s="4">
        <v>0.25903785002937196</v>
      </c>
      <c r="F18" s="4">
        <v>0</v>
      </c>
      <c r="G18" s="4">
        <v>39850000000</v>
      </c>
      <c r="H18" s="4">
        <v>36555000000</v>
      </c>
      <c r="I18" s="4">
        <v>36555000000</v>
      </c>
      <c r="J18" s="4">
        <v>1.9959485224022887E-12</v>
      </c>
      <c r="K18" s="4">
        <v>1.9959485224022887E-12</v>
      </c>
      <c r="L18" s="4">
        <v>0</v>
      </c>
      <c r="M18" s="4">
        <v>2.0000000000000001E-4</v>
      </c>
      <c r="N18" s="4">
        <v>100.37012987012984</v>
      </c>
      <c r="O18" s="4">
        <v>100.37012987012984</v>
      </c>
      <c r="P18" s="4">
        <v>-3.0096388888888915E-10</v>
      </c>
      <c r="Q18" s="4">
        <v>0</v>
      </c>
      <c r="R18" s="4">
        <v>1.13575E-4</v>
      </c>
      <c r="S18" s="4">
        <v>6.8575000000000008E-6</v>
      </c>
      <c r="T18" s="4">
        <v>6.8575000000000008E-6</v>
      </c>
      <c r="U18" s="4">
        <v>4.0024444444444399E-4</v>
      </c>
      <c r="V18" s="4">
        <v>4.0024444444444399E-4</v>
      </c>
      <c r="W18" s="4">
        <v>1.7324999999999999</v>
      </c>
      <c r="X18" s="4">
        <v>3697.5</v>
      </c>
      <c r="Y18" s="4">
        <f t="shared" si="11"/>
        <v>8.0000000000000004E-4</v>
      </c>
      <c r="Z18" s="4">
        <f t="shared" si="11"/>
        <v>1E-3</v>
      </c>
      <c r="AA18" s="3">
        <v>2</v>
      </c>
      <c r="AQ18" s="13"/>
      <c r="AR18" s="13"/>
      <c r="AV18">
        <v>17</v>
      </c>
      <c r="AX18" s="1">
        <v>2.5</v>
      </c>
      <c r="AY18" s="1">
        <v>3.2</v>
      </c>
      <c r="AZ18" s="1">
        <v>2.3999999999999998E-3</v>
      </c>
      <c r="BA18" s="1">
        <f t="shared" si="3"/>
        <v>7.8000000000000009E-4</v>
      </c>
      <c r="BB18" s="1">
        <v>1</v>
      </c>
      <c r="BC18" s="1">
        <f t="shared" si="0"/>
        <v>0.17499999999999993</v>
      </c>
      <c r="BD18" s="1">
        <v>0.2</v>
      </c>
      <c r="BE18" s="1">
        <f t="shared" si="4"/>
        <v>1.3000000000000003</v>
      </c>
      <c r="BF18" s="1">
        <f t="shared" si="1"/>
        <v>1.8815</v>
      </c>
      <c r="BG18" s="1">
        <f t="shared" si="2"/>
        <v>0.53149083178315171</v>
      </c>
    </row>
    <row r="19" spans="1:59" x14ac:dyDescent="0.25">
      <c r="A19" t="s">
        <v>219</v>
      </c>
      <c r="B19" s="10">
        <v>12</v>
      </c>
      <c r="C19" s="4">
        <v>103312085405.96013</v>
      </c>
      <c r="D19" s="4">
        <v>103312085405.96013</v>
      </c>
      <c r="E19" s="4">
        <v>0.24160443444455437</v>
      </c>
      <c r="F19" s="4">
        <v>0</v>
      </c>
      <c r="G19" s="4">
        <v>37483333333.333328</v>
      </c>
      <c r="H19" s="4">
        <v>33144999999.999996</v>
      </c>
      <c r="I19" s="4">
        <v>33144999999.999996</v>
      </c>
      <c r="J19" s="4">
        <v>1.1310374960279639E-11</v>
      </c>
      <c r="K19" s="4">
        <v>1.1310374960279639E-11</v>
      </c>
      <c r="L19" s="4">
        <v>0</v>
      </c>
      <c r="M19" s="4">
        <v>2.0000000000000001E-4</v>
      </c>
      <c r="N19" s="4">
        <v>107.29220779220779</v>
      </c>
      <c r="O19" s="4">
        <v>107.29220779220779</v>
      </c>
      <c r="P19" s="4">
        <v>-2.015462037037039E-9</v>
      </c>
      <c r="Q19" s="4">
        <v>0</v>
      </c>
      <c r="R19" s="4">
        <v>1.2025833333333335E-4</v>
      </c>
      <c r="S19" s="4">
        <v>5.5258333333333314E-6</v>
      </c>
      <c r="T19" s="4">
        <v>5.5258333333333314E-6</v>
      </c>
      <c r="U19" s="4">
        <v>4.0024444444444399E-4</v>
      </c>
      <c r="V19" s="4">
        <v>4.0024444444444399E-4</v>
      </c>
      <c r="W19" s="4">
        <v>1.4841666666666664</v>
      </c>
      <c r="X19" s="4">
        <v>3285.8333333333326</v>
      </c>
      <c r="Y19" s="4">
        <f t="shared" si="11"/>
        <v>1E-3</v>
      </c>
      <c r="Z19" s="4">
        <f t="shared" si="11"/>
        <v>1.2000000000000001E-3</v>
      </c>
      <c r="AA19" s="3">
        <v>2</v>
      </c>
      <c r="AQ19" s="13"/>
      <c r="AR19" s="13"/>
      <c r="AV19">
        <v>18</v>
      </c>
      <c r="AX19" s="1">
        <v>2.5</v>
      </c>
      <c r="AY19" s="1">
        <v>3.2</v>
      </c>
      <c r="AZ19" s="1">
        <v>2.3999999999999998E-3</v>
      </c>
      <c r="BA19" s="1">
        <f t="shared" si="3"/>
        <v>9.0000000000000008E-4</v>
      </c>
      <c r="BB19" s="1">
        <v>1</v>
      </c>
      <c r="BC19" s="1">
        <f t="shared" si="0"/>
        <v>0.12499999999999994</v>
      </c>
      <c r="BD19" s="1">
        <v>0.2</v>
      </c>
      <c r="BE19" s="1">
        <f t="shared" si="4"/>
        <v>1.5000000000000002</v>
      </c>
      <c r="BF19" s="1">
        <f t="shared" si="1"/>
        <v>1.7324999999999997</v>
      </c>
      <c r="BG19" s="1">
        <f t="shared" si="2"/>
        <v>0.57720057720057727</v>
      </c>
    </row>
    <row r="20" spans="1:59" x14ac:dyDescent="0.25">
      <c r="B20" s="10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3"/>
      <c r="AQ20" s="13"/>
      <c r="AR20" s="13"/>
      <c r="AV20">
        <v>19</v>
      </c>
      <c r="AX20" s="1">
        <v>2.5</v>
      </c>
      <c r="AY20" s="1">
        <v>3.2</v>
      </c>
      <c r="AZ20" s="1">
        <v>2.3999999999999998E-3</v>
      </c>
      <c r="BA20" s="1">
        <f t="shared" si="3"/>
        <v>1.0200000000000001E-3</v>
      </c>
      <c r="BB20" s="1">
        <v>1</v>
      </c>
      <c r="BC20" s="1">
        <f t="shared" si="0"/>
        <v>7.4999999999999956E-2</v>
      </c>
      <c r="BD20" s="1">
        <v>0.2</v>
      </c>
      <c r="BE20" s="1">
        <f t="shared" si="4"/>
        <v>1.7000000000000002</v>
      </c>
      <c r="BF20" s="1">
        <f t="shared" si="1"/>
        <v>1.5834999999999995</v>
      </c>
      <c r="BG20" s="1">
        <f t="shared" si="2"/>
        <v>0.63151247237132957</v>
      </c>
    </row>
    <row r="21" spans="1:59" x14ac:dyDescent="0.25">
      <c r="AQ21" s="13"/>
      <c r="AR21" s="13"/>
      <c r="AV21">
        <v>20</v>
      </c>
      <c r="AX21" s="1">
        <v>2.5</v>
      </c>
      <c r="AY21" s="1">
        <v>3.2</v>
      </c>
      <c r="AZ21" s="1">
        <v>2.3999999999999998E-3</v>
      </c>
      <c r="BA21" s="1">
        <f t="shared" si="3"/>
        <v>1.1400000000000002E-3</v>
      </c>
      <c r="BB21" s="1">
        <v>1</v>
      </c>
      <c r="BC21" s="1">
        <f t="shared" si="0"/>
        <v>2.4999999999999911E-2</v>
      </c>
      <c r="BD21" s="1">
        <v>0.2</v>
      </c>
      <c r="BE21" s="1">
        <f t="shared" si="4"/>
        <v>1.9000000000000004</v>
      </c>
      <c r="BF21" s="1">
        <f t="shared" si="1"/>
        <v>1.4344999999999997</v>
      </c>
      <c r="BG21" s="1">
        <f t="shared" si="2"/>
        <v>0.69710700592540975</v>
      </c>
    </row>
    <row r="22" spans="1:59" x14ac:dyDescent="0.25">
      <c r="A22" s="11" t="s">
        <v>272</v>
      </c>
      <c r="B22" t="s">
        <v>173</v>
      </c>
      <c r="AQ22" s="13"/>
      <c r="AR22" s="13"/>
    </row>
    <row r="23" spans="1:59" x14ac:dyDescent="0.25">
      <c r="A23" s="11" t="s">
        <v>174</v>
      </c>
      <c r="B23" t="s">
        <v>175</v>
      </c>
      <c r="AQ23" s="13"/>
      <c r="AR23" s="13"/>
    </row>
    <row r="24" spans="1:59" x14ac:dyDescent="0.25">
      <c r="AQ24" s="13"/>
      <c r="AR24" s="13"/>
    </row>
    <row r="25" spans="1:59" x14ac:dyDescent="0.25">
      <c r="AQ25" s="13"/>
      <c r="AR25" s="13"/>
    </row>
    <row r="26" spans="1:59" x14ac:dyDescent="0.25">
      <c r="AQ26" s="13"/>
      <c r="AR26" s="13"/>
    </row>
    <row r="27" spans="1:59" x14ac:dyDescent="0.25">
      <c r="A27" t="s">
        <v>176</v>
      </c>
      <c r="B27" s="2" t="s">
        <v>177</v>
      </c>
      <c r="C27" s="2" t="s">
        <v>178</v>
      </c>
      <c r="D27" s="2" t="s">
        <v>179</v>
      </c>
      <c r="E27" s="2" t="s">
        <v>180</v>
      </c>
      <c r="F27" s="2" t="s">
        <v>181</v>
      </c>
      <c r="G27" s="2" t="s">
        <v>182</v>
      </c>
      <c r="H27" s="2" t="s">
        <v>183</v>
      </c>
      <c r="I27" s="2" t="s">
        <v>184</v>
      </c>
      <c r="J27" s="2" t="s">
        <v>185</v>
      </c>
      <c r="K27" s="15"/>
      <c r="M27" s="4"/>
      <c r="N27" s="17"/>
      <c r="P27" s="17"/>
      <c r="Q27" s="4"/>
      <c r="AQ27" s="13"/>
      <c r="AR27" s="13"/>
    </row>
    <row r="28" spans="1:59" x14ac:dyDescent="0.25">
      <c r="B28" s="1">
        <v>154570780662.97195</v>
      </c>
      <c r="C28" s="1">
        <v>116331314878.89275</v>
      </c>
      <c r="D28" s="1">
        <v>2.3999999999999998E-3</v>
      </c>
      <c r="E28">
        <v>-1.1000000000000001E-3</v>
      </c>
      <c r="F28" s="1">
        <v>2</v>
      </c>
      <c r="G28" s="1">
        <f>(0.5-E28/D28)^F28</f>
        <v>0.91840277777777801</v>
      </c>
      <c r="H28" s="1">
        <v>0.3</v>
      </c>
      <c r="I28" s="1">
        <f>4*(ABS(E28)/D28)</f>
        <v>1.8333333333333337</v>
      </c>
      <c r="J28" s="1">
        <f>(C28-B28)*G28+B28-(B28+C28)*(H28/2)*I28</f>
        <v>44953472792.122513</v>
      </c>
      <c r="M28" s="4"/>
      <c r="N28" s="17"/>
      <c r="O28" s="4"/>
      <c r="P28" s="17"/>
      <c r="Q28" s="4"/>
      <c r="AQ28" s="13"/>
      <c r="AR28" s="13"/>
    </row>
    <row r="29" spans="1:59" x14ac:dyDescent="0.25">
      <c r="B29" s="1">
        <v>154570780662.97195</v>
      </c>
      <c r="C29" s="1">
        <v>116331314878.89275</v>
      </c>
      <c r="D29" s="1">
        <v>2.3999999999999998E-3</v>
      </c>
      <c r="E29">
        <f>-0.001+0.0001</f>
        <v>-8.9999999999999998E-4</v>
      </c>
      <c r="F29" s="1">
        <v>2</v>
      </c>
      <c r="G29" s="1">
        <f t="shared" ref="G29:G39" si="12">(0.5-E29/D29)^F29</f>
        <v>0.765625</v>
      </c>
      <c r="H29" s="1">
        <v>0.3</v>
      </c>
      <c r="I29" s="1">
        <f t="shared" ref="I29:I39" si="13">4*(ABS(E29)/D29)</f>
        <v>1.5</v>
      </c>
      <c r="J29" s="1">
        <f t="shared" ref="J29:J39" si="14">(C29-B29)*G29+B29-(B29+C29)*(H29/2)*I29</f>
        <v>64340718175.11676</v>
      </c>
      <c r="M29" s="4"/>
      <c r="N29" s="17"/>
      <c r="O29" s="4"/>
      <c r="P29" s="17"/>
      <c r="Q29" s="4"/>
    </row>
    <row r="30" spans="1:59" x14ac:dyDescent="0.25">
      <c r="A30" s="13"/>
      <c r="B30" s="1">
        <v>154570780662.97195</v>
      </c>
      <c r="C30" s="1">
        <v>116331314878.89275</v>
      </c>
      <c r="D30" s="1">
        <v>2.3999999999999998E-3</v>
      </c>
      <c r="E30">
        <f>E29+0.0002</f>
        <v>-6.9999999999999999E-4</v>
      </c>
      <c r="F30" s="1">
        <v>2</v>
      </c>
      <c r="G30" s="1">
        <f t="shared" si="12"/>
        <v>0.62673611111111127</v>
      </c>
      <c r="H30" s="1">
        <v>0.3</v>
      </c>
      <c r="I30" s="1">
        <f t="shared" si="13"/>
        <v>1.1666666666666667</v>
      </c>
      <c r="J30" s="1">
        <f t="shared" si="14"/>
        <v>83196859866.665421</v>
      </c>
      <c r="M30" s="4"/>
      <c r="N30" s="17"/>
      <c r="O30" s="4"/>
      <c r="P30" s="17"/>
      <c r="Q30" s="4"/>
    </row>
    <row r="31" spans="1:59" x14ac:dyDescent="0.25">
      <c r="B31" s="1">
        <v>154570780662.97195</v>
      </c>
      <c r="C31" s="1">
        <v>116331314878.89275</v>
      </c>
      <c r="D31" s="1">
        <v>2.3999999999999998E-3</v>
      </c>
      <c r="E31">
        <f t="shared" ref="E31:E38" si="15">E30+0.0002</f>
        <v>-5.0000000000000001E-4</v>
      </c>
      <c r="F31" s="1">
        <v>2</v>
      </c>
      <c r="G31" s="1">
        <f t="shared" si="12"/>
        <v>0.50173611111111116</v>
      </c>
      <c r="H31" s="1">
        <v>0.3</v>
      </c>
      <c r="I31" s="1">
        <f t="shared" si="13"/>
        <v>0.83333333333333337</v>
      </c>
      <c r="J31" s="1">
        <f t="shared" si="14"/>
        <v>101521897866.76855</v>
      </c>
      <c r="M31" s="4"/>
      <c r="N31" s="17"/>
      <c r="O31" s="4"/>
      <c r="P31" s="17"/>
      <c r="Q31" s="4"/>
    </row>
    <row r="32" spans="1:59" x14ac:dyDescent="0.25">
      <c r="B32" s="1">
        <v>154570780662.97195</v>
      </c>
      <c r="C32" s="1">
        <v>116331314878.89275</v>
      </c>
      <c r="D32" s="1">
        <v>2.3999999999999998E-3</v>
      </c>
      <c r="E32">
        <f t="shared" si="15"/>
        <v>-3.0000000000000003E-4</v>
      </c>
      <c r="F32" s="1">
        <v>2</v>
      </c>
      <c r="G32" s="1">
        <f t="shared" si="12"/>
        <v>0.390625</v>
      </c>
      <c r="H32" s="1">
        <v>0.3</v>
      </c>
      <c r="I32" s="1">
        <f t="shared" si="13"/>
        <v>0.50000000000000011</v>
      </c>
      <c r="J32" s="1">
        <f t="shared" si="14"/>
        <v>119315832175.42615</v>
      </c>
      <c r="M32" s="4"/>
      <c r="N32" s="17"/>
      <c r="O32" s="4"/>
      <c r="P32" s="17"/>
      <c r="Q32" s="4"/>
      <c r="R32" s="4"/>
    </row>
    <row r="33" spans="1:18" x14ac:dyDescent="0.25">
      <c r="B33" s="1">
        <v>154570780662.97195</v>
      </c>
      <c r="C33" s="1">
        <v>116331314878.89275</v>
      </c>
      <c r="D33" s="1">
        <v>2.3999999999999998E-3</v>
      </c>
      <c r="E33">
        <f t="shared" si="15"/>
        <v>-1.0000000000000002E-4</v>
      </c>
      <c r="F33" s="1">
        <v>2</v>
      </c>
      <c r="G33" s="1">
        <f t="shared" si="12"/>
        <v>0.29340277777777773</v>
      </c>
      <c r="H33" s="1">
        <v>0.3</v>
      </c>
      <c r="I33" s="1">
        <f t="shared" si="13"/>
        <v>0.16666666666666671</v>
      </c>
      <c r="J33" s="1">
        <f t="shared" si="14"/>
        <v>136578662792.6382</v>
      </c>
      <c r="M33" s="4"/>
      <c r="N33" s="17"/>
      <c r="O33" s="4"/>
      <c r="P33" s="17"/>
      <c r="Q33" s="4"/>
      <c r="R33" s="4"/>
    </row>
    <row r="34" spans="1:18" x14ac:dyDescent="0.25">
      <c r="B34" s="1">
        <v>154570780662.97195</v>
      </c>
      <c r="C34" s="1">
        <v>116331314878.89275</v>
      </c>
      <c r="D34" s="1">
        <v>2.3999999999999998E-3</v>
      </c>
      <c r="E34">
        <f t="shared" si="15"/>
        <v>9.9999999999999991E-5</v>
      </c>
      <c r="F34" s="1">
        <v>2</v>
      </c>
      <c r="G34" s="1">
        <f t="shared" si="12"/>
        <v>0.21006944444444442</v>
      </c>
      <c r="H34" s="1">
        <v>0.3</v>
      </c>
      <c r="I34" s="1">
        <f t="shared" si="13"/>
        <v>0.16666666666666666</v>
      </c>
      <c r="J34" s="1">
        <f t="shared" si="14"/>
        <v>139765284941.31146</v>
      </c>
      <c r="M34" s="4"/>
      <c r="N34" s="17"/>
      <c r="O34" s="4"/>
      <c r="P34" s="17"/>
      <c r="Q34" s="4"/>
      <c r="R34" s="4"/>
    </row>
    <row r="35" spans="1:18" x14ac:dyDescent="0.25">
      <c r="B35" s="1">
        <v>154570780662.97195</v>
      </c>
      <c r="C35" s="1">
        <v>116331314878.89275</v>
      </c>
      <c r="D35" s="1">
        <v>2.3999999999999998E-3</v>
      </c>
      <c r="E35">
        <f t="shared" si="15"/>
        <v>3.0000000000000003E-4</v>
      </c>
      <c r="F35" s="1">
        <v>2</v>
      </c>
      <c r="G35" s="1">
        <f t="shared" si="12"/>
        <v>0.140625</v>
      </c>
      <c r="H35" s="1">
        <v>0.3</v>
      </c>
      <c r="I35" s="1">
        <f t="shared" si="13"/>
        <v>0.50000000000000011</v>
      </c>
      <c r="J35" s="1">
        <f t="shared" si="14"/>
        <v>128875698621.44595</v>
      </c>
      <c r="M35" s="4"/>
      <c r="N35" s="17"/>
      <c r="O35" s="4"/>
      <c r="P35" s="17"/>
      <c r="Q35" s="4"/>
      <c r="R35" s="4"/>
    </row>
    <row r="36" spans="1:18" x14ac:dyDescent="0.25">
      <c r="B36" s="1">
        <v>154570780662.97195</v>
      </c>
      <c r="C36" s="1">
        <v>116331314878.89275</v>
      </c>
      <c r="D36" s="1">
        <v>2.3999999999999998E-3</v>
      </c>
      <c r="E36">
        <f t="shared" si="15"/>
        <v>5.0000000000000001E-4</v>
      </c>
      <c r="F36" s="1">
        <v>2</v>
      </c>
      <c r="G36" s="1">
        <f t="shared" si="12"/>
        <v>8.506944444444442E-2</v>
      </c>
      <c r="H36" s="1">
        <v>0.3</v>
      </c>
      <c r="I36" s="1">
        <f t="shared" si="13"/>
        <v>0.83333333333333337</v>
      </c>
      <c r="J36" s="1">
        <f t="shared" si="14"/>
        <v>117455008610.13489</v>
      </c>
      <c r="M36" s="4"/>
      <c r="N36" s="17"/>
      <c r="O36" s="4"/>
      <c r="P36" s="17"/>
      <c r="Q36" s="4"/>
      <c r="R36" s="4"/>
    </row>
    <row r="37" spans="1:18" x14ac:dyDescent="0.25">
      <c r="B37" s="1">
        <v>154570780662.97195</v>
      </c>
      <c r="C37" s="1">
        <v>116331314878.89275</v>
      </c>
      <c r="D37" s="1">
        <v>2.3999999999999998E-3</v>
      </c>
      <c r="E37">
        <f t="shared" si="15"/>
        <v>6.9999999999999999E-4</v>
      </c>
      <c r="F37" s="1">
        <v>2</v>
      </c>
      <c r="G37" s="1">
        <f t="shared" si="12"/>
        <v>4.3402777777777769E-2</v>
      </c>
      <c r="H37" s="1">
        <v>0.3</v>
      </c>
      <c r="I37" s="1">
        <f t="shared" si="13"/>
        <v>1.1666666666666667</v>
      </c>
      <c r="J37" s="1">
        <f t="shared" si="14"/>
        <v>105503214907.3783</v>
      </c>
      <c r="N37" s="6"/>
      <c r="O37" s="4"/>
      <c r="P37" s="4"/>
      <c r="Q37" s="4"/>
      <c r="R37" s="4"/>
    </row>
    <row r="38" spans="1:18" x14ac:dyDescent="0.25">
      <c r="A38" s="1"/>
      <c r="B38" s="1">
        <v>154570780662.97195</v>
      </c>
      <c r="C38" s="1">
        <v>116331314878.89275</v>
      </c>
      <c r="D38" s="1">
        <v>2.3999999999999998E-3</v>
      </c>
      <c r="E38">
        <f t="shared" si="15"/>
        <v>8.9999999999999998E-4</v>
      </c>
      <c r="F38" s="1">
        <v>2</v>
      </c>
      <c r="G38" s="1">
        <f t="shared" si="12"/>
        <v>1.5625E-2</v>
      </c>
      <c r="H38" s="1">
        <v>0.3</v>
      </c>
      <c r="I38" s="1">
        <f t="shared" si="13"/>
        <v>1.5</v>
      </c>
      <c r="J38" s="1">
        <f t="shared" si="14"/>
        <v>93020317513.176147</v>
      </c>
      <c r="N38" s="6"/>
      <c r="P38" s="4"/>
      <c r="Q38" s="4"/>
      <c r="R38" s="4"/>
    </row>
    <row r="39" spans="1:18" x14ac:dyDescent="0.25">
      <c r="A39" s="1"/>
      <c r="B39" s="12">
        <v>154570780662.97198</v>
      </c>
      <c r="C39" s="12">
        <v>116331314878.89275</v>
      </c>
      <c r="D39" s="1">
        <v>2.3999999999999998E-3</v>
      </c>
      <c r="E39" s="13">
        <v>1.1000000000000001E-3</v>
      </c>
      <c r="F39" s="1">
        <v>2</v>
      </c>
      <c r="G39" s="1">
        <f t="shared" si="12"/>
        <v>1.7361111111111034E-3</v>
      </c>
      <c r="H39" s="1">
        <v>0.3</v>
      </c>
      <c r="I39" s="1">
        <f t="shared" si="13"/>
        <v>1.8333333333333337</v>
      </c>
      <c r="J39" s="1">
        <f t="shared" si="14"/>
        <v>80006316427.528473</v>
      </c>
      <c r="Q39" s="4"/>
      <c r="R39" s="4"/>
    </row>
    <row r="40" spans="1:18" x14ac:dyDescent="0.25">
      <c r="A40" s="1"/>
      <c r="B40" s="1"/>
      <c r="C40" s="1"/>
      <c r="D40" s="1"/>
      <c r="F40" s="1"/>
      <c r="H40" s="1"/>
      <c r="J40" s="1"/>
      <c r="Q40" s="4"/>
      <c r="R40" s="4"/>
    </row>
    <row r="41" spans="1:18" x14ac:dyDescent="0.25">
      <c r="A41" t="s">
        <v>186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s">
        <v>191</v>
      </c>
      <c r="G41" s="2" t="s">
        <v>192</v>
      </c>
      <c r="H41" s="2" t="s">
        <v>193</v>
      </c>
      <c r="I41" s="2" t="s">
        <v>194</v>
      </c>
      <c r="J41" s="2" t="s">
        <v>195</v>
      </c>
      <c r="Q41" s="4"/>
      <c r="R41" s="4"/>
    </row>
    <row r="42" spans="1:18" x14ac:dyDescent="0.25">
      <c r="B42" s="1">
        <v>0.36788301471656604</v>
      </c>
      <c r="C42" s="1">
        <v>0.30709342560553632</v>
      </c>
      <c r="D42" s="1">
        <v>2.3999999999999998E-3</v>
      </c>
      <c r="E42">
        <v>-1.1000000000000001E-3</v>
      </c>
      <c r="F42" s="1">
        <v>2</v>
      </c>
      <c r="G42" s="1">
        <f>(0.5-E42/D42)^F42</f>
        <v>0.91840277777777801</v>
      </c>
      <c r="H42" s="1">
        <v>0.3</v>
      </c>
      <c r="I42" s="1">
        <f>4*(ABS(E42)/D42)</f>
        <v>1.8333333333333337</v>
      </c>
      <c r="J42" s="1">
        <f>(C42-B42)*G42+B42-(B42+C42)*(H42/2)*I42</f>
        <v>0.12643516612844841</v>
      </c>
      <c r="Q42" s="4"/>
    </row>
    <row r="43" spans="1:18" x14ac:dyDescent="0.25">
      <c r="B43" s="1">
        <v>0.36788301471656604</v>
      </c>
      <c r="C43" s="1">
        <v>0.30709342560553632</v>
      </c>
      <c r="D43" s="1">
        <v>2.3999999999999998E-3</v>
      </c>
      <c r="E43">
        <v>-8.9999999999999998E-4</v>
      </c>
      <c r="F43" s="1">
        <v>2</v>
      </c>
      <c r="G43" s="1">
        <f t="shared" ref="G43:G53" si="16">(0.5-E43/D43)^F43</f>
        <v>0.765625</v>
      </c>
      <c r="H43" s="1">
        <v>0.3</v>
      </c>
      <c r="I43" s="1">
        <f t="shared" ref="I43:I53" si="17">4*(ABS(E43)/D43)</f>
        <v>1.5</v>
      </c>
      <c r="J43" s="1">
        <f t="shared" ref="J43:J53" si="18">(C43-B43)*G43+B43-(B43+C43)*(H43/2)*I43</f>
        <v>0.16947128648096091</v>
      </c>
    </row>
    <row r="44" spans="1:18" x14ac:dyDescent="0.25">
      <c r="A44" s="13"/>
      <c r="B44" s="1">
        <v>0.36788301471656604</v>
      </c>
      <c r="C44" s="1">
        <v>0.30709342560553632</v>
      </c>
      <c r="D44" s="1">
        <v>2.3999999999999998E-3</v>
      </c>
      <c r="E44">
        <v>-6.9999999999999999E-4</v>
      </c>
      <c r="F44" s="1">
        <v>2</v>
      </c>
      <c r="G44" s="1">
        <f t="shared" si="16"/>
        <v>0.62673611111111127</v>
      </c>
      <c r="H44" s="1">
        <v>0.3</v>
      </c>
      <c r="I44" s="1">
        <f t="shared" si="17"/>
        <v>1.1666666666666667</v>
      </c>
      <c r="J44" s="1">
        <f t="shared" si="18"/>
        <v>0.21166310698470897</v>
      </c>
    </row>
    <row r="45" spans="1:18" x14ac:dyDescent="0.25">
      <c r="B45" s="1">
        <v>0.36788301471656604</v>
      </c>
      <c r="C45" s="1">
        <v>0.30709342560553632</v>
      </c>
      <c r="D45" s="1">
        <v>2.3999999999999998E-3</v>
      </c>
      <c r="E45">
        <v>-5.0000000000000001E-4</v>
      </c>
      <c r="F45" s="1">
        <v>2</v>
      </c>
      <c r="G45" s="1">
        <f t="shared" si="16"/>
        <v>0.50173611111111116</v>
      </c>
      <c r="H45" s="1">
        <v>0.3</v>
      </c>
      <c r="I45" s="1">
        <f t="shared" si="17"/>
        <v>0.83333333333333337</v>
      </c>
      <c r="J45" s="1">
        <f t="shared" si="18"/>
        <v>0.25301062763969284</v>
      </c>
    </row>
    <row r="46" spans="1:18" x14ac:dyDescent="0.25">
      <c r="B46" s="1">
        <v>0.36788301471656604</v>
      </c>
      <c r="C46" s="1">
        <v>0.30709342560553632</v>
      </c>
      <c r="D46" s="1">
        <v>2.3999999999999998E-3</v>
      </c>
      <c r="E46">
        <v>-3.0000000000000003E-4</v>
      </c>
      <c r="F46" s="1">
        <v>2</v>
      </c>
      <c r="G46" s="1">
        <f t="shared" si="16"/>
        <v>0.390625</v>
      </c>
      <c r="H46" s="1">
        <v>0.3</v>
      </c>
      <c r="I46" s="1">
        <f t="shared" si="17"/>
        <v>0.50000000000000011</v>
      </c>
      <c r="J46" s="1">
        <f t="shared" si="18"/>
        <v>0.29351384844591238</v>
      </c>
    </row>
    <row r="47" spans="1:18" x14ac:dyDescent="0.25">
      <c r="B47" s="1">
        <v>0.36788301471656604</v>
      </c>
      <c r="C47" s="1">
        <v>0.30709342560553632</v>
      </c>
      <c r="D47" s="1">
        <v>2.3999999999999998E-3</v>
      </c>
      <c r="E47">
        <v>-1.0000000000000002E-4</v>
      </c>
      <c r="F47" s="1">
        <v>2</v>
      </c>
      <c r="G47" s="1">
        <f t="shared" si="16"/>
        <v>0.29340277777777773</v>
      </c>
      <c r="H47" s="1">
        <v>0.3</v>
      </c>
      <c r="I47" s="1">
        <f t="shared" si="17"/>
        <v>0.16666666666666671</v>
      </c>
      <c r="J47" s="1">
        <f t="shared" si="18"/>
        <v>0.33317276940336765</v>
      </c>
    </row>
    <row r="48" spans="1:18" x14ac:dyDescent="0.25">
      <c r="B48" s="1">
        <v>0.36788301471656604</v>
      </c>
      <c r="C48" s="1">
        <v>0.30709342560553632</v>
      </c>
      <c r="D48" s="1">
        <v>2.3999999999999998E-3</v>
      </c>
      <c r="E48">
        <v>9.9999999999999991E-5</v>
      </c>
      <c r="F48" s="1">
        <v>2</v>
      </c>
      <c r="G48" s="1">
        <f t="shared" si="16"/>
        <v>0.21006944444444442</v>
      </c>
      <c r="H48" s="1">
        <v>0.3</v>
      </c>
      <c r="I48" s="1">
        <f t="shared" si="17"/>
        <v>0.16666666666666666</v>
      </c>
      <c r="J48" s="1">
        <f t="shared" si="18"/>
        <v>0.33823856849595346</v>
      </c>
    </row>
    <row r="49" spans="1:10" x14ac:dyDescent="0.25">
      <c r="B49" s="1">
        <v>0.36788301471656604</v>
      </c>
      <c r="C49" s="1">
        <v>0.30709342560553632</v>
      </c>
      <c r="D49" s="1">
        <v>2.3999999999999998E-3</v>
      </c>
      <c r="E49">
        <v>3.0000000000000003E-4</v>
      </c>
      <c r="F49" s="1">
        <v>2</v>
      </c>
      <c r="G49" s="1">
        <f t="shared" si="16"/>
        <v>0.140625</v>
      </c>
      <c r="H49" s="1">
        <v>0.3</v>
      </c>
      <c r="I49" s="1">
        <f t="shared" si="17"/>
        <v>0.50000000000000011</v>
      </c>
      <c r="J49" s="1">
        <f t="shared" si="18"/>
        <v>0.30871124572366981</v>
      </c>
    </row>
    <row r="50" spans="1:10" x14ac:dyDescent="0.25">
      <c r="B50" s="1">
        <v>0.36788301471656604</v>
      </c>
      <c r="C50" s="1">
        <v>0.30709342560553632</v>
      </c>
      <c r="D50" s="1">
        <v>2.3999999999999998E-3</v>
      </c>
      <c r="E50">
        <v>5.0000000000000001E-4</v>
      </c>
      <c r="F50" s="1">
        <v>2</v>
      </c>
      <c r="G50" s="1">
        <f t="shared" si="16"/>
        <v>8.506944444444442E-2</v>
      </c>
      <c r="H50" s="1">
        <v>0.3</v>
      </c>
      <c r="I50" s="1">
        <f t="shared" si="17"/>
        <v>0.83333333333333337</v>
      </c>
      <c r="J50" s="1">
        <f t="shared" si="18"/>
        <v>0.27833962310262189</v>
      </c>
    </row>
    <row r="51" spans="1:10" x14ac:dyDescent="0.25">
      <c r="B51" s="1">
        <v>0.36788301471656604</v>
      </c>
      <c r="C51" s="1">
        <v>0.30709342560553632</v>
      </c>
      <c r="D51" s="1">
        <v>2.3999999999999998E-3</v>
      </c>
      <c r="E51">
        <v>6.9999999999999999E-4</v>
      </c>
      <c r="F51" s="1">
        <v>2</v>
      </c>
      <c r="G51" s="1">
        <f t="shared" si="16"/>
        <v>4.3402777777777769E-2</v>
      </c>
      <c r="H51" s="1">
        <v>0.3</v>
      </c>
      <c r="I51" s="1">
        <f t="shared" si="17"/>
        <v>1.1666666666666667</v>
      </c>
      <c r="J51" s="1">
        <f t="shared" si="18"/>
        <v>0.2471237006328097</v>
      </c>
    </row>
    <row r="52" spans="1:10" x14ac:dyDescent="0.25">
      <c r="B52" s="1">
        <v>0.36788301471656604</v>
      </c>
      <c r="C52" s="1">
        <v>0.30709342560553632</v>
      </c>
      <c r="D52" s="1">
        <v>2.3999999999999998E-3</v>
      </c>
      <c r="E52">
        <v>8.9999999999999998E-4</v>
      </c>
      <c r="F52" s="1">
        <v>2</v>
      </c>
      <c r="G52" s="1">
        <f t="shared" si="16"/>
        <v>1.5625E-2</v>
      </c>
      <c r="H52" s="1">
        <v>0.3</v>
      </c>
      <c r="I52" s="1">
        <f t="shared" si="17"/>
        <v>1.5</v>
      </c>
      <c r="J52" s="1">
        <f t="shared" si="18"/>
        <v>0.2150634783142332</v>
      </c>
    </row>
    <row r="53" spans="1:10" x14ac:dyDescent="0.25">
      <c r="B53" s="1">
        <v>0.36788301471656604</v>
      </c>
      <c r="C53" s="1">
        <v>0.30709342560553632</v>
      </c>
      <c r="D53" s="1">
        <v>2.3999999999999998E-3</v>
      </c>
      <c r="E53" s="13">
        <v>1.1000000000000001E-3</v>
      </c>
      <c r="F53" s="1">
        <v>2</v>
      </c>
      <c r="G53" s="1">
        <f t="shared" si="16"/>
        <v>1.7361111111111034E-3</v>
      </c>
      <c r="H53" s="1">
        <v>0.3</v>
      </c>
      <c r="I53" s="1">
        <f t="shared" si="17"/>
        <v>1.8333333333333337</v>
      </c>
      <c r="J53" s="1">
        <f t="shared" si="18"/>
        <v>0.18215895614689231</v>
      </c>
    </row>
    <row r="55" spans="1:10" x14ac:dyDescent="0.25">
      <c r="A55" t="s">
        <v>167</v>
      </c>
      <c r="B55" s="2" t="s">
        <v>187</v>
      </c>
      <c r="C55" s="2" t="s">
        <v>188</v>
      </c>
      <c r="D55" s="2" t="s">
        <v>189</v>
      </c>
      <c r="E55" s="2" t="s">
        <v>190</v>
      </c>
      <c r="F55" s="2" t="s">
        <v>191</v>
      </c>
      <c r="G55" s="2" t="s">
        <v>192</v>
      </c>
      <c r="H55" s="2" t="s">
        <v>193</v>
      </c>
      <c r="I55" s="2" t="s">
        <v>194</v>
      </c>
      <c r="J55" s="2" t="s">
        <v>195</v>
      </c>
    </row>
    <row r="56" spans="1:10" x14ac:dyDescent="0.25">
      <c r="B56" s="1">
        <v>56500000000</v>
      </c>
      <c r="C56" s="1">
        <v>44500000000</v>
      </c>
      <c r="D56" s="1">
        <v>2.3999999999999998E-3</v>
      </c>
      <c r="E56">
        <v>-1.1000000000000001E-3</v>
      </c>
      <c r="F56" s="1">
        <v>2</v>
      </c>
      <c r="G56" s="1">
        <f>(0.5-E56/D56)^F56</f>
        <v>0.91840277777777801</v>
      </c>
      <c r="H56" s="1">
        <v>0.3</v>
      </c>
      <c r="I56" s="1">
        <f>4*(ABS(E56)/D56)</f>
        <v>1.8333333333333337</v>
      </c>
      <c r="J56" s="1">
        <f>(C56-B56)*G56+B56-(B56+C56)*(H56/2)*I56</f>
        <v>17704166666.66666</v>
      </c>
    </row>
    <row r="57" spans="1:10" x14ac:dyDescent="0.25">
      <c r="B57" s="1">
        <v>56500000000</v>
      </c>
      <c r="C57" s="1">
        <v>44500000000</v>
      </c>
      <c r="D57" s="1">
        <v>2.3999999999999998E-3</v>
      </c>
      <c r="E57">
        <f>-0.001+0.0001</f>
        <v>-8.9999999999999998E-4</v>
      </c>
      <c r="F57" s="1">
        <v>2</v>
      </c>
      <c r="G57" s="1">
        <f t="shared" ref="G57:G67" si="19">(0.5-E57/D57)^F57</f>
        <v>0.765625</v>
      </c>
      <c r="H57" s="1">
        <v>0.3</v>
      </c>
      <c r="I57" s="1">
        <f t="shared" ref="I57:I67" si="20">4*(ABS(E57)/D57)</f>
        <v>1.5</v>
      </c>
      <c r="J57" s="1">
        <f t="shared" ref="J57:J67" si="21">(C57-B57)*G57+B57-(B57+C57)*(H57/2)*I57</f>
        <v>24587500000</v>
      </c>
    </row>
    <row r="58" spans="1:10" x14ac:dyDescent="0.25">
      <c r="A58" s="13"/>
      <c r="B58" s="1">
        <v>56500000000</v>
      </c>
      <c r="C58" s="1">
        <v>44500000000</v>
      </c>
      <c r="D58" s="1">
        <v>2.3999999999999998E-3</v>
      </c>
      <c r="E58">
        <f>E57+0.0002</f>
        <v>-6.9999999999999999E-4</v>
      </c>
      <c r="F58" s="1">
        <v>2</v>
      </c>
      <c r="G58" s="1">
        <f t="shared" si="19"/>
        <v>0.62673611111111127</v>
      </c>
      <c r="H58" s="1">
        <v>0.3</v>
      </c>
      <c r="I58" s="1">
        <f t="shared" si="20"/>
        <v>1.1666666666666667</v>
      </c>
      <c r="J58" s="1">
        <f t="shared" si="21"/>
        <v>31304166666.666664</v>
      </c>
    </row>
    <row r="59" spans="1:10" x14ac:dyDescent="0.25">
      <c r="B59" s="1">
        <v>56500000000</v>
      </c>
      <c r="C59" s="1">
        <v>44500000000</v>
      </c>
      <c r="D59" s="1">
        <v>2.3999999999999998E-3</v>
      </c>
      <c r="E59">
        <f t="shared" ref="E59:E66" si="22">E58+0.0002</f>
        <v>-5.0000000000000001E-4</v>
      </c>
      <c r="F59" s="1">
        <v>2</v>
      </c>
      <c r="G59" s="1">
        <f t="shared" si="19"/>
        <v>0.50173611111111116</v>
      </c>
      <c r="H59" s="1">
        <v>0.3</v>
      </c>
      <c r="I59" s="1">
        <f t="shared" si="20"/>
        <v>0.83333333333333337</v>
      </c>
      <c r="J59" s="1">
        <f t="shared" si="21"/>
        <v>37854166666.666664</v>
      </c>
    </row>
    <row r="60" spans="1:10" x14ac:dyDescent="0.25">
      <c r="B60" s="1">
        <v>56500000000</v>
      </c>
      <c r="C60" s="1">
        <v>44500000000</v>
      </c>
      <c r="D60" s="1">
        <v>2.3999999999999998E-3</v>
      </c>
      <c r="E60">
        <f t="shared" si="22"/>
        <v>-3.0000000000000003E-4</v>
      </c>
      <c r="F60" s="1">
        <v>2</v>
      </c>
      <c r="G60" s="1">
        <f t="shared" si="19"/>
        <v>0.390625</v>
      </c>
      <c r="H60" s="1">
        <v>0.3</v>
      </c>
      <c r="I60" s="1">
        <f t="shared" si="20"/>
        <v>0.50000000000000011</v>
      </c>
      <c r="J60" s="1">
        <f t="shared" si="21"/>
        <v>44237500000</v>
      </c>
    </row>
    <row r="61" spans="1:10" x14ac:dyDescent="0.25">
      <c r="B61" s="1">
        <v>56500000000</v>
      </c>
      <c r="C61" s="1">
        <v>44500000000</v>
      </c>
      <c r="D61" s="1">
        <v>2.3999999999999998E-3</v>
      </c>
      <c r="E61">
        <f t="shared" si="22"/>
        <v>-1.0000000000000002E-4</v>
      </c>
      <c r="F61" s="1">
        <v>2</v>
      </c>
      <c r="G61" s="1">
        <f t="shared" si="19"/>
        <v>0.29340277777777773</v>
      </c>
      <c r="H61" s="1">
        <v>0.3</v>
      </c>
      <c r="I61" s="1">
        <f t="shared" si="20"/>
        <v>0.16666666666666671</v>
      </c>
      <c r="J61" s="1">
        <f t="shared" si="21"/>
        <v>50454166666.666664</v>
      </c>
    </row>
    <row r="62" spans="1:10" x14ac:dyDescent="0.25">
      <c r="B62" s="1">
        <v>56500000000</v>
      </c>
      <c r="C62" s="1">
        <v>44500000000</v>
      </c>
      <c r="D62" s="1">
        <v>2.3999999999999998E-3</v>
      </c>
      <c r="E62">
        <f t="shared" si="22"/>
        <v>9.9999999999999991E-5</v>
      </c>
      <c r="F62" s="1">
        <v>2</v>
      </c>
      <c r="G62" s="1">
        <f t="shared" si="19"/>
        <v>0.21006944444444442</v>
      </c>
      <c r="H62" s="1">
        <v>0.3</v>
      </c>
      <c r="I62" s="1">
        <f t="shared" si="20"/>
        <v>0.16666666666666666</v>
      </c>
      <c r="J62" s="1">
        <f t="shared" si="21"/>
        <v>51454166666.666664</v>
      </c>
    </row>
    <row r="63" spans="1:10" x14ac:dyDescent="0.25">
      <c r="B63" s="1">
        <v>56500000000</v>
      </c>
      <c r="C63" s="1">
        <v>44500000000</v>
      </c>
      <c r="D63" s="1">
        <v>2.3999999999999998E-3</v>
      </c>
      <c r="E63">
        <f t="shared" si="22"/>
        <v>3.0000000000000003E-4</v>
      </c>
      <c r="F63" s="1">
        <v>2</v>
      </c>
      <c r="G63" s="1">
        <f t="shared" si="19"/>
        <v>0.140625</v>
      </c>
      <c r="H63" s="1">
        <v>0.3</v>
      </c>
      <c r="I63" s="1">
        <f t="shared" si="20"/>
        <v>0.50000000000000011</v>
      </c>
      <c r="J63" s="1">
        <f t="shared" si="21"/>
        <v>47237500000</v>
      </c>
    </row>
    <row r="64" spans="1:10" x14ac:dyDescent="0.25">
      <c r="B64" s="1">
        <v>56500000000</v>
      </c>
      <c r="C64" s="1">
        <v>44500000000</v>
      </c>
      <c r="D64" s="1">
        <v>2.3999999999999998E-3</v>
      </c>
      <c r="E64">
        <f t="shared" si="22"/>
        <v>5.0000000000000001E-4</v>
      </c>
      <c r="F64" s="1">
        <v>2</v>
      </c>
      <c r="G64" s="1">
        <f t="shared" si="19"/>
        <v>8.506944444444442E-2</v>
      </c>
      <c r="H64" s="1">
        <v>0.3</v>
      </c>
      <c r="I64" s="1">
        <f t="shared" si="20"/>
        <v>0.83333333333333337</v>
      </c>
      <c r="J64" s="1">
        <f t="shared" si="21"/>
        <v>42854166666.666664</v>
      </c>
    </row>
    <row r="65" spans="1:10" x14ac:dyDescent="0.25">
      <c r="B65" s="1">
        <v>56500000000</v>
      </c>
      <c r="C65" s="1">
        <v>44500000000</v>
      </c>
      <c r="D65" s="1">
        <v>2.3999999999999998E-3</v>
      </c>
      <c r="E65">
        <f t="shared" si="22"/>
        <v>6.9999999999999999E-4</v>
      </c>
      <c r="F65" s="1">
        <v>2</v>
      </c>
      <c r="G65" s="1">
        <f t="shared" si="19"/>
        <v>4.3402777777777769E-2</v>
      </c>
      <c r="H65" s="1">
        <v>0.3</v>
      </c>
      <c r="I65" s="1">
        <f t="shared" si="20"/>
        <v>1.1666666666666667</v>
      </c>
      <c r="J65" s="1">
        <f t="shared" si="21"/>
        <v>38304166666.666664</v>
      </c>
    </row>
    <row r="66" spans="1:10" x14ac:dyDescent="0.25">
      <c r="B66" s="1">
        <v>56500000000</v>
      </c>
      <c r="C66" s="1">
        <v>44500000000</v>
      </c>
      <c r="D66" s="1">
        <v>2.3999999999999998E-3</v>
      </c>
      <c r="E66">
        <f t="shared" si="22"/>
        <v>8.9999999999999998E-4</v>
      </c>
      <c r="F66" s="1">
        <v>2</v>
      </c>
      <c r="G66" s="1">
        <f t="shared" si="19"/>
        <v>1.5625E-2</v>
      </c>
      <c r="H66" s="1">
        <v>0.3</v>
      </c>
      <c r="I66" s="1">
        <f t="shared" si="20"/>
        <v>1.5</v>
      </c>
      <c r="J66" s="1">
        <f t="shared" si="21"/>
        <v>33587500000</v>
      </c>
    </row>
    <row r="67" spans="1:10" x14ac:dyDescent="0.25">
      <c r="B67" s="1">
        <v>56500000000</v>
      </c>
      <c r="C67" s="1">
        <v>44500000000</v>
      </c>
      <c r="D67" s="1">
        <v>2.3999999999999998E-3</v>
      </c>
      <c r="E67" s="13">
        <v>1.1000000000000001E-3</v>
      </c>
      <c r="F67" s="1">
        <v>2</v>
      </c>
      <c r="G67" s="1">
        <f t="shared" si="19"/>
        <v>1.7361111111111034E-3</v>
      </c>
      <c r="H67" s="1">
        <v>0.3</v>
      </c>
      <c r="I67" s="1">
        <f t="shared" si="20"/>
        <v>1.8333333333333337</v>
      </c>
      <c r="J67" s="1">
        <f t="shared" si="21"/>
        <v>28704166666.66666</v>
      </c>
    </row>
    <row r="69" spans="1:10" x14ac:dyDescent="0.25">
      <c r="A69" s="9" t="s">
        <v>33</v>
      </c>
      <c r="B69" s="2" t="s">
        <v>187</v>
      </c>
      <c r="C69" s="2" t="s">
        <v>188</v>
      </c>
      <c r="D69" s="2" t="s">
        <v>189</v>
      </c>
      <c r="E69" s="2" t="s">
        <v>190</v>
      </c>
      <c r="F69" s="2" t="s">
        <v>191</v>
      </c>
      <c r="G69" s="2" t="s">
        <v>192</v>
      </c>
      <c r="H69" s="2" t="s">
        <v>193</v>
      </c>
      <c r="I69" s="2" t="s">
        <v>194</v>
      </c>
      <c r="J69" s="2" t="s">
        <v>195</v>
      </c>
    </row>
    <row r="70" spans="1:10" x14ac:dyDescent="0.25">
      <c r="B70" s="1">
        <v>52200000000</v>
      </c>
      <c r="C70" s="1">
        <v>51600000000</v>
      </c>
      <c r="D70" s="1">
        <v>2.3999999999999998E-3</v>
      </c>
      <c r="E70">
        <v>-1.1000000000000001E-3</v>
      </c>
      <c r="F70" s="1">
        <v>2</v>
      </c>
      <c r="G70" s="1">
        <f>(0.5-E70/D70)^F70</f>
        <v>0.91840277777777801</v>
      </c>
      <c r="H70" s="1">
        <v>0.3</v>
      </c>
      <c r="I70" s="1">
        <f>4*(ABS(E70)/D70)</f>
        <v>1.8333333333333337</v>
      </c>
      <c r="J70" s="1">
        <f>(C70-B70)*G70+B70-(B70+C70)*(H70/2)*I70</f>
        <v>23103958333.333328</v>
      </c>
    </row>
    <row r="71" spans="1:10" x14ac:dyDescent="0.25">
      <c r="B71" s="1">
        <v>52200000000</v>
      </c>
      <c r="C71" s="1">
        <v>51600000000</v>
      </c>
      <c r="D71" s="1">
        <v>2.3999999999999998E-3</v>
      </c>
      <c r="E71">
        <f>-0.001+0.0001</f>
        <v>-8.9999999999999998E-4</v>
      </c>
      <c r="F71" s="1">
        <v>2</v>
      </c>
      <c r="G71" s="1">
        <f t="shared" ref="G71:G81" si="23">(0.5-E71/D71)^F71</f>
        <v>0.765625</v>
      </c>
      <c r="H71" s="1">
        <v>0.3</v>
      </c>
      <c r="I71" s="1">
        <f t="shared" ref="I71:I81" si="24">4*(ABS(E71)/D71)</f>
        <v>1.5</v>
      </c>
      <c r="J71" s="1">
        <f t="shared" ref="J71:J81" si="25">(C71-B71)*G71+B71-(B71+C71)*(H71/2)*I71</f>
        <v>28385625000</v>
      </c>
    </row>
    <row r="72" spans="1:10" x14ac:dyDescent="0.25">
      <c r="B72" s="1">
        <v>52200000000</v>
      </c>
      <c r="C72" s="1">
        <v>51600000000</v>
      </c>
      <c r="D72" s="1">
        <v>2.3999999999999998E-3</v>
      </c>
      <c r="E72">
        <f>E71+0.0002</f>
        <v>-6.9999999999999999E-4</v>
      </c>
      <c r="F72" s="1">
        <v>2</v>
      </c>
      <c r="G72" s="1">
        <f t="shared" si="23"/>
        <v>0.62673611111111127</v>
      </c>
      <c r="H72" s="1">
        <v>0.3</v>
      </c>
      <c r="I72" s="1">
        <f t="shared" si="24"/>
        <v>1.1666666666666667</v>
      </c>
      <c r="J72" s="1">
        <f t="shared" si="25"/>
        <v>33658958333.333336</v>
      </c>
    </row>
    <row r="73" spans="1:10" x14ac:dyDescent="0.25">
      <c r="B73" s="1">
        <v>52200000000</v>
      </c>
      <c r="C73" s="1">
        <v>51600000000</v>
      </c>
      <c r="D73" s="1">
        <v>2.3999999999999998E-3</v>
      </c>
      <c r="E73">
        <f t="shared" ref="E73:E80" si="26">E72+0.0002</f>
        <v>-5.0000000000000001E-4</v>
      </c>
      <c r="F73" s="1">
        <v>2</v>
      </c>
      <c r="G73" s="1">
        <f t="shared" si="23"/>
        <v>0.50173611111111116</v>
      </c>
      <c r="H73" s="1">
        <v>0.3</v>
      </c>
      <c r="I73" s="1">
        <f t="shared" si="24"/>
        <v>0.83333333333333337</v>
      </c>
      <c r="J73" s="1">
        <f t="shared" si="25"/>
        <v>38923958333.333336</v>
      </c>
    </row>
    <row r="74" spans="1:10" x14ac:dyDescent="0.25">
      <c r="B74" s="1">
        <v>52200000000</v>
      </c>
      <c r="C74" s="1">
        <v>51600000000</v>
      </c>
      <c r="D74" s="1">
        <v>2.3999999999999998E-3</v>
      </c>
      <c r="E74">
        <f t="shared" si="26"/>
        <v>-3.0000000000000003E-4</v>
      </c>
      <c r="F74" s="1">
        <v>2</v>
      </c>
      <c r="G74" s="1">
        <f t="shared" si="23"/>
        <v>0.390625</v>
      </c>
      <c r="H74" s="1">
        <v>0.3</v>
      </c>
      <c r="I74" s="1">
        <f t="shared" si="24"/>
        <v>0.50000000000000011</v>
      </c>
      <c r="J74" s="1">
        <f t="shared" si="25"/>
        <v>44180625000</v>
      </c>
    </row>
    <row r="75" spans="1:10" x14ac:dyDescent="0.25">
      <c r="B75" s="1">
        <v>52200000000</v>
      </c>
      <c r="C75" s="1">
        <v>51600000000</v>
      </c>
      <c r="D75" s="1">
        <v>2.3999999999999998E-3</v>
      </c>
      <c r="E75">
        <f t="shared" si="26"/>
        <v>-1.0000000000000002E-4</v>
      </c>
      <c r="F75" s="1">
        <v>2</v>
      </c>
      <c r="G75" s="1">
        <f t="shared" si="23"/>
        <v>0.29340277777777773</v>
      </c>
      <c r="H75" s="1">
        <v>0.3</v>
      </c>
      <c r="I75" s="1">
        <f t="shared" si="24"/>
        <v>0.16666666666666671</v>
      </c>
      <c r="J75" s="1">
        <f t="shared" si="25"/>
        <v>49428958333.333336</v>
      </c>
    </row>
    <row r="76" spans="1:10" x14ac:dyDescent="0.25">
      <c r="B76" s="1">
        <v>52200000000</v>
      </c>
      <c r="C76" s="1">
        <v>51600000000</v>
      </c>
      <c r="D76" s="1">
        <v>2.3999999999999998E-3</v>
      </c>
      <c r="E76">
        <f t="shared" si="26"/>
        <v>9.9999999999999991E-5</v>
      </c>
      <c r="F76" s="1">
        <v>2</v>
      </c>
      <c r="G76" s="1">
        <f t="shared" si="23"/>
        <v>0.21006944444444442</v>
      </c>
      <c r="H76" s="1">
        <v>0.3</v>
      </c>
      <c r="I76" s="1">
        <f t="shared" si="24"/>
        <v>0.16666666666666666</v>
      </c>
      <c r="J76" s="1">
        <f t="shared" si="25"/>
        <v>49478958333.333336</v>
      </c>
    </row>
    <row r="77" spans="1:10" x14ac:dyDescent="0.25">
      <c r="B77" s="1">
        <v>52200000000</v>
      </c>
      <c r="C77" s="1">
        <v>51600000000</v>
      </c>
      <c r="D77" s="1">
        <v>2.3999999999999998E-3</v>
      </c>
      <c r="E77">
        <f t="shared" si="26"/>
        <v>3.0000000000000003E-4</v>
      </c>
      <c r="F77" s="1">
        <v>2</v>
      </c>
      <c r="G77" s="1">
        <f t="shared" si="23"/>
        <v>0.140625</v>
      </c>
      <c r="H77" s="1">
        <v>0.3</v>
      </c>
      <c r="I77" s="1">
        <f t="shared" si="24"/>
        <v>0.50000000000000011</v>
      </c>
      <c r="J77" s="1">
        <f t="shared" si="25"/>
        <v>44330625000</v>
      </c>
    </row>
    <row r="78" spans="1:10" x14ac:dyDescent="0.25">
      <c r="B78" s="1">
        <v>52200000000</v>
      </c>
      <c r="C78" s="1">
        <v>51600000000</v>
      </c>
      <c r="D78" s="1">
        <v>2.3999999999999998E-3</v>
      </c>
      <c r="E78">
        <f t="shared" si="26"/>
        <v>5.0000000000000001E-4</v>
      </c>
      <c r="F78" s="1">
        <v>2</v>
      </c>
      <c r="G78" s="1">
        <f t="shared" si="23"/>
        <v>8.506944444444442E-2</v>
      </c>
      <c r="H78" s="1">
        <v>0.3</v>
      </c>
      <c r="I78" s="1">
        <f t="shared" si="24"/>
        <v>0.83333333333333337</v>
      </c>
      <c r="J78" s="1">
        <f t="shared" si="25"/>
        <v>39173958333.333336</v>
      </c>
    </row>
    <row r="79" spans="1:10" x14ac:dyDescent="0.25">
      <c r="B79" s="1">
        <v>52200000000</v>
      </c>
      <c r="C79" s="1">
        <v>51600000000</v>
      </c>
      <c r="D79" s="1">
        <v>2.3999999999999998E-3</v>
      </c>
      <c r="E79">
        <f t="shared" si="26"/>
        <v>6.9999999999999999E-4</v>
      </c>
      <c r="F79" s="1">
        <v>2</v>
      </c>
      <c r="G79" s="1">
        <f t="shared" si="23"/>
        <v>4.3402777777777769E-2</v>
      </c>
      <c r="H79" s="1">
        <v>0.3</v>
      </c>
      <c r="I79" s="1">
        <f t="shared" si="24"/>
        <v>1.1666666666666667</v>
      </c>
      <c r="J79" s="1">
        <f t="shared" si="25"/>
        <v>34008958333.333336</v>
      </c>
    </row>
    <row r="80" spans="1:10" x14ac:dyDescent="0.25">
      <c r="B80" s="1">
        <v>52200000000</v>
      </c>
      <c r="C80" s="1">
        <v>51600000000</v>
      </c>
      <c r="D80" s="1">
        <v>2.3999999999999998E-3</v>
      </c>
      <c r="E80">
        <f t="shared" si="26"/>
        <v>8.9999999999999998E-4</v>
      </c>
      <c r="F80" s="1">
        <v>2</v>
      </c>
      <c r="G80" s="1">
        <f t="shared" si="23"/>
        <v>1.5625E-2</v>
      </c>
      <c r="H80" s="1">
        <v>0.3</v>
      </c>
      <c r="I80" s="1">
        <f t="shared" si="24"/>
        <v>1.5</v>
      </c>
      <c r="J80" s="1">
        <f t="shared" si="25"/>
        <v>28835625000</v>
      </c>
    </row>
    <row r="81" spans="1:10" x14ac:dyDescent="0.25">
      <c r="B81" s="1">
        <v>52200000000</v>
      </c>
      <c r="C81" s="1">
        <v>51600000000</v>
      </c>
      <c r="D81" s="1">
        <v>2.3999999999999998E-3</v>
      </c>
      <c r="E81" s="13">
        <v>1.1000000000000001E-3</v>
      </c>
      <c r="F81" s="1">
        <v>2</v>
      </c>
      <c r="G81" s="1">
        <f t="shared" si="23"/>
        <v>1.7361111111111034E-3</v>
      </c>
      <c r="H81" s="1">
        <v>0.3</v>
      </c>
      <c r="I81" s="1">
        <f t="shared" si="24"/>
        <v>1.8333333333333337</v>
      </c>
      <c r="J81" s="1">
        <f t="shared" si="25"/>
        <v>23653958333.333328</v>
      </c>
    </row>
    <row r="83" spans="1:10" x14ac:dyDescent="0.25">
      <c r="A83" s="9" t="s">
        <v>196</v>
      </c>
      <c r="B83" s="2" t="s">
        <v>187</v>
      </c>
      <c r="C83" s="2" t="s">
        <v>188</v>
      </c>
      <c r="D83" s="2" t="s">
        <v>189</v>
      </c>
      <c r="E83" s="2" t="s">
        <v>190</v>
      </c>
      <c r="F83" s="2" t="s">
        <v>191</v>
      </c>
      <c r="G83" s="2" t="s">
        <v>192</v>
      </c>
      <c r="H83" s="2" t="s">
        <v>193</v>
      </c>
      <c r="I83" s="2" t="s">
        <v>194</v>
      </c>
      <c r="J83" s="2" t="s">
        <v>195</v>
      </c>
    </row>
    <row r="84" spans="1:10" x14ac:dyDescent="0.25">
      <c r="B84">
        <v>0</v>
      </c>
      <c r="C84" s="1">
        <v>-7.9837940896091497E-11</v>
      </c>
      <c r="D84" s="1">
        <v>2.3999999999999998E-3</v>
      </c>
      <c r="E84">
        <v>-1.1000000000000001E-3</v>
      </c>
      <c r="F84" s="1">
        <v>2</v>
      </c>
      <c r="G84" s="1">
        <f>(0.5-E84/D84)^F84</f>
        <v>0.91840277777777801</v>
      </c>
      <c r="H84" s="1">
        <v>0.3</v>
      </c>
      <c r="I84" s="1">
        <f>4*(ABS(E84)/D84)</f>
        <v>1.8333333333333337</v>
      </c>
      <c r="J84" s="1">
        <f>(C84-B84)*G84+B84-(B84+C84)*(H84/2)*I84</f>
        <v>-5.1367952944603327E-11</v>
      </c>
    </row>
    <row r="85" spans="1:10" x14ac:dyDescent="0.25">
      <c r="B85">
        <v>0</v>
      </c>
      <c r="C85" s="1">
        <v>-7.9837940896091497E-11</v>
      </c>
      <c r="D85" s="1">
        <v>2.3999999999999998E-3</v>
      </c>
      <c r="E85">
        <f>-0.001+0.0001</f>
        <v>-8.9999999999999998E-4</v>
      </c>
      <c r="F85" s="1">
        <v>2</v>
      </c>
      <c r="G85" s="1">
        <f t="shared" ref="G85:G95" si="27">(0.5-E85/D85)^F85</f>
        <v>0.765625</v>
      </c>
      <c r="H85" s="1">
        <v>0.3</v>
      </c>
      <c r="I85" s="1">
        <f t="shared" ref="I85:I95" si="28">4*(ABS(E85)/D85)</f>
        <v>1.5</v>
      </c>
      <c r="J85" s="1">
        <f t="shared" ref="J85:J95" si="29">(C85-B85)*G85+B85-(B85+C85)*(H85/2)*I85</f>
        <v>-4.3162386796949465E-11</v>
      </c>
    </row>
    <row r="86" spans="1:10" x14ac:dyDescent="0.25">
      <c r="B86">
        <v>0</v>
      </c>
      <c r="C86" s="1">
        <v>-7.9837940896091497E-11</v>
      </c>
      <c r="D86" s="1">
        <v>2.3999999999999998E-3</v>
      </c>
      <c r="E86">
        <f>E85+0.0002</f>
        <v>-6.9999999999999999E-4</v>
      </c>
      <c r="F86" s="1">
        <v>2</v>
      </c>
      <c r="G86" s="1">
        <f t="shared" si="27"/>
        <v>0.62673611111111127</v>
      </c>
      <c r="H86" s="1">
        <v>0.3</v>
      </c>
      <c r="I86" s="1">
        <f t="shared" si="28"/>
        <v>1.1666666666666667</v>
      </c>
      <c r="J86" s="1">
        <f t="shared" si="29"/>
        <v>-3.6065680939519125E-11</v>
      </c>
    </row>
    <row r="87" spans="1:10" x14ac:dyDescent="0.25">
      <c r="B87">
        <v>0</v>
      </c>
      <c r="C87" s="1">
        <v>-7.9837940896091497E-11</v>
      </c>
      <c r="D87" s="1">
        <v>2.3999999999999998E-3</v>
      </c>
      <c r="E87">
        <f t="shared" ref="E87:E94" si="30">E86+0.0002</f>
        <v>-5.0000000000000001E-4</v>
      </c>
      <c r="F87" s="1">
        <v>2</v>
      </c>
      <c r="G87" s="1">
        <f t="shared" si="27"/>
        <v>0.50173611111111116</v>
      </c>
      <c r="H87" s="1">
        <v>0.3</v>
      </c>
      <c r="I87" s="1">
        <f t="shared" si="28"/>
        <v>0.83333333333333337</v>
      </c>
      <c r="J87" s="1">
        <f t="shared" si="29"/>
        <v>-3.0077835372312247E-11</v>
      </c>
    </row>
    <row r="88" spans="1:10" x14ac:dyDescent="0.25">
      <c r="B88">
        <v>0</v>
      </c>
      <c r="C88" s="1">
        <v>-7.9837940896091497E-11</v>
      </c>
      <c r="D88" s="1">
        <v>2.3999999999999998E-3</v>
      </c>
      <c r="E88">
        <f t="shared" si="30"/>
        <v>-3.0000000000000003E-4</v>
      </c>
      <c r="F88" s="1">
        <v>2</v>
      </c>
      <c r="G88" s="1">
        <f t="shared" si="27"/>
        <v>0.390625</v>
      </c>
      <c r="H88" s="1">
        <v>0.3</v>
      </c>
      <c r="I88" s="1">
        <f t="shared" si="28"/>
        <v>0.50000000000000011</v>
      </c>
      <c r="J88" s="1">
        <f t="shared" si="29"/>
        <v>-2.5198850095328878E-11</v>
      </c>
    </row>
    <row r="89" spans="1:10" x14ac:dyDescent="0.25">
      <c r="B89">
        <v>0</v>
      </c>
      <c r="C89" s="1">
        <v>-7.9837940896091497E-11</v>
      </c>
      <c r="D89" s="1">
        <v>2.3999999999999998E-3</v>
      </c>
      <c r="E89">
        <f t="shared" si="30"/>
        <v>-1.0000000000000002E-4</v>
      </c>
      <c r="F89" s="1">
        <v>2</v>
      </c>
      <c r="G89" s="1">
        <f t="shared" si="27"/>
        <v>0.29340277777777773</v>
      </c>
      <c r="H89" s="1">
        <v>0.3</v>
      </c>
      <c r="I89" s="1">
        <f t="shared" si="28"/>
        <v>0.16666666666666671</v>
      </c>
      <c r="J89" s="1">
        <f t="shared" si="29"/>
        <v>-2.1428725108568998E-11</v>
      </c>
    </row>
    <row r="90" spans="1:10" x14ac:dyDescent="0.25">
      <c r="B90">
        <v>0</v>
      </c>
      <c r="C90" s="1">
        <v>-7.9837940896091497E-11</v>
      </c>
      <c r="D90" s="1">
        <v>2.3999999999999998E-3</v>
      </c>
      <c r="E90">
        <f t="shared" si="30"/>
        <v>9.9999999999999991E-5</v>
      </c>
      <c r="F90" s="1">
        <v>2</v>
      </c>
      <c r="G90" s="1">
        <f t="shared" si="27"/>
        <v>0.21006944444444442</v>
      </c>
      <c r="H90" s="1">
        <v>0.3</v>
      </c>
      <c r="I90" s="1">
        <f t="shared" si="28"/>
        <v>0.16666666666666666</v>
      </c>
      <c r="J90" s="1">
        <f t="shared" si="29"/>
        <v>-1.4775563367228042E-11</v>
      </c>
    </row>
    <row r="91" spans="1:10" x14ac:dyDescent="0.25">
      <c r="B91">
        <v>0</v>
      </c>
      <c r="C91" s="1">
        <v>-7.9837940896091497E-11</v>
      </c>
      <c r="D91" s="1">
        <v>2.3999999999999998E-3</v>
      </c>
      <c r="E91">
        <f t="shared" si="30"/>
        <v>3.0000000000000003E-4</v>
      </c>
      <c r="F91" s="1">
        <v>2</v>
      </c>
      <c r="G91" s="1">
        <f t="shared" si="27"/>
        <v>0.140625</v>
      </c>
      <c r="H91" s="1">
        <v>0.3</v>
      </c>
      <c r="I91" s="1">
        <f t="shared" si="28"/>
        <v>0.50000000000000011</v>
      </c>
      <c r="J91" s="1">
        <f t="shared" si="29"/>
        <v>-5.2393648713060032E-12</v>
      </c>
    </row>
    <row r="92" spans="1:10" x14ac:dyDescent="0.25">
      <c r="B92">
        <v>0</v>
      </c>
      <c r="C92" s="1">
        <v>-7.9837940896091497E-11</v>
      </c>
      <c r="D92" s="1">
        <v>2.3999999999999998E-3</v>
      </c>
      <c r="E92">
        <f t="shared" si="30"/>
        <v>5.0000000000000001E-4</v>
      </c>
      <c r="F92" s="1">
        <v>2</v>
      </c>
      <c r="G92" s="1">
        <f t="shared" si="27"/>
        <v>8.506944444444442E-2</v>
      </c>
      <c r="H92" s="1">
        <v>0.3</v>
      </c>
      <c r="I92" s="1">
        <f t="shared" si="28"/>
        <v>0.83333333333333337</v>
      </c>
      <c r="J92" s="1">
        <f t="shared" si="29"/>
        <v>3.1879733343925443E-12</v>
      </c>
    </row>
    <row r="93" spans="1:10" x14ac:dyDescent="0.25">
      <c r="B93">
        <v>0</v>
      </c>
      <c r="C93" s="1">
        <v>-7.9837940896091497E-11</v>
      </c>
      <c r="D93" s="1">
        <v>2.3999999999999998E-3</v>
      </c>
      <c r="E93">
        <f t="shared" si="30"/>
        <v>6.9999999999999999E-4</v>
      </c>
      <c r="F93" s="1">
        <v>2</v>
      </c>
      <c r="G93" s="1">
        <f t="shared" si="27"/>
        <v>4.3402777777777769E-2</v>
      </c>
      <c r="H93" s="1">
        <v>0.3</v>
      </c>
      <c r="I93" s="1">
        <f t="shared" si="28"/>
        <v>1.1666666666666667</v>
      </c>
      <c r="J93" s="1">
        <f t="shared" si="29"/>
        <v>1.0506451249867599E-11</v>
      </c>
    </row>
    <row r="94" spans="1:10" x14ac:dyDescent="0.25">
      <c r="B94">
        <v>0</v>
      </c>
      <c r="C94" s="1">
        <v>-7.9837940896091497E-11</v>
      </c>
      <c r="D94" s="1">
        <v>2.3999999999999998E-3</v>
      </c>
      <c r="E94">
        <f t="shared" si="30"/>
        <v>8.9999999999999998E-4</v>
      </c>
      <c r="F94" s="1">
        <v>2</v>
      </c>
      <c r="G94" s="1">
        <f t="shared" si="27"/>
        <v>1.5625E-2</v>
      </c>
      <c r="H94" s="1">
        <v>0.3</v>
      </c>
      <c r="I94" s="1">
        <f t="shared" si="28"/>
        <v>1.5</v>
      </c>
      <c r="J94" s="1">
        <f t="shared" si="29"/>
        <v>1.6716068875119157E-11</v>
      </c>
    </row>
    <row r="95" spans="1:10" x14ac:dyDescent="0.25">
      <c r="B95">
        <v>0</v>
      </c>
      <c r="C95" s="1">
        <v>-7.9837940896091497E-11</v>
      </c>
      <c r="D95" s="1">
        <v>2.3999999999999998E-3</v>
      </c>
      <c r="E95" s="13">
        <v>1.1000000000000001E-3</v>
      </c>
      <c r="F95" s="1">
        <v>2</v>
      </c>
      <c r="G95" s="1">
        <f t="shared" si="27"/>
        <v>1.7361111111111034E-3</v>
      </c>
      <c r="H95" s="1">
        <v>0.3</v>
      </c>
      <c r="I95" s="1">
        <f t="shared" si="28"/>
        <v>1.8333333333333337</v>
      </c>
      <c r="J95" s="1">
        <f t="shared" si="29"/>
        <v>2.181682621014723E-11</v>
      </c>
    </row>
    <row r="97" spans="1:10" x14ac:dyDescent="0.25">
      <c r="A97" s="9" t="s">
        <v>39</v>
      </c>
      <c r="B97" s="2" t="s">
        <v>187</v>
      </c>
      <c r="C97" s="2" t="s">
        <v>188</v>
      </c>
      <c r="D97" s="2" t="s">
        <v>189</v>
      </c>
      <c r="E97" s="2" t="s">
        <v>190</v>
      </c>
      <c r="F97" s="2" t="s">
        <v>191</v>
      </c>
      <c r="G97" s="2" t="s">
        <v>192</v>
      </c>
      <c r="H97" s="2" t="s">
        <v>193</v>
      </c>
      <c r="I97" s="2" t="s">
        <v>194</v>
      </c>
      <c r="J97" s="2" t="s">
        <v>195</v>
      </c>
    </row>
    <row r="98" spans="1:10" x14ac:dyDescent="0.25">
      <c r="B98" s="1">
        <v>138.44155844155841</v>
      </c>
      <c r="C98" s="1">
        <v>0</v>
      </c>
      <c r="D98" s="1">
        <v>2.3999999999999998E-3</v>
      </c>
      <c r="E98">
        <v>-1.1000000000000001E-3</v>
      </c>
      <c r="F98" s="1">
        <v>2</v>
      </c>
      <c r="G98" s="1">
        <f>(0.5-E98/D98)^F98</f>
        <v>0.91840277777777801</v>
      </c>
      <c r="H98" s="1">
        <v>0.3</v>
      </c>
      <c r="I98" s="1">
        <f>4*(ABS(E98)/D98)</f>
        <v>1.8333333333333337</v>
      </c>
      <c r="J98" s="1">
        <f>(C98-B98)*G98+B98-(B98+C98)*(H98/2)*I98</f>
        <v>-26.774981962482002</v>
      </c>
    </row>
    <row r="99" spans="1:10" x14ac:dyDescent="0.25">
      <c r="B99" s="1">
        <v>138.44155844155841</v>
      </c>
      <c r="C99" s="1">
        <v>0</v>
      </c>
      <c r="D99" s="1">
        <v>2.3999999999999998E-3</v>
      </c>
      <c r="E99">
        <f>-0.001+0.0001</f>
        <v>-8.9999999999999998E-4</v>
      </c>
      <c r="F99" s="1">
        <v>2</v>
      </c>
      <c r="G99" s="1">
        <f t="shared" ref="G99:G109" si="31">(0.5-E99/D99)^F99</f>
        <v>0.765625</v>
      </c>
      <c r="H99" s="1">
        <v>0.3</v>
      </c>
      <c r="I99" s="1">
        <f t="shared" ref="I99:I109" si="32">4*(ABS(E99)/D99)</f>
        <v>1.5</v>
      </c>
      <c r="J99" s="1">
        <f t="shared" ref="J99:J109" si="33">(C99-B99)*G99+B99-(B99+C99)*(H99/2)*I99</f>
        <v>1.297889610389614</v>
      </c>
    </row>
    <row r="100" spans="1:10" x14ac:dyDescent="0.25">
      <c r="B100" s="1">
        <v>138.44155844155841</v>
      </c>
      <c r="C100" s="1">
        <v>0</v>
      </c>
      <c r="D100" s="1">
        <v>2.3999999999999998E-3</v>
      </c>
      <c r="E100">
        <f>E99+0.0002</f>
        <v>-6.9999999999999999E-4</v>
      </c>
      <c r="F100" s="1">
        <v>2</v>
      </c>
      <c r="G100" s="1">
        <f t="shared" si="31"/>
        <v>0.62673611111111127</v>
      </c>
      <c r="H100" s="1">
        <v>0.3</v>
      </c>
      <c r="I100" s="1">
        <f t="shared" si="32"/>
        <v>1.1666666666666667</v>
      </c>
      <c r="J100" s="1">
        <f t="shared" si="33"/>
        <v>27.447961760461734</v>
      </c>
    </row>
    <row r="101" spans="1:10" x14ac:dyDescent="0.25">
      <c r="B101" s="1">
        <v>138.44155844155841</v>
      </c>
      <c r="C101" s="1">
        <v>0</v>
      </c>
      <c r="D101" s="1">
        <v>2.3999999999999998E-3</v>
      </c>
      <c r="E101">
        <f t="shared" ref="E101:E108" si="34">E100+0.0002</f>
        <v>-5.0000000000000001E-4</v>
      </c>
      <c r="F101" s="1">
        <v>2</v>
      </c>
      <c r="G101" s="1">
        <f t="shared" si="31"/>
        <v>0.50173611111111116</v>
      </c>
      <c r="H101" s="1">
        <v>0.3</v>
      </c>
      <c r="I101" s="1">
        <f t="shared" si="32"/>
        <v>0.83333333333333337</v>
      </c>
      <c r="J101" s="1">
        <f t="shared" si="33"/>
        <v>51.675234487734471</v>
      </c>
    </row>
    <row r="102" spans="1:10" x14ac:dyDescent="0.25">
      <c r="B102" s="1">
        <v>138.44155844155841</v>
      </c>
      <c r="C102" s="1">
        <v>0</v>
      </c>
      <c r="D102" s="1">
        <v>2.3999999999999998E-3</v>
      </c>
      <c r="E102">
        <f t="shared" si="34"/>
        <v>-3.0000000000000003E-4</v>
      </c>
      <c r="F102" s="1">
        <v>2</v>
      </c>
      <c r="G102" s="1">
        <f t="shared" si="31"/>
        <v>0.390625</v>
      </c>
      <c r="H102" s="1">
        <v>0.3</v>
      </c>
      <c r="I102" s="1">
        <f t="shared" si="32"/>
        <v>0.50000000000000011</v>
      </c>
      <c r="J102" s="1">
        <f t="shared" si="33"/>
        <v>73.979707792207776</v>
      </c>
    </row>
    <row r="103" spans="1:10" x14ac:dyDescent="0.25">
      <c r="B103" s="1">
        <v>138.44155844155841</v>
      </c>
      <c r="C103" s="1">
        <v>0</v>
      </c>
      <c r="D103" s="1">
        <v>2.3999999999999998E-3</v>
      </c>
      <c r="E103">
        <f t="shared" si="34"/>
        <v>-1.0000000000000002E-4</v>
      </c>
      <c r="F103" s="1">
        <v>2</v>
      </c>
      <c r="G103" s="1">
        <f t="shared" si="31"/>
        <v>0.29340277777777773</v>
      </c>
      <c r="H103" s="1">
        <v>0.3</v>
      </c>
      <c r="I103" s="1">
        <f t="shared" si="32"/>
        <v>0.16666666666666671</v>
      </c>
      <c r="J103" s="1">
        <f t="shared" si="33"/>
        <v>94.361381673881652</v>
      </c>
    </row>
    <row r="104" spans="1:10" x14ac:dyDescent="0.25">
      <c r="B104" s="1">
        <v>138.44155844155841</v>
      </c>
      <c r="C104" s="1">
        <v>0</v>
      </c>
      <c r="D104" s="1">
        <v>2.3999999999999998E-3</v>
      </c>
      <c r="E104">
        <f t="shared" si="34"/>
        <v>9.9999999999999991E-5</v>
      </c>
      <c r="F104" s="1">
        <v>2</v>
      </c>
      <c r="G104" s="1">
        <f t="shared" si="31"/>
        <v>0.21006944444444442</v>
      </c>
      <c r="H104" s="1">
        <v>0.3</v>
      </c>
      <c r="I104" s="1">
        <f t="shared" si="32"/>
        <v>0.16666666666666666</v>
      </c>
      <c r="J104" s="1">
        <f t="shared" si="33"/>
        <v>105.89817821067818</v>
      </c>
    </row>
    <row r="105" spans="1:10" x14ac:dyDescent="0.25">
      <c r="B105" s="1">
        <v>138.44155844155841</v>
      </c>
      <c r="C105" s="1">
        <v>0</v>
      </c>
      <c r="D105" s="1">
        <v>2.3999999999999998E-3</v>
      </c>
      <c r="E105">
        <f t="shared" si="34"/>
        <v>3.0000000000000003E-4</v>
      </c>
      <c r="F105" s="1">
        <v>2</v>
      </c>
      <c r="G105" s="1">
        <f t="shared" si="31"/>
        <v>0.140625</v>
      </c>
      <c r="H105" s="1">
        <v>0.3</v>
      </c>
      <c r="I105" s="1">
        <f t="shared" si="32"/>
        <v>0.50000000000000011</v>
      </c>
      <c r="J105" s="1">
        <f t="shared" si="33"/>
        <v>108.59009740259738</v>
      </c>
    </row>
    <row r="106" spans="1:10" x14ac:dyDescent="0.25">
      <c r="B106" s="1">
        <v>138.44155844155841</v>
      </c>
      <c r="C106" s="1">
        <v>0</v>
      </c>
      <c r="D106" s="1">
        <v>2.3999999999999998E-3</v>
      </c>
      <c r="E106">
        <f t="shared" si="34"/>
        <v>5.0000000000000001E-4</v>
      </c>
      <c r="F106" s="1">
        <v>2</v>
      </c>
      <c r="G106" s="1">
        <f t="shared" si="31"/>
        <v>8.506944444444442E-2</v>
      </c>
      <c r="H106" s="1">
        <v>0.3</v>
      </c>
      <c r="I106" s="1">
        <f t="shared" si="32"/>
        <v>0.83333333333333337</v>
      </c>
      <c r="J106" s="1">
        <f t="shared" si="33"/>
        <v>109.35921717171715</v>
      </c>
    </row>
    <row r="107" spans="1:10" x14ac:dyDescent="0.25">
      <c r="B107" s="1">
        <v>138.44155844155841</v>
      </c>
      <c r="C107" s="1">
        <v>0</v>
      </c>
      <c r="D107" s="1">
        <v>2.3999999999999998E-3</v>
      </c>
      <c r="E107">
        <f t="shared" si="34"/>
        <v>6.9999999999999999E-4</v>
      </c>
      <c r="F107" s="1">
        <v>2</v>
      </c>
      <c r="G107" s="1">
        <f t="shared" si="31"/>
        <v>4.3402777777777769E-2</v>
      </c>
      <c r="H107" s="1">
        <v>0.3</v>
      </c>
      <c r="I107" s="1">
        <f t="shared" si="32"/>
        <v>1.1666666666666667</v>
      </c>
      <c r="J107" s="1">
        <f t="shared" si="33"/>
        <v>108.20553751803749</v>
      </c>
    </row>
    <row r="108" spans="1:10" x14ac:dyDescent="0.25">
      <c r="B108" s="1">
        <v>138.44155844155841</v>
      </c>
      <c r="C108" s="1">
        <v>0</v>
      </c>
      <c r="D108" s="1">
        <v>2.3999999999999998E-3</v>
      </c>
      <c r="E108">
        <f t="shared" si="34"/>
        <v>8.9999999999999998E-4</v>
      </c>
      <c r="F108" s="1">
        <v>2</v>
      </c>
      <c r="G108" s="1">
        <f t="shared" si="31"/>
        <v>1.5625E-2</v>
      </c>
      <c r="H108" s="1">
        <v>0.3</v>
      </c>
      <c r="I108" s="1">
        <f t="shared" si="32"/>
        <v>1.5</v>
      </c>
      <c r="J108" s="1">
        <f t="shared" si="33"/>
        <v>105.12905844155843</v>
      </c>
    </row>
    <row r="109" spans="1:10" x14ac:dyDescent="0.25">
      <c r="B109" s="1">
        <v>138.44155844155841</v>
      </c>
      <c r="C109" s="1">
        <v>0</v>
      </c>
      <c r="D109" s="1">
        <v>2.3999999999999998E-3</v>
      </c>
      <c r="E109" s="13">
        <v>1.1000000000000001E-3</v>
      </c>
      <c r="F109" s="1">
        <v>2</v>
      </c>
      <c r="G109" s="1">
        <f t="shared" si="31"/>
        <v>1.7361111111111034E-3</v>
      </c>
      <c r="H109" s="1">
        <v>0.3</v>
      </c>
      <c r="I109" s="1">
        <f t="shared" si="32"/>
        <v>1.8333333333333337</v>
      </c>
      <c r="J109" s="1">
        <f t="shared" si="33"/>
        <v>100.12977994227991</v>
      </c>
    </row>
    <row r="111" spans="1:10" x14ac:dyDescent="0.25">
      <c r="A111" s="9" t="s">
        <v>41</v>
      </c>
      <c r="B111" s="2" t="s">
        <v>187</v>
      </c>
      <c r="C111" s="2" t="s">
        <v>188</v>
      </c>
      <c r="D111" s="2" t="s">
        <v>189</v>
      </c>
      <c r="E111" s="2" t="s">
        <v>190</v>
      </c>
      <c r="F111" s="2" t="s">
        <v>191</v>
      </c>
      <c r="G111" s="2" t="s">
        <v>192</v>
      </c>
      <c r="H111" s="2" t="s">
        <v>193</v>
      </c>
      <c r="I111" s="2" t="s">
        <v>194</v>
      </c>
      <c r="J111" s="2" t="s">
        <v>195</v>
      </c>
    </row>
    <row r="112" spans="1:10" x14ac:dyDescent="0.25">
      <c r="B112">
        <v>9.3000000000000002E-11</v>
      </c>
      <c r="C112">
        <v>1.4735555555555557E-8</v>
      </c>
      <c r="D112" s="1">
        <v>2.3999999999999998E-3</v>
      </c>
      <c r="E112">
        <v>-1.1000000000000001E-3</v>
      </c>
      <c r="F112" s="1">
        <v>2</v>
      </c>
      <c r="G112" s="1">
        <f>(0.5-E112/D112)^F112</f>
        <v>0.91840277777777801</v>
      </c>
      <c r="H112" s="1">
        <v>0.3</v>
      </c>
      <c r="I112" s="1">
        <f>4*(ABS(E112)/D112)</f>
        <v>1.8333333333333337</v>
      </c>
      <c r="J112" s="1">
        <f>(C112-B112)*G112+B112-(B112+C112)*(H112/2)*I112</f>
        <v>9.4629109182098814E-9</v>
      </c>
    </row>
    <row r="113" spans="1:10" x14ac:dyDescent="0.25">
      <c r="B113">
        <v>9.3000000000000002E-11</v>
      </c>
      <c r="C113">
        <v>1.4735555555555557E-8</v>
      </c>
      <c r="D113" s="1">
        <v>2.3999999999999998E-3</v>
      </c>
      <c r="E113">
        <f>-0.001+0.0001</f>
        <v>-8.9999999999999998E-4</v>
      </c>
      <c r="F113" s="1">
        <v>2</v>
      </c>
      <c r="G113" s="1">
        <f t="shared" ref="G113:G123" si="35">(0.5-E113/D113)^F113</f>
        <v>0.765625</v>
      </c>
      <c r="H113" s="1">
        <v>0.3</v>
      </c>
      <c r="I113" s="1">
        <f t="shared" ref="I113:I123" si="36">4*(ABS(E113)/D113)</f>
        <v>1.5</v>
      </c>
      <c r="J113" s="1">
        <f t="shared" ref="J113:J123" si="37">(C113-B113)*G113+B113-(B113+C113)*(H113/2)*I113</f>
        <v>7.9672815972222232E-9</v>
      </c>
    </row>
    <row r="114" spans="1:10" x14ac:dyDescent="0.25">
      <c r="B114">
        <v>9.3000000000000002E-11</v>
      </c>
      <c r="C114">
        <v>1.4735555555555557E-8</v>
      </c>
      <c r="D114" s="1">
        <v>2.3999999999999998E-3</v>
      </c>
      <c r="E114">
        <f>E113+0.0002</f>
        <v>-6.9999999999999999E-4</v>
      </c>
      <c r="F114" s="1">
        <v>2</v>
      </c>
      <c r="G114" s="1">
        <f t="shared" si="35"/>
        <v>0.62673611111111127</v>
      </c>
      <c r="H114" s="1">
        <v>0.3</v>
      </c>
      <c r="I114" s="1">
        <f t="shared" si="36"/>
        <v>1.1666666666666667</v>
      </c>
      <c r="J114" s="1">
        <f t="shared" si="37"/>
        <v>6.6750211033950655E-9</v>
      </c>
    </row>
    <row r="115" spans="1:10" x14ac:dyDescent="0.25">
      <c r="B115">
        <v>9.3000000000000002E-11</v>
      </c>
      <c r="C115">
        <v>1.4735555555555557E-8</v>
      </c>
      <c r="D115" s="1">
        <v>2.3999999999999998E-3</v>
      </c>
      <c r="E115">
        <f t="shared" ref="E115:E122" si="38">E114+0.0002</f>
        <v>-5.0000000000000001E-4</v>
      </c>
      <c r="F115" s="1">
        <v>2</v>
      </c>
      <c r="G115" s="1">
        <f t="shared" si="35"/>
        <v>0.50173611111111116</v>
      </c>
      <c r="H115" s="1">
        <v>0.3</v>
      </c>
      <c r="I115" s="1">
        <f t="shared" si="36"/>
        <v>0.83333333333333337</v>
      </c>
      <c r="J115" s="1">
        <f t="shared" si="37"/>
        <v>5.5861294367283969E-9</v>
      </c>
    </row>
    <row r="116" spans="1:10" x14ac:dyDescent="0.25">
      <c r="B116">
        <v>9.3000000000000002E-11</v>
      </c>
      <c r="C116">
        <v>1.4735555555555557E-8</v>
      </c>
      <c r="D116" s="1">
        <v>2.3999999999999998E-3</v>
      </c>
      <c r="E116">
        <f t="shared" si="38"/>
        <v>-3.0000000000000003E-4</v>
      </c>
      <c r="F116" s="1">
        <v>2</v>
      </c>
      <c r="G116" s="1">
        <f t="shared" si="35"/>
        <v>0.390625</v>
      </c>
      <c r="H116" s="1">
        <v>0.3</v>
      </c>
      <c r="I116" s="1">
        <f t="shared" si="36"/>
        <v>0.50000000000000011</v>
      </c>
      <c r="J116" s="1">
        <f t="shared" si="37"/>
        <v>4.700606597222223E-9</v>
      </c>
    </row>
    <row r="117" spans="1:10" x14ac:dyDescent="0.25">
      <c r="B117">
        <v>9.3000000000000002E-11</v>
      </c>
      <c r="C117">
        <v>1.4735555555555557E-8</v>
      </c>
      <c r="D117" s="1">
        <v>2.3999999999999998E-3</v>
      </c>
      <c r="E117">
        <f t="shared" si="38"/>
        <v>-1.0000000000000002E-4</v>
      </c>
      <c r="F117" s="1">
        <v>2</v>
      </c>
      <c r="G117" s="1">
        <f t="shared" si="35"/>
        <v>0.29340277777777773</v>
      </c>
      <c r="H117" s="1">
        <v>0.3</v>
      </c>
      <c r="I117" s="1">
        <f t="shared" si="36"/>
        <v>0.16666666666666671</v>
      </c>
      <c r="J117" s="1">
        <f t="shared" si="37"/>
        <v>4.018452584876543E-9</v>
      </c>
    </row>
    <row r="118" spans="1:10" x14ac:dyDescent="0.25">
      <c r="B118">
        <v>9.3000000000000002E-11</v>
      </c>
      <c r="C118">
        <v>1.4735555555555557E-8</v>
      </c>
      <c r="D118" s="1">
        <v>2.3999999999999998E-3</v>
      </c>
      <c r="E118">
        <f t="shared" si="38"/>
        <v>9.9999999999999991E-5</v>
      </c>
      <c r="F118" s="1">
        <v>2</v>
      </c>
      <c r="G118" s="1">
        <f t="shared" si="35"/>
        <v>0.21006944444444442</v>
      </c>
      <c r="H118" s="1">
        <v>0.3</v>
      </c>
      <c r="I118" s="1">
        <f t="shared" si="36"/>
        <v>0.16666666666666666</v>
      </c>
      <c r="J118" s="1">
        <f t="shared" si="37"/>
        <v>2.7982396219135802E-9</v>
      </c>
    </row>
    <row r="119" spans="1:10" x14ac:dyDescent="0.25">
      <c r="B119">
        <v>9.3000000000000002E-11</v>
      </c>
      <c r="C119">
        <v>1.4735555555555557E-8</v>
      </c>
      <c r="D119" s="1">
        <v>2.3999999999999998E-3</v>
      </c>
      <c r="E119">
        <f t="shared" si="38"/>
        <v>3.0000000000000003E-4</v>
      </c>
      <c r="F119" s="1">
        <v>2</v>
      </c>
      <c r="G119" s="1">
        <f t="shared" si="35"/>
        <v>0.140625</v>
      </c>
      <c r="H119" s="1">
        <v>0.3</v>
      </c>
      <c r="I119" s="1">
        <f t="shared" si="36"/>
        <v>0.50000000000000011</v>
      </c>
      <c r="J119" s="1">
        <f t="shared" si="37"/>
        <v>1.0399677083333332E-9</v>
      </c>
    </row>
    <row r="120" spans="1:10" x14ac:dyDescent="0.25">
      <c r="B120">
        <v>9.3000000000000002E-11</v>
      </c>
      <c r="C120">
        <v>1.4735555555555557E-8</v>
      </c>
      <c r="D120" s="1">
        <v>2.3999999999999998E-3</v>
      </c>
      <c r="E120">
        <f t="shared" si="38"/>
        <v>5.0000000000000001E-4</v>
      </c>
      <c r="F120" s="1">
        <v>2</v>
      </c>
      <c r="G120" s="1">
        <f t="shared" si="35"/>
        <v>8.506944444444442E-2</v>
      </c>
      <c r="H120" s="1">
        <v>0.3</v>
      </c>
      <c r="I120" s="1">
        <f t="shared" si="36"/>
        <v>0.83333333333333337</v>
      </c>
      <c r="J120" s="1">
        <f t="shared" si="37"/>
        <v>-5.1493537808641999E-10</v>
      </c>
    </row>
    <row r="121" spans="1:10" x14ac:dyDescent="0.25">
      <c r="B121">
        <v>9.3000000000000002E-11</v>
      </c>
      <c r="C121">
        <v>1.4735555555555557E-8</v>
      </c>
      <c r="D121" s="1">
        <v>2.3999999999999998E-3</v>
      </c>
      <c r="E121">
        <f t="shared" si="38"/>
        <v>6.9999999999999999E-4</v>
      </c>
      <c r="F121" s="1">
        <v>2</v>
      </c>
      <c r="G121" s="1">
        <f t="shared" si="35"/>
        <v>4.3402777777777769E-2</v>
      </c>
      <c r="H121" s="1">
        <v>0.3</v>
      </c>
      <c r="I121" s="1">
        <f t="shared" si="36"/>
        <v>1.1666666666666667</v>
      </c>
      <c r="J121" s="1">
        <f t="shared" si="37"/>
        <v>-1.8664696373456793E-9</v>
      </c>
    </row>
    <row r="122" spans="1:10" x14ac:dyDescent="0.25">
      <c r="B122">
        <v>9.3000000000000002E-11</v>
      </c>
      <c r="C122">
        <v>1.4735555555555557E-8</v>
      </c>
      <c r="D122" s="1">
        <v>2.3999999999999998E-3</v>
      </c>
      <c r="E122">
        <f t="shared" si="38"/>
        <v>8.9999999999999998E-4</v>
      </c>
      <c r="F122" s="1">
        <v>2</v>
      </c>
      <c r="G122" s="1">
        <f t="shared" si="35"/>
        <v>1.5625E-2</v>
      </c>
      <c r="H122" s="1">
        <v>0.3</v>
      </c>
      <c r="I122" s="1">
        <f t="shared" si="36"/>
        <v>1.5</v>
      </c>
      <c r="J122" s="1">
        <f t="shared" si="37"/>
        <v>-3.0146350694444444E-9</v>
      </c>
    </row>
    <row r="123" spans="1:10" x14ac:dyDescent="0.25">
      <c r="B123">
        <v>9.3000000000000002E-11</v>
      </c>
      <c r="C123">
        <v>1.4735555555555557E-8</v>
      </c>
      <c r="D123" s="1">
        <v>2.3999999999999998E-3</v>
      </c>
      <c r="E123" s="13">
        <v>1.1000000000000001E-3</v>
      </c>
      <c r="F123" s="1">
        <v>2</v>
      </c>
      <c r="G123" s="1">
        <f t="shared" si="35"/>
        <v>1.7361111111111034E-3</v>
      </c>
      <c r="H123" s="1">
        <v>0.3</v>
      </c>
      <c r="I123" s="1">
        <f t="shared" si="36"/>
        <v>1.8333333333333337</v>
      </c>
      <c r="J123" s="1">
        <f t="shared" si="37"/>
        <v>-3.9594316743827164E-9</v>
      </c>
    </row>
    <row r="124" spans="1:10" x14ac:dyDescent="0.25">
      <c r="D124" s="1"/>
      <c r="E124" s="13"/>
      <c r="F124" s="1"/>
      <c r="H124" s="12"/>
      <c r="I124" s="1"/>
      <c r="J124" s="1"/>
    </row>
    <row r="125" spans="1:10" x14ac:dyDescent="0.25">
      <c r="A125" s="9" t="s">
        <v>43</v>
      </c>
      <c r="B125" s="2" t="s">
        <v>187</v>
      </c>
      <c r="C125" s="2" t="s">
        <v>188</v>
      </c>
      <c r="D125" s="2" t="s">
        <v>189</v>
      </c>
      <c r="E125" s="2" t="s">
        <v>190</v>
      </c>
      <c r="F125" s="2" t="s">
        <v>191</v>
      </c>
      <c r="G125" s="2" t="s">
        <v>192</v>
      </c>
      <c r="H125" s="2" t="s">
        <v>193</v>
      </c>
      <c r="I125" s="2" t="s">
        <v>194</v>
      </c>
      <c r="J125" s="2" t="s">
        <v>195</v>
      </c>
    </row>
    <row r="126" spans="1:10" x14ac:dyDescent="0.25">
      <c r="B126" s="1">
        <v>1.5699999999999999E-4</v>
      </c>
      <c r="C126" s="1">
        <v>1.0000000000000001E-5</v>
      </c>
      <c r="D126" s="1">
        <v>2.3999999999999998E-3</v>
      </c>
      <c r="E126">
        <v>-1.1000000000000001E-3</v>
      </c>
      <c r="F126" s="1">
        <v>2</v>
      </c>
      <c r="G126" s="1">
        <f>(0.5-E126/D126)^F126</f>
        <v>0.91840277777777801</v>
      </c>
      <c r="H126" s="1">
        <v>0.3</v>
      </c>
      <c r="I126" s="1">
        <f>4*(ABS(E126)/D126)</f>
        <v>1.8333333333333337</v>
      </c>
      <c r="J126" s="1">
        <f>(C126-B126)*G126+B126-(B126+C126)*(H126/2)*I126</f>
        <v>-2.3930208333333369E-5</v>
      </c>
    </row>
    <row r="127" spans="1:10" x14ac:dyDescent="0.25">
      <c r="B127" s="1">
        <v>1.5699999999999999E-4</v>
      </c>
      <c r="C127" s="1">
        <v>1.0000000000000001E-5</v>
      </c>
      <c r="D127" s="1">
        <v>2.3999999999999998E-3</v>
      </c>
      <c r="E127">
        <f>-0.001+0.0001</f>
        <v>-8.9999999999999998E-4</v>
      </c>
      <c r="F127" s="1">
        <v>2</v>
      </c>
      <c r="G127" s="1">
        <f t="shared" ref="G127:G137" si="39">(0.5-E127/D127)^F127</f>
        <v>0.765625</v>
      </c>
      <c r="H127" s="1">
        <v>0.3</v>
      </c>
      <c r="I127" s="1">
        <f t="shared" ref="I127:I137" si="40">4*(ABS(E127)/D127)</f>
        <v>1.5</v>
      </c>
      <c r="J127" s="1">
        <f t="shared" ref="J127:J137" si="41">(C127-B127)*G127+B127-(B127+C127)*(H127/2)*I127</f>
        <v>6.8781250000000062E-6</v>
      </c>
    </row>
    <row r="128" spans="1:10" x14ac:dyDescent="0.25">
      <c r="B128" s="1">
        <v>1.5699999999999999E-4</v>
      </c>
      <c r="C128" s="1">
        <v>1.0000000000000001E-5</v>
      </c>
      <c r="D128" s="1">
        <v>2.3999999999999998E-3</v>
      </c>
      <c r="E128">
        <f>E127+0.0002</f>
        <v>-6.9999999999999999E-4</v>
      </c>
      <c r="F128" s="1">
        <v>2</v>
      </c>
      <c r="G128" s="1">
        <f t="shared" si="39"/>
        <v>0.62673611111111127</v>
      </c>
      <c r="H128" s="1">
        <v>0.3</v>
      </c>
      <c r="I128" s="1">
        <f t="shared" si="40"/>
        <v>1.1666666666666667</v>
      </c>
      <c r="J128" s="1">
        <f t="shared" si="41"/>
        <v>3.5644791666666629E-5</v>
      </c>
    </row>
    <row r="129" spans="1:10" x14ac:dyDescent="0.25">
      <c r="B129" s="1">
        <v>1.5699999999999999E-4</v>
      </c>
      <c r="C129" s="1">
        <v>1.0000000000000001E-5</v>
      </c>
      <c r="D129" s="1">
        <v>2.3999999999999998E-3</v>
      </c>
      <c r="E129">
        <f t="shared" ref="E129:E136" si="42">E128+0.0002</f>
        <v>-5.0000000000000001E-4</v>
      </c>
      <c r="F129" s="1">
        <v>2</v>
      </c>
      <c r="G129" s="1">
        <f t="shared" si="39"/>
        <v>0.50173611111111116</v>
      </c>
      <c r="H129" s="1">
        <v>0.3</v>
      </c>
      <c r="I129" s="1">
        <f t="shared" si="40"/>
        <v>0.83333333333333337</v>
      </c>
      <c r="J129" s="1">
        <f t="shared" si="41"/>
        <v>6.2369791666666655E-5</v>
      </c>
    </row>
    <row r="130" spans="1:10" x14ac:dyDescent="0.25">
      <c r="B130" s="1">
        <v>1.5699999999999999E-4</v>
      </c>
      <c r="C130" s="1">
        <v>1.0000000000000001E-5</v>
      </c>
      <c r="D130" s="1">
        <v>2.3999999999999998E-3</v>
      </c>
      <c r="E130">
        <f t="shared" si="42"/>
        <v>-3.0000000000000003E-4</v>
      </c>
      <c r="F130" s="1">
        <v>2</v>
      </c>
      <c r="G130" s="1">
        <f t="shared" si="39"/>
        <v>0.390625</v>
      </c>
      <c r="H130" s="1">
        <v>0.3</v>
      </c>
      <c r="I130" s="1">
        <f t="shared" si="40"/>
        <v>0.50000000000000011</v>
      </c>
      <c r="J130" s="1">
        <f t="shared" si="41"/>
        <v>8.7053124999999997E-5</v>
      </c>
    </row>
    <row r="131" spans="1:10" x14ac:dyDescent="0.25">
      <c r="B131" s="1">
        <v>1.5699999999999999E-4</v>
      </c>
      <c r="C131" s="1">
        <v>1.0000000000000001E-5</v>
      </c>
      <c r="D131" s="1">
        <v>2.3999999999999998E-3</v>
      </c>
      <c r="E131">
        <f t="shared" si="42"/>
        <v>-1.0000000000000002E-4</v>
      </c>
      <c r="F131" s="1">
        <v>2</v>
      </c>
      <c r="G131" s="1">
        <f t="shared" si="39"/>
        <v>0.29340277777777773</v>
      </c>
      <c r="H131" s="1">
        <v>0.3</v>
      </c>
      <c r="I131" s="1">
        <f t="shared" si="40"/>
        <v>0.16666666666666671</v>
      </c>
      <c r="J131" s="1">
        <f t="shared" si="41"/>
        <v>1.0969479166666665E-4</v>
      </c>
    </row>
    <row r="132" spans="1:10" x14ac:dyDescent="0.25">
      <c r="B132" s="1">
        <v>1.5699999999999999E-4</v>
      </c>
      <c r="C132" s="1">
        <v>1.0000000000000001E-5</v>
      </c>
      <c r="D132" s="1">
        <v>2.3999999999999998E-3</v>
      </c>
      <c r="E132">
        <f t="shared" si="42"/>
        <v>9.9999999999999991E-5</v>
      </c>
      <c r="F132" s="1">
        <v>2</v>
      </c>
      <c r="G132" s="1">
        <f t="shared" si="39"/>
        <v>0.21006944444444442</v>
      </c>
      <c r="H132" s="1">
        <v>0.3</v>
      </c>
      <c r="I132" s="1">
        <f t="shared" si="40"/>
        <v>0.16666666666666666</v>
      </c>
      <c r="J132" s="1">
        <f t="shared" si="41"/>
        <v>1.2194479166666665E-4</v>
      </c>
    </row>
    <row r="133" spans="1:10" x14ac:dyDescent="0.25">
      <c r="B133" s="1">
        <v>1.5699999999999999E-4</v>
      </c>
      <c r="C133" s="1">
        <v>1.0000000000000001E-5</v>
      </c>
      <c r="D133" s="1">
        <v>2.3999999999999998E-3</v>
      </c>
      <c r="E133">
        <f t="shared" si="42"/>
        <v>3.0000000000000003E-4</v>
      </c>
      <c r="F133" s="1">
        <v>2</v>
      </c>
      <c r="G133" s="1">
        <f t="shared" si="39"/>
        <v>0.140625</v>
      </c>
      <c r="H133" s="1">
        <v>0.3</v>
      </c>
      <c r="I133" s="1">
        <f t="shared" si="40"/>
        <v>0.50000000000000011</v>
      </c>
      <c r="J133" s="1">
        <f t="shared" si="41"/>
        <v>1.2380312500000001E-4</v>
      </c>
    </row>
    <row r="134" spans="1:10" x14ac:dyDescent="0.25">
      <c r="B134" s="1">
        <v>1.5699999999999999E-4</v>
      </c>
      <c r="C134" s="1">
        <v>1.0000000000000001E-5</v>
      </c>
      <c r="D134" s="1">
        <v>2.3999999999999998E-3</v>
      </c>
      <c r="E134">
        <f t="shared" si="42"/>
        <v>5.0000000000000001E-4</v>
      </c>
      <c r="F134" s="1">
        <v>2</v>
      </c>
      <c r="G134" s="1">
        <f t="shared" si="39"/>
        <v>8.506944444444442E-2</v>
      </c>
      <c r="H134" s="1">
        <v>0.3</v>
      </c>
      <c r="I134" s="1">
        <f t="shared" si="40"/>
        <v>0.83333333333333337</v>
      </c>
      <c r="J134" s="1">
        <f t="shared" si="41"/>
        <v>1.2361979166666665E-4</v>
      </c>
    </row>
    <row r="135" spans="1:10" x14ac:dyDescent="0.25">
      <c r="B135" s="1">
        <v>1.5699999999999999E-4</v>
      </c>
      <c r="C135" s="1">
        <v>1.0000000000000001E-5</v>
      </c>
      <c r="D135" s="1">
        <v>2.3999999999999998E-3</v>
      </c>
      <c r="E135">
        <f t="shared" si="42"/>
        <v>6.9999999999999999E-4</v>
      </c>
      <c r="F135" s="1">
        <v>2</v>
      </c>
      <c r="G135" s="1">
        <f t="shared" si="39"/>
        <v>4.3402777777777769E-2</v>
      </c>
      <c r="H135" s="1">
        <v>0.3</v>
      </c>
      <c r="I135" s="1">
        <f t="shared" si="40"/>
        <v>1.1666666666666667</v>
      </c>
      <c r="J135" s="1">
        <f t="shared" si="41"/>
        <v>1.2139479166666665E-4</v>
      </c>
    </row>
    <row r="136" spans="1:10" x14ac:dyDescent="0.25">
      <c r="B136" s="1">
        <v>1.5699999999999999E-4</v>
      </c>
      <c r="C136" s="1">
        <v>1.0000000000000001E-5</v>
      </c>
      <c r="D136" s="1">
        <v>2.3999999999999998E-3</v>
      </c>
      <c r="E136">
        <f t="shared" si="42"/>
        <v>8.9999999999999998E-4</v>
      </c>
      <c r="F136" s="1">
        <v>2</v>
      </c>
      <c r="G136" s="1">
        <f t="shared" si="39"/>
        <v>1.5625E-2</v>
      </c>
      <c r="H136" s="1">
        <v>0.3</v>
      </c>
      <c r="I136" s="1">
        <f t="shared" si="40"/>
        <v>1.5</v>
      </c>
      <c r="J136" s="1">
        <f t="shared" si="41"/>
        <v>1.17128125E-4</v>
      </c>
    </row>
    <row r="137" spans="1:10" x14ac:dyDescent="0.25">
      <c r="B137" s="1">
        <v>1.5699999999999999E-4</v>
      </c>
      <c r="C137" s="1">
        <v>1.0000000000000001E-5</v>
      </c>
      <c r="D137" s="1">
        <v>2.3999999999999998E-3</v>
      </c>
      <c r="E137" s="13">
        <v>1.1000000000000001E-3</v>
      </c>
      <c r="F137" s="1">
        <v>2</v>
      </c>
      <c r="G137" s="1">
        <f t="shared" si="39"/>
        <v>1.7361111111111034E-3</v>
      </c>
      <c r="H137" s="1">
        <v>0.3</v>
      </c>
      <c r="I137" s="1">
        <f t="shared" si="40"/>
        <v>1.8333333333333337</v>
      </c>
      <c r="J137" s="1">
        <f t="shared" si="41"/>
        <v>1.1081979166666665E-4</v>
      </c>
    </row>
    <row r="138" spans="1:10" x14ac:dyDescent="0.25">
      <c r="A138" s="9" t="s">
        <v>168</v>
      </c>
      <c r="B138" s="2" t="s">
        <v>187</v>
      </c>
      <c r="C138" s="2" t="s">
        <v>188</v>
      </c>
      <c r="D138" s="2" t="s">
        <v>189</v>
      </c>
      <c r="E138" s="2" t="s">
        <v>190</v>
      </c>
      <c r="F138" s="2" t="s">
        <v>191</v>
      </c>
      <c r="G138" s="2" t="s">
        <v>192</v>
      </c>
      <c r="H138" s="2" t="s">
        <v>193</v>
      </c>
      <c r="I138" s="2" t="s">
        <v>194</v>
      </c>
      <c r="J138" s="2" t="s">
        <v>195</v>
      </c>
    </row>
    <row r="139" spans="1:10" x14ac:dyDescent="0.25">
      <c r="B139" s="1">
        <v>1.0000000000000001E-5</v>
      </c>
      <c r="C139" s="1">
        <v>1.5699999999999999E-5</v>
      </c>
      <c r="D139" s="1">
        <v>2.3999999999999998E-3</v>
      </c>
      <c r="E139">
        <v>-1.1000000000000001E-3</v>
      </c>
      <c r="F139" s="1">
        <v>2</v>
      </c>
      <c r="G139" s="1">
        <f>(0.5-E139/D139)^F139</f>
        <v>0.91840277777777801</v>
      </c>
      <c r="H139" s="1">
        <v>0.3</v>
      </c>
      <c r="I139" s="1">
        <f>4*(ABS(E139)/D139)</f>
        <v>1.8333333333333337</v>
      </c>
      <c r="J139" s="1">
        <f>(C139-B139)*G139+B139-(B139+C139)*(H139/2)*I139</f>
        <v>8.1673958333333299E-6</v>
      </c>
    </row>
    <row r="140" spans="1:10" x14ac:dyDescent="0.25">
      <c r="B140" s="1">
        <v>1.0000000000000001E-5</v>
      </c>
      <c r="C140" s="1">
        <v>1.5699999999999999E-5</v>
      </c>
      <c r="D140" s="1">
        <v>2.3999999999999998E-3</v>
      </c>
      <c r="E140">
        <f>-0.001+0.0001</f>
        <v>-8.9999999999999998E-4</v>
      </c>
      <c r="F140" s="1">
        <v>2</v>
      </c>
      <c r="G140" s="1">
        <f t="shared" ref="G140:G150" si="43">(0.5-E140/D140)^F140</f>
        <v>0.765625</v>
      </c>
      <c r="H140" s="1">
        <v>0.3</v>
      </c>
      <c r="I140" s="1">
        <f t="shared" ref="I140:I150" si="44">4*(ABS(E140)/D140)</f>
        <v>1.5</v>
      </c>
      <c r="J140" s="1">
        <f t="shared" ref="J140:J150" si="45">(C140-B140)*G140+B140-(B140+C140)*(H140/2)*I140</f>
        <v>8.5815624999999984E-6</v>
      </c>
    </row>
    <row r="141" spans="1:10" x14ac:dyDescent="0.25">
      <c r="B141" s="1">
        <v>1.0000000000000001E-5</v>
      </c>
      <c r="C141" s="1">
        <v>1.5699999999999999E-5</v>
      </c>
      <c r="D141" s="1">
        <v>2.3999999999999998E-3</v>
      </c>
      <c r="E141">
        <f>E140+0.0002</f>
        <v>-6.9999999999999999E-4</v>
      </c>
      <c r="F141" s="1">
        <v>2</v>
      </c>
      <c r="G141" s="1">
        <f t="shared" si="43"/>
        <v>0.62673611111111127</v>
      </c>
      <c r="H141" s="1">
        <v>0.3</v>
      </c>
      <c r="I141" s="1">
        <f t="shared" si="44"/>
        <v>1.1666666666666667</v>
      </c>
      <c r="J141" s="1">
        <f t="shared" si="45"/>
        <v>9.0748958333333326E-6</v>
      </c>
    </row>
    <row r="142" spans="1:10" x14ac:dyDescent="0.25">
      <c r="B142" s="1">
        <v>1.0000000000000001E-5</v>
      </c>
      <c r="C142" s="1">
        <v>1.5699999999999999E-5</v>
      </c>
      <c r="D142" s="1">
        <v>2.3999999999999998E-3</v>
      </c>
      <c r="E142">
        <f t="shared" ref="E142:E149" si="46">E141+0.0002</f>
        <v>-5.0000000000000001E-4</v>
      </c>
      <c r="F142" s="1">
        <v>2</v>
      </c>
      <c r="G142" s="1">
        <f t="shared" si="43"/>
        <v>0.50173611111111116</v>
      </c>
      <c r="H142" s="1">
        <v>0.3</v>
      </c>
      <c r="I142" s="1">
        <f t="shared" si="44"/>
        <v>0.83333333333333337</v>
      </c>
      <c r="J142" s="1">
        <f t="shared" si="45"/>
        <v>9.6473958333333326E-6</v>
      </c>
    </row>
    <row r="143" spans="1:10" x14ac:dyDescent="0.25">
      <c r="B143" s="1">
        <v>1.0000000000000001E-5</v>
      </c>
      <c r="C143" s="1">
        <v>1.5699999999999999E-5</v>
      </c>
      <c r="D143" s="1">
        <v>2.3999999999999998E-3</v>
      </c>
      <c r="E143">
        <f t="shared" si="46"/>
        <v>-3.0000000000000003E-4</v>
      </c>
      <c r="F143" s="1">
        <v>2</v>
      </c>
      <c r="G143" s="1">
        <f t="shared" si="43"/>
        <v>0.390625</v>
      </c>
      <c r="H143" s="1">
        <v>0.3</v>
      </c>
      <c r="I143" s="1">
        <f t="shared" si="44"/>
        <v>0.50000000000000011</v>
      </c>
      <c r="J143" s="1">
        <f t="shared" si="45"/>
        <v>1.0299062499999998E-5</v>
      </c>
    </row>
    <row r="144" spans="1:10" x14ac:dyDescent="0.25">
      <c r="B144" s="1">
        <v>1.0000000000000001E-5</v>
      </c>
      <c r="C144" s="1">
        <v>1.5699999999999999E-5</v>
      </c>
      <c r="D144" s="1">
        <v>2.3999999999999998E-3</v>
      </c>
      <c r="E144">
        <f t="shared" si="46"/>
        <v>-1.0000000000000002E-4</v>
      </c>
      <c r="F144" s="1">
        <v>2</v>
      </c>
      <c r="G144" s="1">
        <f t="shared" si="43"/>
        <v>0.29340277777777773</v>
      </c>
      <c r="H144" s="1">
        <v>0.3</v>
      </c>
      <c r="I144" s="1">
        <f t="shared" si="44"/>
        <v>0.16666666666666671</v>
      </c>
      <c r="J144" s="1">
        <f t="shared" si="45"/>
        <v>1.1029895833333332E-5</v>
      </c>
    </row>
    <row r="145" spans="1:11" x14ac:dyDescent="0.25">
      <c r="B145" s="1">
        <v>1.0000000000000001E-5</v>
      </c>
      <c r="C145" s="1">
        <v>1.5699999999999999E-5</v>
      </c>
      <c r="D145" s="1">
        <v>2.3999999999999998E-3</v>
      </c>
      <c r="E145">
        <f t="shared" si="46"/>
        <v>9.9999999999999991E-5</v>
      </c>
      <c r="F145" s="1">
        <v>2</v>
      </c>
      <c r="G145" s="1">
        <f t="shared" si="43"/>
        <v>0.21006944444444442</v>
      </c>
      <c r="H145" s="1">
        <v>0.3</v>
      </c>
      <c r="I145" s="1">
        <f t="shared" si="44"/>
        <v>0.16666666666666666</v>
      </c>
      <c r="J145" s="1">
        <f t="shared" si="45"/>
        <v>1.0554895833333334E-5</v>
      </c>
    </row>
    <row r="146" spans="1:11" x14ac:dyDescent="0.25">
      <c r="B146" s="1">
        <v>1.0000000000000001E-5</v>
      </c>
      <c r="C146" s="1">
        <v>1.5699999999999999E-5</v>
      </c>
      <c r="D146" s="1">
        <v>2.3999999999999998E-3</v>
      </c>
      <c r="E146">
        <f t="shared" si="46"/>
        <v>3.0000000000000003E-4</v>
      </c>
      <c r="F146" s="1">
        <v>2</v>
      </c>
      <c r="G146" s="1">
        <f t="shared" si="43"/>
        <v>0.140625</v>
      </c>
      <c r="H146" s="1">
        <v>0.3</v>
      </c>
      <c r="I146" s="1">
        <f t="shared" si="44"/>
        <v>0.50000000000000011</v>
      </c>
      <c r="J146" s="1">
        <f t="shared" si="45"/>
        <v>8.8740625000000011E-6</v>
      </c>
    </row>
    <row r="147" spans="1:11" x14ac:dyDescent="0.25">
      <c r="B147" s="1">
        <v>1.0000000000000001E-5</v>
      </c>
      <c r="C147" s="1">
        <v>1.5699999999999999E-5</v>
      </c>
      <c r="D147" s="1">
        <v>2.3999999999999998E-3</v>
      </c>
      <c r="E147">
        <f t="shared" si="46"/>
        <v>5.0000000000000001E-4</v>
      </c>
      <c r="F147" s="1">
        <v>2</v>
      </c>
      <c r="G147" s="1">
        <f t="shared" si="43"/>
        <v>8.506944444444442E-2</v>
      </c>
      <c r="H147" s="1">
        <v>0.3</v>
      </c>
      <c r="I147" s="1">
        <f t="shared" si="44"/>
        <v>0.83333333333333337</v>
      </c>
      <c r="J147" s="1">
        <f t="shared" si="45"/>
        <v>7.2723958333333342E-6</v>
      </c>
    </row>
    <row r="148" spans="1:11" x14ac:dyDescent="0.25">
      <c r="B148" s="1">
        <v>1.0000000000000001E-5</v>
      </c>
      <c r="C148" s="1">
        <v>1.5699999999999999E-5</v>
      </c>
      <c r="D148" s="1">
        <v>2.3999999999999998E-3</v>
      </c>
      <c r="E148">
        <f t="shared" si="46"/>
        <v>6.9999999999999999E-4</v>
      </c>
      <c r="F148" s="1">
        <v>2</v>
      </c>
      <c r="G148" s="1">
        <f t="shared" si="43"/>
        <v>4.3402777777777769E-2</v>
      </c>
      <c r="H148" s="1">
        <v>0.3</v>
      </c>
      <c r="I148" s="1">
        <f t="shared" si="44"/>
        <v>1.1666666666666667</v>
      </c>
      <c r="J148" s="1">
        <f t="shared" si="45"/>
        <v>5.7498958333333331E-6</v>
      </c>
    </row>
    <row r="149" spans="1:11" x14ac:dyDescent="0.25">
      <c r="B149" s="1">
        <v>1.0000000000000001E-5</v>
      </c>
      <c r="C149" s="1">
        <v>1.5699999999999999E-5</v>
      </c>
      <c r="D149" s="1">
        <v>2.3999999999999998E-3</v>
      </c>
      <c r="E149">
        <f t="shared" si="46"/>
        <v>8.9999999999999998E-4</v>
      </c>
      <c r="F149" s="1">
        <v>2</v>
      </c>
      <c r="G149" s="1">
        <f t="shared" si="43"/>
        <v>1.5625E-2</v>
      </c>
      <c r="H149" s="1">
        <v>0.3</v>
      </c>
      <c r="I149" s="1">
        <f t="shared" si="44"/>
        <v>1.5</v>
      </c>
      <c r="J149" s="1">
        <f t="shared" si="45"/>
        <v>4.3065624999999995E-6</v>
      </c>
    </row>
    <row r="150" spans="1:11" x14ac:dyDescent="0.25">
      <c r="B150" s="1">
        <v>1.0000000000000001E-5</v>
      </c>
      <c r="C150" s="1">
        <v>1.5699999999999999E-5</v>
      </c>
      <c r="D150" s="1">
        <v>2.3999999999999998E-3</v>
      </c>
      <c r="E150" s="13">
        <v>1.1000000000000001E-3</v>
      </c>
      <c r="F150" s="1">
        <v>2</v>
      </c>
      <c r="G150" s="1">
        <f t="shared" si="43"/>
        <v>1.7361111111111034E-3</v>
      </c>
      <c r="H150" s="1">
        <v>0.3</v>
      </c>
      <c r="I150" s="1">
        <f t="shared" si="44"/>
        <v>1.8333333333333337</v>
      </c>
      <c r="J150" s="1">
        <f t="shared" si="45"/>
        <v>2.9423958333333325E-6</v>
      </c>
    </row>
    <row r="151" spans="1:11" x14ac:dyDescent="0.25">
      <c r="A151" s="9" t="s">
        <v>172</v>
      </c>
      <c r="B151" s="2" t="s">
        <v>187</v>
      </c>
      <c r="C151" s="2" t="s">
        <v>188</v>
      </c>
      <c r="D151" s="2" t="s">
        <v>197</v>
      </c>
      <c r="E151" s="2" t="s">
        <v>198</v>
      </c>
      <c r="F151" s="2" t="s">
        <v>199</v>
      </c>
      <c r="G151" s="2" t="s">
        <v>192</v>
      </c>
      <c r="H151" s="2" t="s">
        <v>193</v>
      </c>
      <c r="I151" s="2" t="s">
        <v>194</v>
      </c>
      <c r="J151" s="2" t="s">
        <v>195</v>
      </c>
      <c r="K151" s="2" t="s">
        <v>200</v>
      </c>
    </row>
    <row r="152" spans="1:11" x14ac:dyDescent="0.25">
      <c r="B152" s="1">
        <v>2.5</v>
      </c>
      <c r="C152" s="1">
        <v>3.2</v>
      </c>
      <c r="D152" s="1">
        <v>2.3999999999999998E-3</v>
      </c>
      <c r="E152">
        <v>-1.1000000000000001E-3</v>
      </c>
      <c r="F152" s="1">
        <v>2</v>
      </c>
      <c r="G152" s="1">
        <f>(0.5-E152/D152)^F152</f>
        <v>0.91840277777777801</v>
      </c>
      <c r="H152" s="1">
        <v>0.3</v>
      </c>
      <c r="I152" s="1">
        <f>4*(ABS(E152)/D152)</f>
        <v>1.8333333333333337</v>
      </c>
      <c r="J152" s="1">
        <f>(C152-B152)*G152+B152-(B152+C152)*(H152/2)*I152</f>
        <v>1.5753819444444446</v>
      </c>
      <c r="K152" s="1">
        <f>1/J152</f>
        <v>0.63476670119679968</v>
      </c>
    </row>
    <row r="153" spans="1:11" x14ac:dyDescent="0.25">
      <c r="B153" s="1">
        <v>2.5</v>
      </c>
      <c r="C153" s="1">
        <v>3.2</v>
      </c>
      <c r="D153" s="1">
        <v>2.3999999999999998E-3</v>
      </c>
      <c r="E153">
        <f>-0.001+0.0001</f>
        <v>-8.9999999999999998E-4</v>
      </c>
      <c r="F153" s="1">
        <v>2</v>
      </c>
      <c r="G153" s="1">
        <f t="shared" ref="G153:G163" si="47">(0.5-E153/D153)^F153</f>
        <v>0.765625</v>
      </c>
      <c r="H153" s="1">
        <v>0.3</v>
      </c>
      <c r="I153" s="1">
        <f t="shared" ref="I153:I163" si="48">4*(ABS(E153)/D153)</f>
        <v>1.5</v>
      </c>
      <c r="J153" s="1">
        <f t="shared" ref="J153:J163" si="49">(C153-B153)*G153+B153-(B153+C153)*(H153/2)*I153</f>
        <v>1.7534375000000002</v>
      </c>
      <c r="K153" s="1">
        <f t="shared" ref="K153:K163" si="50">1/J153</f>
        <v>0.57030832293708777</v>
      </c>
    </row>
    <row r="154" spans="1:11" x14ac:dyDescent="0.25">
      <c r="B154" s="1">
        <v>2.5</v>
      </c>
      <c r="C154" s="1">
        <v>3.2</v>
      </c>
      <c r="D154" s="1">
        <v>2.3999999999999998E-3</v>
      </c>
      <c r="E154">
        <f>E153+0.0002</f>
        <v>-6.9999999999999999E-4</v>
      </c>
      <c r="F154" s="1">
        <v>2</v>
      </c>
      <c r="G154" s="1">
        <f t="shared" si="47"/>
        <v>0.62673611111111127</v>
      </c>
      <c r="H154" s="1">
        <v>0.3</v>
      </c>
      <c r="I154" s="1">
        <f t="shared" si="48"/>
        <v>1.1666666666666667</v>
      </c>
      <c r="J154" s="1">
        <f t="shared" si="49"/>
        <v>1.9412152777777778</v>
      </c>
      <c r="K154" s="1">
        <f t="shared" si="50"/>
        <v>0.51514121666338741</v>
      </c>
    </row>
    <row r="155" spans="1:11" x14ac:dyDescent="0.25">
      <c r="B155" s="1">
        <v>2.5</v>
      </c>
      <c r="C155" s="1">
        <v>3.2</v>
      </c>
      <c r="D155" s="1">
        <v>2.3999999999999998E-3</v>
      </c>
      <c r="E155">
        <f t="shared" ref="E155:E162" si="51">E154+0.0002</f>
        <v>-5.0000000000000001E-4</v>
      </c>
      <c r="F155" s="1">
        <v>2</v>
      </c>
      <c r="G155" s="1">
        <f t="shared" si="47"/>
        <v>0.50173611111111116</v>
      </c>
      <c r="H155" s="1">
        <v>0.3</v>
      </c>
      <c r="I155" s="1">
        <f t="shared" si="48"/>
        <v>0.83333333333333337</v>
      </c>
      <c r="J155" s="1">
        <f t="shared" si="49"/>
        <v>2.138715277777778</v>
      </c>
      <c r="K155" s="1">
        <f t="shared" si="50"/>
        <v>0.46757041967692176</v>
      </c>
    </row>
    <row r="156" spans="1:11" x14ac:dyDescent="0.25">
      <c r="B156" s="1">
        <v>2.5</v>
      </c>
      <c r="C156" s="1">
        <v>3.2</v>
      </c>
      <c r="D156" s="1">
        <v>2.3999999999999998E-3</v>
      </c>
      <c r="E156">
        <f t="shared" si="51"/>
        <v>-3.0000000000000003E-4</v>
      </c>
      <c r="F156" s="1">
        <v>2</v>
      </c>
      <c r="G156" s="1">
        <f t="shared" si="47"/>
        <v>0.390625</v>
      </c>
      <c r="H156" s="1">
        <v>0.3</v>
      </c>
      <c r="I156" s="1">
        <f t="shared" si="48"/>
        <v>0.50000000000000011</v>
      </c>
      <c r="J156" s="1">
        <f t="shared" si="49"/>
        <v>2.3459374999999998</v>
      </c>
      <c r="K156" s="1">
        <f t="shared" si="50"/>
        <v>0.4262688157719462</v>
      </c>
    </row>
    <row r="157" spans="1:11" x14ac:dyDescent="0.25">
      <c r="B157" s="1">
        <v>2.5</v>
      </c>
      <c r="C157" s="1">
        <v>3.2</v>
      </c>
      <c r="D157" s="1">
        <v>2.3999999999999998E-3</v>
      </c>
      <c r="E157">
        <f t="shared" si="51"/>
        <v>-1.0000000000000002E-4</v>
      </c>
      <c r="F157" s="1">
        <v>2</v>
      </c>
      <c r="G157" s="1">
        <f t="shared" si="47"/>
        <v>0.29340277777777773</v>
      </c>
      <c r="H157" s="1">
        <v>0.3</v>
      </c>
      <c r="I157" s="1">
        <f t="shared" si="48"/>
        <v>0.16666666666666671</v>
      </c>
      <c r="J157" s="1">
        <f t="shared" si="49"/>
        <v>2.5628819444444444</v>
      </c>
      <c r="K157" s="1">
        <f t="shared" si="50"/>
        <v>0.39018574467220335</v>
      </c>
    </row>
    <row r="158" spans="1:11" x14ac:dyDescent="0.25">
      <c r="B158" s="1">
        <v>2.5</v>
      </c>
      <c r="C158" s="1">
        <v>3.2</v>
      </c>
      <c r="D158" s="1">
        <v>2.3999999999999998E-3</v>
      </c>
      <c r="E158">
        <f t="shared" si="51"/>
        <v>9.9999999999999991E-5</v>
      </c>
      <c r="F158" s="1">
        <v>2</v>
      </c>
      <c r="G158" s="1">
        <f t="shared" si="47"/>
        <v>0.21006944444444442</v>
      </c>
      <c r="H158" s="1">
        <v>0.3</v>
      </c>
      <c r="I158" s="1">
        <f t="shared" si="48"/>
        <v>0.16666666666666666</v>
      </c>
      <c r="J158" s="1">
        <f t="shared" si="49"/>
        <v>2.5045486111111113</v>
      </c>
      <c r="K158" s="1">
        <f t="shared" si="50"/>
        <v>0.39927354396861264</v>
      </c>
    </row>
    <row r="159" spans="1:11" x14ac:dyDescent="0.25">
      <c r="B159" s="1">
        <v>2.5</v>
      </c>
      <c r="C159" s="1">
        <v>3.2</v>
      </c>
      <c r="D159" s="1">
        <v>2.3999999999999998E-3</v>
      </c>
      <c r="E159">
        <f t="shared" si="51"/>
        <v>3.0000000000000003E-4</v>
      </c>
      <c r="F159" s="1">
        <v>2</v>
      </c>
      <c r="G159" s="1">
        <f t="shared" si="47"/>
        <v>0.140625</v>
      </c>
      <c r="H159" s="1">
        <v>0.3</v>
      </c>
      <c r="I159" s="1">
        <f t="shared" si="48"/>
        <v>0.50000000000000011</v>
      </c>
      <c r="J159" s="1">
        <f t="shared" si="49"/>
        <v>2.1709375</v>
      </c>
      <c r="K159" s="1">
        <f t="shared" si="50"/>
        <v>0.46063048798042322</v>
      </c>
    </row>
    <row r="160" spans="1:11" x14ac:dyDescent="0.25">
      <c r="B160" s="1">
        <v>2.5</v>
      </c>
      <c r="C160" s="1">
        <v>3.2</v>
      </c>
      <c r="D160" s="1">
        <v>2.3999999999999998E-3</v>
      </c>
      <c r="E160">
        <f t="shared" si="51"/>
        <v>5.0000000000000001E-4</v>
      </c>
      <c r="F160" s="1">
        <v>2</v>
      </c>
      <c r="G160" s="1">
        <f t="shared" si="47"/>
        <v>8.506944444444442E-2</v>
      </c>
      <c r="H160" s="1">
        <v>0.3</v>
      </c>
      <c r="I160" s="1">
        <f t="shared" si="48"/>
        <v>0.83333333333333337</v>
      </c>
      <c r="J160" s="1">
        <f t="shared" si="49"/>
        <v>1.8470486111111111</v>
      </c>
      <c r="K160" s="1">
        <f t="shared" si="50"/>
        <v>0.541404267318357</v>
      </c>
    </row>
    <row r="161" spans="1:11" x14ac:dyDescent="0.25">
      <c r="B161" s="1">
        <v>2.5</v>
      </c>
      <c r="C161" s="1">
        <v>3.2</v>
      </c>
      <c r="D161" s="1">
        <v>2.3999999999999998E-3</v>
      </c>
      <c r="E161">
        <f t="shared" si="51"/>
        <v>6.9999999999999999E-4</v>
      </c>
      <c r="F161" s="1">
        <v>2</v>
      </c>
      <c r="G161" s="1">
        <f t="shared" si="47"/>
        <v>4.3402777777777769E-2</v>
      </c>
      <c r="H161" s="1">
        <v>0.3</v>
      </c>
      <c r="I161" s="1">
        <f t="shared" si="48"/>
        <v>1.1666666666666667</v>
      </c>
      <c r="J161" s="1">
        <f t="shared" si="49"/>
        <v>1.5328819444444446</v>
      </c>
      <c r="K161" s="1">
        <f t="shared" si="50"/>
        <v>0.65236595918182427</v>
      </c>
    </row>
    <row r="162" spans="1:11" x14ac:dyDescent="0.25">
      <c r="B162" s="1">
        <v>2.5</v>
      </c>
      <c r="C162" s="1">
        <v>3.2</v>
      </c>
      <c r="D162" s="1">
        <v>2.3999999999999998E-3</v>
      </c>
      <c r="E162">
        <f t="shared" si="51"/>
        <v>8.9999999999999998E-4</v>
      </c>
      <c r="F162" s="1">
        <v>2</v>
      </c>
      <c r="G162" s="1">
        <f t="shared" si="47"/>
        <v>1.5625E-2</v>
      </c>
      <c r="H162" s="1">
        <v>0.3</v>
      </c>
      <c r="I162" s="1">
        <f t="shared" si="48"/>
        <v>1.5</v>
      </c>
      <c r="J162" s="1">
        <f t="shared" si="49"/>
        <v>1.2284374999999998</v>
      </c>
      <c r="K162" s="1">
        <f t="shared" si="50"/>
        <v>0.81404222844060048</v>
      </c>
    </row>
    <row r="163" spans="1:11" x14ac:dyDescent="0.25">
      <c r="B163" s="1">
        <v>2.5</v>
      </c>
      <c r="C163" s="1">
        <v>3.2</v>
      </c>
      <c r="D163" s="1">
        <v>2.3999999999999998E-3</v>
      </c>
      <c r="E163" s="13">
        <v>1.1000000000000001E-3</v>
      </c>
      <c r="F163" s="1">
        <v>2</v>
      </c>
      <c r="G163" s="1">
        <f t="shared" si="47"/>
        <v>1.7361111111111034E-3</v>
      </c>
      <c r="H163" s="1">
        <v>0.3</v>
      </c>
      <c r="I163" s="1">
        <f t="shared" si="48"/>
        <v>1.8333333333333337</v>
      </c>
      <c r="J163" s="1">
        <f t="shared" si="49"/>
        <v>0.93371527777777752</v>
      </c>
      <c r="K163" s="1">
        <f t="shared" si="50"/>
        <v>1.0709902941504597</v>
      </c>
    </row>
    <row r="165" spans="1:11" x14ac:dyDescent="0.25">
      <c r="A165" s="9" t="s">
        <v>49</v>
      </c>
      <c r="B165" s="2" t="s">
        <v>201</v>
      </c>
      <c r="C165" s="2" t="s">
        <v>202</v>
      </c>
      <c r="D165" s="2" t="s">
        <v>203</v>
      </c>
      <c r="E165" s="2" t="s">
        <v>204</v>
      </c>
      <c r="F165" s="2" t="s">
        <v>205</v>
      </c>
      <c r="G165" s="2" t="s">
        <v>206</v>
      </c>
      <c r="H165" s="2" t="s">
        <v>207</v>
      </c>
      <c r="I165" s="2" t="s">
        <v>208</v>
      </c>
      <c r="J165" s="2" t="s">
        <v>209</v>
      </c>
    </row>
    <row r="166" spans="1:11" x14ac:dyDescent="0.25">
      <c r="B166" s="1">
        <v>5300</v>
      </c>
      <c r="C166" s="1">
        <v>5800</v>
      </c>
      <c r="D166" s="1">
        <v>2.3999999999999998E-3</v>
      </c>
      <c r="E166">
        <v>-1.1000000000000001E-3</v>
      </c>
      <c r="F166" s="1">
        <v>2</v>
      </c>
      <c r="G166" s="1">
        <f>(0.5-E166/D166)^F166</f>
        <v>0.91840277777777801</v>
      </c>
      <c r="H166" s="1">
        <v>0.3</v>
      </c>
      <c r="I166" s="1">
        <f>4*(ABS(E166)/D166)</f>
        <v>1.8333333333333337</v>
      </c>
      <c r="J166" s="1">
        <f>(C166-B166)*G166+B166-(B166+C166)*(H166/2)*I166</f>
        <v>2706.7013888888882</v>
      </c>
    </row>
    <row r="167" spans="1:11" x14ac:dyDescent="0.25">
      <c r="B167" s="1">
        <v>5300</v>
      </c>
      <c r="C167" s="1">
        <v>5800</v>
      </c>
      <c r="D167" s="1">
        <v>2.3999999999999998E-3</v>
      </c>
      <c r="E167">
        <f>-0.001+0.0001</f>
        <v>-8.9999999999999998E-4</v>
      </c>
      <c r="F167" s="1">
        <v>2</v>
      </c>
      <c r="G167" s="1">
        <f t="shared" ref="G167:G177" si="52">(0.5-E167/D167)^F167</f>
        <v>0.765625</v>
      </c>
      <c r="H167" s="1">
        <v>0.3</v>
      </c>
      <c r="I167" s="1">
        <f t="shared" ref="I167:I177" si="53">4*(ABS(E167)/D167)</f>
        <v>1.5</v>
      </c>
      <c r="J167" s="1">
        <f t="shared" ref="J167:J177" si="54">(C167-B167)*G167+B167-(B167+C167)*(H167/2)*I167</f>
        <v>3185.3125</v>
      </c>
    </row>
    <row r="168" spans="1:11" x14ac:dyDescent="0.25">
      <c r="B168" s="1">
        <v>5300</v>
      </c>
      <c r="C168" s="1">
        <v>5800</v>
      </c>
      <c r="D168" s="1">
        <v>2.3999999999999998E-3</v>
      </c>
      <c r="E168">
        <f>E167+0.0002</f>
        <v>-6.9999999999999999E-4</v>
      </c>
      <c r="F168" s="1">
        <v>2</v>
      </c>
      <c r="G168" s="1">
        <f t="shared" si="52"/>
        <v>0.62673611111111127</v>
      </c>
      <c r="H168" s="1">
        <v>0.3</v>
      </c>
      <c r="I168" s="1">
        <f t="shared" si="53"/>
        <v>1.1666666666666667</v>
      </c>
      <c r="J168" s="1">
        <f t="shared" si="54"/>
        <v>3670.8680555555557</v>
      </c>
    </row>
    <row r="169" spans="1:11" x14ac:dyDescent="0.25">
      <c r="B169" s="1">
        <v>5300</v>
      </c>
      <c r="C169" s="1">
        <v>5800</v>
      </c>
      <c r="D169" s="1">
        <v>2.3999999999999998E-3</v>
      </c>
      <c r="E169">
        <f t="shared" ref="E169:E176" si="55">E168+0.0002</f>
        <v>-5.0000000000000001E-4</v>
      </c>
      <c r="F169" s="1">
        <v>2</v>
      </c>
      <c r="G169" s="1">
        <f t="shared" si="52"/>
        <v>0.50173611111111116</v>
      </c>
      <c r="H169" s="1">
        <v>0.3</v>
      </c>
      <c r="I169" s="1">
        <f t="shared" si="53"/>
        <v>0.83333333333333337</v>
      </c>
      <c r="J169" s="1">
        <f t="shared" si="54"/>
        <v>4163.3680555555557</v>
      </c>
    </row>
    <row r="170" spans="1:11" x14ac:dyDescent="0.25">
      <c r="B170" s="1">
        <v>5300</v>
      </c>
      <c r="C170" s="1">
        <v>5800</v>
      </c>
      <c r="D170" s="1">
        <v>2.3999999999999998E-3</v>
      </c>
      <c r="E170">
        <f t="shared" si="55"/>
        <v>-3.0000000000000003E-4</v>
      </c>
      <c r="F170" s="1">
        <v>2</v>
      </c>
      <c r="G170" s="1">
        <f t="shared" si="52"/>
        <v>0.390625</v>
      </c>
      <c r="H170" s="1">
        <v>0.3</v>
      </c>
      <c r="I170" s="1">
        <f t="shared" si="53"/>
        <v>0.50000000000000011</v>
      </c>
      <c r="J170" s="1">
        <f t="shared" si="54"/>
        <v>4662.8125</v>
      </c>
    </row>
    <row r="171" spans="1:11" x14ac:dyDescent="0.25">
      <c r="B171" s="1">
        <v>5300</v>
      </c>
      <c r="C171" s="1">
        <v>5800</v>
      </c>
      <c r="D171" s="1">
        <v>2.3999999999999998E-3</v>
      </c>
      <c r="E171">
        <f t="shared" si="55"/>
        <v>-1.0000000000000002E-4</v>
      </c>
      <c r="F171" s="1">
        <v>2</v>
      </c>
      <c r="G171" s="1">
        <f t="shared" si="52"/>
        <v>0.29340277777777773</v>
      </c>
      <c r="H171" s="1">
        <v>0.3</v>
      </c>
      <c r="I171" s="1">
        <f t="shared" si="53"/>
        <v>0.16666666666666671</v>
      </c>
      <c r="J171" s="1">
        <f t="shared" si="54"/>
        <v>5169.2013888888887</v>
      </c>
    </row>
    <row r="172" spans="1:11" x14ac:dyDescent="0.25">
      <c r="B172" s="1">
        <v>5300</v>
      </c>
      <c r="C172" s="1">
        <v>5800</v>
      </c>
      <c r="D172" s="1">
        <v>2.3999999999999998E-3</v>
      </c>
      <c r="E172">
        <f t="shared" si="55"/>
        <v>9.9999999999999991E-5</v>
      </c>
      <c r="F172" s="1">
        <v>2</v>
      </c>
      <c r="G172" s="1">
        <f t="shared" si="52"/>
        <v>0.21006944444444442</v>
      </c>
      <c r="H172" s="1">
        <v>0.3</v>
      </c>
      <c r="I172" s="1">
        <f t="shared" si="53"/>
        <v>0.16666666666666666</v>
      </c>
      <c r="J172" s="1">
        <f t="shared" si="54"/>
        <v>5127.5347222222226</v>
      </c>
    </row>
    <row r="173" spans="1:11" x14ac:dyDescent="0.25">
      <c r="B173" s="1">
        <v>5300</v>
      </c>
      <c r="C173" s="1">
        <v>5800</v>
      </c>
      <c r="D173" s="1">
        <v>2.3999999999999998E-3</v>
      </c>
      <c r="E173">
        <f t="shared" si="55"/>
        <v>3.0000000000000003E-4</v>
      </c>
      <c r="F173" s="1">
        <v>2</v>
      </c>
      <c r="G173" s="1">
        <f t="shared" si="52"/>
        <v>0.140625</v>
      </c>
      <c r="H173" s="1">
        <v>0.3</v>
      </c>
      <c r="I173" s="1">
        <f t="shared" si="53"/>
        <v>0.50000000000000011</v>
      </c>
      <c r="J173" s="1">
        <f t="shared" si="54"/>
        <v>4537.8125</v>
      </c>
    </row>
    <row r="174" spans="1:11" x14ac:dyDescent="0.25">
      <c r="B174" s="1">
        <v>5300</v>
      </c>
      <c r="C174" s="1">
        <v>5800</v>
      </c>
      <c r="D174" s="1">
        <v>2.3999999999999998E-3</v>
      </c>
      <c r="E174">
        <f t="shared" si="55"/>
        <v>5.0000000000000001E-4</v>
      </c>
      <c r="F174" s="1">
        <v>2</v>
      </c>
      <c r="G174" s="1">
        <f t="shared" si="52"/>
        <v>8.506944444444442E-2</v>
      </c>
      <c r="H174" s="1">
        <v>0.3</v>
      </c>
      <c r="I174" s="1">
        <f t="shared" si="53"/>
        <v>0.83333333333333337</v>
      </c>
      <c r="J174" s="1">
        <f t="shared" si="54"/>
        <v>3955.0347222222226</v>
      </c>
    </row>
    <row r="175" spans="1:11" x14ac:dyDescent="0.25">
      <c r="B175" s="1">
        <v>5300</v>
      </c>
      <c r="C175" s="1">
        <v>5800</v>
      </c>
      <c r="D175" s="1">
        <v>2.3999999999999998E-3</v>
      </c>
      <c r="E175">
        <f t="shared" si="55"/>
        <v>6.9999999999999999E-4</v>
      </c>
      <c r="F175" s="1">
        <v>2</v>
      </c>
      <c r="G175" s="1">
        <f t="shared" si="52"/>
        <v>4.3402777777777769E-2</v>
      </c>
      <c r="H175" s="1">
        <v>0.3</v>
      </c>
      <c r="I175" s="1">
        <f t="shared" si="53"/>
        <v>1.1666666666666667</v>
      </c>
      <c r="J175" s="1">
        <f t="shared" si="54"/>
        <v>3379.2013888888887</v>
      </c>
    </row>
    <row r="176" spans="1:11" x14ac:dyDescent="0.25">
      <c r="B176" s="1">
        <v>5300</v>
      </c>
      <c r="C176" s="1">
        <v>5800</v>
      </c>
      <c r="D176" s="1">
        <v>2.3999999999999998E-3</v>
      </c>
      <c r="E176">
        <f t="shared" si="55"/>
        <v>8.9999999999999998E-4</v>
      </c>
      <c r="F176" s="1">
        <v>2</v>
      </c>
      <c r="G176" s="1">
        <f t="shared" si="52"/>
        <v>1.5625E-2</v>
      </c>
      <c r="H176" s="1">
        <v>0.3</v>
      </c>
      <c r="I176" s="1">
        <f t="shared" si="53"/>
        <v>1.5</v>
      </c>
      <c r="J176" s="1">
        <f t="shared" si="54"/>
        <v>2810.3125</v>
      </c>
    </row>
    <row r="177" spans="1:28" x14ac:dyDescent="0.25">
      <c r="B177" s="1">
        <v>5300</v>
      </c>
      <c r="C177" s="1">
        <v>5800</v>
      </c>
      <c r="D177" s="1">
        <v>2.3999999999999998E-3</v>
      </c>
      <c r="E177" s="13">
        <v>1.1000000000000001E-3</v>
      </c>
      <c r="F177" s="1">
        <v>2</v>
      </c>
      <c r="G177" s="1">
        <f t="shared" si="52"/>
        <v>1.7361111111111034E-3</v>
      </c>
      <c r="H177" s="1">
        <v>0.3</v>
      </c>
      <c r="I177" s="1">
        <f t="shared" si="53"/>
        <v>1.8333333333333337</v>
      </c>
      <c r="J177" s="1">
        <f t="shared" si="54"/>
        <v>2248.3680555555552</v>
      </c>
    </row>
    <row r="181" spans="1:28" x14ac:dyDescent="0.25">
      <c r="A181" t="s">
        <v>227</v>
      </c>
      <c r="H181" t="s">
        <v>227</v>
      </c>
      <c r="O181" t="s">
        <v>227</v>
      </c>
    </row>
    <row r="182" spans="1:28" x14ac:dyDescent="0.25">
      <c r="A182" t="s">
        <v>227</v>
      </c>
      <c r="H182" t="s">
        <v>227</v>
      </c>
      <c r="O182" t="s">
        <v>227</v>
      </c>
    </row>
    <row r="183" spans="1:28" x14ac:dyDescent="0.25">
      <c r="A183" t="s">
        <v>227</v>
      </c>
      <c r="H183" t="s">
        <v>227</v>
      </c>
      <c r="O183" t="s">
        <v>227</v>
      </c>
    </row>
    <row r="184" spans="1:28" x14ac:dyDescent="0.25">
      <c r="A184" t="s">
        <v>227</v>
      </c>
      <c r="H184" t="s">
        <v>227</v>
      </c>
      <c r="O184" t="s">
        <v>227</v>
      </c>
    </row>
    <row r="185" spans="1:28" x14ac:dyDescent="0.25">
      <c r="A185" t="s">
        <v>227</v>
      </c>
      <c r="H185" t="s">
        <v>227</v>
      </c>
      <c r="O185" t="s">
        <v>227</v>
      </c>
    </row>
    <row r="186" spans="1:28" x14ac:dyDescent="0.25">
      <c r="A186" t="s">
        <v>227</v>
      </c>
      <c r="H186" t="s">
        <v>227</v>
      </c>
      <c r="O186" t="s">
        <v>227</v>
      </c>
    </row>
    <row r="187" spans="1:28" x14ac:dyDescent="0.25">
      <c r="A187" t="s">
        <v>227</v>
      </c>
      <c r="H187" t="s">
        <v>227</v>
      </c>
      <c r="O187" t="s">
        <v>227</v>
      </c>
    </row>
    <row r="189" spans="1:28" x14ac:dyDescent="0.25">
      <c r="A189" s="14" t="s">
        <v>228</v>
      </c>
      <c r="C189" s="9" t="s">
        <v>27</v>
      </c>
      <c r="D189" s="9" t="s">
        <v>28</v>
      </c>
      <c r="E189" s="9" t="s">
        <v>29</v>
      </c>
      <c r="F189" s="9" t="s">
        <v>30</v>
      </c>
      <c r="G189" s="9" t="s">
        <v>31</v>
      </c>
      <c r="H189" s="9" t="s">
        <v>229</v>
      </c>
      <c r="I189" s="9" t="s">
        <v>33</v>
      </c>
      <c r="J189" s="9" t="s">
        <v>34</v>
      </c>
      <c r="K189" s="9" t="s">
        <v>35</v>
      </c>
      <c r="L189" s="9" t="s">
        <v>36</v>
      </c>
      <c r="M189" s="9" t="s">
        <v>37</v>
      </c>
      <c r="N189" s="9" t="s">
        <v>38</v>
      </c>
      <c r="O189" s="9" t="s">
        <v>39</v>
      </c>
      <c r="P189" s="9" t="s">
        <v>40</v>
      </c>
      <c r="Q189" s="9" t="s">
        <v>41</v>
      </c>
      <c r="R189" s="9" t="s">
        <v>42</v>
      </c>
      <c r="S189" s="9" t="s">
        <v>43</v>
      </c>
      <c r="T189" s="9" t="s">
        <v>230</v>
      </c>
      <c r="U189" s="9" t="s">
        <v>231</v>
      </c>
      <c r="V189" s="9" t="s">
        <v>232</v>
      </c>
      <c r="W189" s="9" t="s">
        <v>233</v>
      </c>
      <c r="X189" s="9" t="s">
        <v>234</v>
      </c>
      <c r="Y189" s="9" t="s">
        <v>49</v>
      </c>
      <c r="Z189" s="9" t="s">
        <v>50</v>
      </c>
      <c r="AA189" s="9" t="s">
        <v>51</v>
      </c>
      <c r="AB189" s="9" t="s">
        <v>52</v>
      </c>
    </row>
    <row r="190" spans="1:28" x14ac:dyDescent="0.25">
      <c r="A190" s="11" t="s">
        <v>235</v>
      </c>
      <c r="B190" t="s">
        <v>75</v>
      </c>
      <c r="C190" s="10">
        <v>1</v>
      </c>
      <c r="D190" s="4">
        <v>119451549066.13531</v>
      </c>
      <c r="E190" s="4">
        <v>119451549066.13531</v>
      </c>
      <c r="F190" s="4">
        <v>0.31205368721702659</v>
      </c>
      <c r="G190" s="4">
        <v>0</v>
      </c>
      <c r="H190" s="4">
        <v>45479166666.666664</v>
      </c>
      <c r="I190" s="4">
        <v>51648958333.333336</v>
      </c>
      <c r="J190" s="4">
        <v>51648958333.333336</v>
      </c>
      <c r="K190" s="4">
        <v>-7.3323386691028495E-11</v>
      </c>
      <c r="L190" s="4">
        <v>-7.3323386691028495E-11</v>
      </c>
      <c r="M190" s="4">
        <v>0</v>
      </c>
      <c r="N190" s="4">
        <v>2.0000000000000001E-4</v>
      </c>
      <c r="O190" s="4">
        <v>11.296446608946567</v>
      </c>
      <c r="P190" s="4">
        <v>11.296446608946567</v>
      </c>
      <c r="Q190" s="4">
        <v>1.3540763695987659E-8</v>
      </c>
      <c r="R190" s="4">
        <v>0</v>
      </c>
      <c r="S190" s="4">
        <v>2.1994791666666636E-5</v>
      </c>
      <c r="T190" s="4">
        <v>1.5234895833333333E-5</v>
      </c>
      <c r="U190" s="4">
        <v>1.5234895833333333E-5</v>
      </c>
      <c r="V190" s="4">
        <v>0</v>
      </c>
      <c r="W190" s="4">
        <v>0</v>
      </c>
      <c r="X190" s="4">
        <v>3.1428819444444449</v>
      </c>
      <c r="Y190" s="4">
        <v>5759.2013888888887</v>
      </c>
      <c r="Z190" s="4">
        <v>-1.1999999999999999E-3</v>
      </c>
      <c r="AA190" s="4">
        <v>-1E-3</v>
      </c>
      <c r="AB190" s="3">
        <v>2</v>
      </c>
    </row>
    <row r="191" spans="1:28" x14ac:dyDescent="0.25">
      <c r="C191" s="3">
        <v>2</v>
      </c>
      <c r="D191" s="4">
        <v>125293689672.03632</v>
      </c>
      <c r="E191" s="4">
        <v>125293689672.03632</v>
      </c>
      <c r="F191" s="4">
        <v>0.32134098555343393</v>
      </c>
      <c r="G191" s="4">
        <v>0</v>
      </c>
      <c r="H191" s="4">
        <v>47312500000</v>
      </c>
      <c r="I191" s="4">
        <v>51740625000</v>
      </c>
      <c r="J191" s="4">
        <v>51740625000</v>
      </c>
      <c r="K191" s="4">
        <v>-6.1125923498570052E-11</v>
      </c>
      <c r="L191" s="4">
        <v>-6.1125923498570052E-11</v>
      </c>
      <c r="M191" s="4">
        <v>0</v>
      </c>
      <c r="N191" s="4">
        <v>2.0000000000000001E-4</v>
      </c>
      <c r="O191" s="4">
        <v>32.447240259740255</v>
      </c>
      <c r="P191" s="4">
        <v>32.447240259740255</v>
      </c>
      <c r="Q191" s="4">
        <v>1.1303706597222224E-8</v>
      </c>
      <c r="R191" s="4">
        <v>0</v>
      </c>
      <c r="S191" s="4">
        <v>4.4453125000000005E-5</v>
      </c>
      <c r="T191" s="4">
        <v>1.4364062499999999E-5</v>
      </c>
      <c r="U191" s="4">
        <v>1.4364062499999999E-5</v>
      </c>
      <c r="V191" s="4">
        <v>0</v>
      </c>
      <c r="W191" s="4">
        <v>0</v>
      </c>
      <c r="X191" s="4">
        <v>3.0359375000000002</v>
      </c>
      <c r="Y191" s="4">
        <v>5682.8125</v>
      </c>
      <c r="Z191" s="4">
        <f t="shared" ref="Z191:AA191" si="56">Z190+0.0002</f>
        <v>-9.999999999999998E-4</v>
      </c>
      <c r="AA191" s="4">
        <f t="shared" si="56"/>
        <v>-8.0000000000000004E-4</v>
      </c>
      <c r="AB191" s="3">
        <v>2</v>
      </c>
    </row>
    <row r="192" spans="1:28" x14ac:dyDescent="0.25">
      <c r="C192" s="3">
        <v>3</v>
      </c>
      <c r="D192" s="4">
        <v>130604726586.49174</v>
      </c>
      <c r="E192" s="4">
        <v>130604726586.49174</v>
      </c>
      <c r="F192" s="4">
        <v>0.32978398404107689</v>
      </c>
      <c r="G192" s="4">
        <v>0</v>
      </c>
      <c r="H192" s="4">
        <v>48979166666.666664</v>
      </c>
      <c r="I192" s="4">
        <v>51823958333.333336</v>
      </c>
      <c r="J192" s="4">
        <v>51823958333.333336</v>
      </c>
      <c r="K192" s="4">
        <v>-5.0037320596335138E-11</v>
      </c>
      <c r="L192" s="4">
        <v>-5.0037320596335138E-11</v>
      </c>
      <c r="M192" s="4">
        <v>0</v>
      </c>
      <c r="N192" s="4">
        <v>2.0000000000000001E-4</v>
      </c>
      <c r="O192" s="4">
        <v>51.675234487734457</v>
      </c>
      <c r="P192" s="4">
        <v>51.675234487734457</v>
      </c>
      <c r="Q192" s="4">
        <v>9.2700183256172878E-9</v>
      </c>
      <c r="R192" s="4">
        <v>0</v>
      </c>
      <c r="S192" s="4">
        <v>6.4869791666666635E-5</v>
      </c>
      <c r="T192" s="4">
        <v>1.3572395833333333E-5</v>
      </c>
      <c r="U192" s="4">
        <v>1.3572395833333333E-5</v>
      </c>
      <c r="V192" s="4">
        <v>0</v>
      </c>
      <c r="W192" s="4">
        <v>0</v>
      </c>
      <c r="X192" s="4">
        <v>2.9387152777777779</v>
      </c>
      <c r="Y192" s="4">
        <v>5613.3680555555557</v>
      </c>
      <c r="Z192" s="4">
        <f t="shared" ref="Z192:AA192" si="57">Z191+0.0002</f>
        <v>-7.9999999999999982E-4</v>
      </c>
      <c r="AA192" s="4">
        <f t="shared" si="57"/>
        <v>-6.0000000000000006E-4</v>
      </c>
      <c r="AB192" s="3">
        <v>2</v>
      </c>
    </row>
    <row r="193" spans="1:28" x14ac:dyDescent="0.25">
      <c r="C193" s="3">
        <v>4</v>
      </c>
      <c r="D193" s="4">
        <v>135384659809.50165</v>
      </c>
      <c r="E193" s="4">
        <v>135384659809.50165</v>
      </c>
      <c r="F193" s="4">
        <v>0.33738268267995564</v>
      </c>
      <c r="G193" s="4">
        <v>0</v>
      </c>
      <c r="H193" s="4">
        <v>50479166666.666664</v>
      </c>
      <c r="I193" s="4">
        <v>51898958333.333336</v>
      </c>
      <c r="J193" s="4">
        <v>51898958333.333336</v>
      </c>
      <c r="K193" s="4">
        <v>-4.0057577984323686E-11</v>
      </c>
      <c r="L193" s="4">
        <v>-4.0057577984323686E-11</v>
      </c>
      <c r="M193" s="4">
        <v>0</v>
      </c>
      <c r="N193" s="4">
        <v>2.0000000000000001E-4</v>
      </c>
      <c r="O193" s="4">
        <v>68.980429292929273</v>
      </c>
      <c r="P193" s="4">
        <v>68.980429292929273</v>
      </c>
      <c r="Q193" s="4">
        <v>7.4396988811728414E-9</v>
      </c>
      <c r="R193" s="4">
        <v>0</v>
      </c>
      <c r="S193" s="4">
        <v>8.3244791666666661E-5</v>
      </c>
      <c r="T193" s="4">
        <v>1.2859895833333333E-5</v>
      </c>
      <c r="U193" s="4">
        <v>1.2859895833333333E-5</v>
      </c>
      <c r="V193" s="4">
        <v>0</v>
      </c>
      <c r="W193" s="4">
        <v>0</v>
      </c>
      <c r="X193" s="4">
        <v>2.8512152777777779</v>
      </c>
      <c r="Y193" s="4">
        <v>5550.8680555555557</v>
      </c>
      <c r="Z193" s="4">
        <f t="shared" ref="Z193:AA193" si="58">Z192+0.0002</f>
        <v>-5.9999999999999984E-4</v>
      </c>
      <c r="AA193" s="4">
        <f t="shared" si="58"/>
        <v>-4.0000000000000007E-4</v>
      </c>
      <c r="AB193" s="3">
        <v>2</v>
      </c>
    </row>
    <row r="194" spans="1:28" x14ac:dyDescent="0.25">
      <c r="C194" s="3">
        <v>5</v>
      </c>
      <c r="D194" s="4">
        <v>139633489341.06601</v>
      </c>
      <c r="E194" s="4">
        <v>139633489341.06601</v>
      </c>
      <c r="F194" s="4">
        <v>0.34413708147007005</v>
      </c>
      <c r="G194" s="4">
        <v>0</v>
      </c>
      <c r="H194" s="4">
        <v>51812500000</v>
      </c>
      <c r="I194" s="4">
        <v>51965625000</v>
      </c>
      <c r="J194" s="4">
        <v>51965625000</v>
      </c>
      <c r="K194" s="4">
        <v>-3.1186695662535743E-11</v>
      </c>
      <c r="L194" s="4">
        <v>-3.1186695662535743E-11</v>
      </c>
      <c r="M194" s="4">
        <v>0</v>
      </c>
      <c r="N194" s="4">
        <v>2.0000000000000001E-4</v>
      </c>
      <c r="O194" s="4">
        <v>84.36282467532466</v>
      </c>
      <c r="P194" s="4">
        <v>84.36282467532466</v>
      </c>
      <c r="Q194" s="4">
        <v>5.8127482638888899E-9</v>
      </c>
      <c r="R194" s="4">
        <v>0</v>
      </c>
      <c r="S194" s="4">
        <v>9.9578125000000003E-5</v>
      </c>
      <c r="T194" s="4">
        <v>1.22265625E-5</v>
      </c>
      <c r="U194" s="4">
        <v>1.22265625E-5</v>
      </c>
      <c r="V194" s="4">
        <v>0</v>
      </c>
      <c r="W194" s="4">
        <v>0</v>
      </c>
      <c r="X194" s="4">
        <v>2.7734375</v>
      </c>
      <c r="Y194" s="4">
        <v>5495.3125</v>
      </c>
      <c r="Z194" s="4">
        <f t="shared" ref="Z194:AA194" si="59">Z193+0.0002</f>
        <v>-3.9999999999999986E-4</v>
      </c>
      <c r="AA194" s="4">
        <f t="shared" si="59"/>
        <v>-2.0000000000000006E-4</v>
      </c>
      <c r="AB194" s="3">
        <v>2</v>
      </c>
    </row>
    <row r="195" spans="1:28" x14ac:dyDescent="0.25">
      <c r="C195" s="3">
        <v>6</v>
      </c>
      <c r="D195" s="4">
        <v>143351215181.18481</v>
      </c>
      <c r="E195" s="4">
        <v>143351215181.18481</v>
      </c>
      <c r="F195" s="4">
        <v>0.35004718041142019</v>
      </c>
      <c r="G195" s="4">
        <v>0</v>
      </c>
      <c r="H195" s="4">
        <v>52979166666.666664</v>
      </c>
      <c r="I195" s="4">
        <v>52023958333.333336</v>
      </c>
      <c r="J195" s="4">
        <v>52023958333.333336</v>
      </c>
      <c r="K195" s="4">
        <v>-2.3424673630971285E-11</v>
      </c>
      <c r="L195" s="4">
        <v>-2.3424673630971285E-11</v>
      </c>
      <c r="M195" s="4">
        <v>0</v>
      </c>
      <c r="N195" s="4">
        <v>2.0000000000000001E-4</v>
      </c>
      <c r="O195" s="4">
        <v>97.822420634920618</v>
      </c>
      <c r="P195" s="4">
        <v>97.822420634920618</v>
      </c>
      <c r="Q195" s="4">
        <v>4.3891664737654323E-9</v>
      </c>
      <c r="R195" s="4">
        <v>0</v>
      </c>
      <c r="S195" s="4">
        <v>1.1386979166666666E-4</v>
      </c>
      <c r="T195" s="4">
        <v>1.1672395833333333E-5</v>
      </c>
      <c r="U195" s="4">
        <v>1.1672395833333333E-5</v>
      </c>
      <c r="V195" s="4">
        <v>0</v>
      </c>
      <c r="W195" s="4">
        <v>0</v>
      </c>
      <c r="X195" s="4">
        <v>2.7053819444444445</v>
      </c>
      <c r="Y195" s="4">
        <v>5446.7013888888887</v>
      </c>
      <c r="Z195" s="4">
        <f t="shared" ref="Z195:AA195" si="60">Z194+0.0002</f>
        <v>-1.9999999999999985E-4</v>
      </c>
      <c r="AA195" s="4">
        <f t="shared" si="60"/>
        <v>0</v>
      </c>
      <c r="AB195" s="3">
        <v>2</v>
      </c>
    </row>
    <row r="196" spans="1:28" x14ac:dyDescent="0.25">
      <c r="C196" s="3">
        <v>7</v>
      </c>
      <c r="D196" s="4">
        <v>146537837329.85809</v>
      </c>
      <c r="E196" s="4">
        <v>146537837329.85809</v>
      </c>
      <c r="F196" s="4">
        <v>0.355112979504006</v>
      </c>
      <c r="G196" s="4">
        <v>0</v>
      </c>
      <c r="H196" s="4">
        <v>53979166666.666664</v>
      </c>
      <c r="I196" s="4">
        <v>52073958333.333336</v>
      </c>
      <c r="J196" s="4">
        <v>52073958333.333336</v>
      </c>
      <c r="K196" s="4">
        <v>-1.6771511889630329E-11</v>
      </c>
      <c r="L196" s="4">
        <v>-1.6771511889630329E-11</v>
      </c>
      <c r="M196" s="4">
        <v>0</v>
      </c>
      <c r="N196" s="4">
        <v>2.0000000000000001E-4</v>
      </c>
      <c r="O196" s="4">
        <v>109.35921717171715</v>
      </c>
      <c r="P196" s="4">
        <v>109.35921717171715</v>
      </c>
      <c r="Q196" s="4">
        <v>3.168953510802469E-9</v>
      </c>
      <c r="R196" s="4">
        <v>0</v>
      </c>
      <c r="S196" s="4">
        <v>1.2611979166666666E-4</v>
      </c>
      <c r="T196" s="4">
        <v>1.1197395833333333E-5</v>
      </c>
      <c r="U196" s="4">
        <v>1.1197395833333333E-5</v>
      </c>
      <c r="V196" s="4">
        <v>0</v>
      </c>
      <c r="W196" s="4">
        <v>0</v>
      </c>
      <c r="X196" s="4">
        <v>2.6470486111111113</v>
      </c>
      <c r="Y196" s="4">
        <v>5405.0347222222226</v>
      </c>
      <c r="Z196" s="4">
        <f t="shared" ref="Z196:AA196" si="61">Z195+0.0002</f>
        <v>0</v>
      </c>
      <c r="AA196" s="4">
        <f t="shared" si="61"/>
        <v>2.0000000000000001E-4</v>
      </c>
      <c r="AB196" s="3">
        <v>2</v>
      </c>
    </row>
    <row r="197" spans="1:28" x14ac:dyDescent="0.25">
      <c r="C197" s="3">
        <v>8</v>
      </c>
      <c r="D197" s="4">
        <v>149193355787.08582</v>
      </c>
      <c r="E197" s="4">
        <v>149193355787.08582</v>
      </c>
      <c r="F197" s="4">
        <v>0.35933447874782748</v>
      </c>
      <c r="G197" s="4">
        <v>0</v>
      </c>
      <c r="H197" s="4">
        <v>54812500000</v>
      </c>
      <c r="I197" s="4">
        <v>52115625000</v>
      </c>
      <c r="J197" s="4">
        <v>52115625000</v>
      </c>
      <c r="K197" s="4">
        <v>-1.1227210438512867E-11</v>
      </c>
      <c r="L197" s="4">
        <v>-1.1227210438512867E-11</v>
      </c>
      <c r="M197" s="4">
        <v>0</v>
      </c>
      <c r="N197" s="4">
        <v>2.0000000000000001E-4</v>
      </c>
      <c r="O197" s="4">
        <v>118.97321428571426</v>
      </c>
      <c r="P197" s="4">
        <v>118.97321428571426</v>
      </c>
      <c r="Q197" s="4">
        <v>2.1521093750000001E-9</v>
      </c>
      <c r="R197" s="4">
        <v>0</v>
      </c>
      <c r="S197" s="4">
        <v>1.36328125E-4</v>
      </c>
      <c r="T197" s="4">
        <v>1.0801562500000001E-5</v>
      </c>
      <c r="U197" s="4">
        <v>1.0801562500000001E-5</v>
      </c>
      <c r="V197" s="4">
        <v>0</v>
      </c>
      <c r="W197" s="4">
        <v>0</v>
      </c>
      <c r="X197" s="4">
        <v>2.5984375000000002</v>
      </c>
      <c r="Y197" s="4">
        <v>5370.3125</v>
      </c>
      <c r="Z197" s="4">
        <f t="shared" ref="Z197:AA197" si="62">Z196+0.0002</f>
        <v>2.0000000000000001E-4</v>
      </c>
      <c r="AA197" s="4">
        <f t="shared" si="62"/>
        <v>4.0000000000000002E-4</v>
      </c>
      <c r="AB197" s="3">
        <v>2</v>
      </c>
    </row>
    <row r="198" spans="1:28" x14ac:dyDescent="0.25">
      <c r="C198" s="3">
        <v>9</v>
      </c>
      <c r="D198" s="4">
        <v>151317770552.86798</v>
      </c>
      <c r="E198" s="4">
        <v>151317770552.86798</v>
      </c>
      <c r="F198" s="4">
        <v>0.36271167814288469</v>
      </c>
      <c r="G198" s="4">
        <v>0</v>
      </c>
      <c r="H198" s="4">
        <v>55479166666.666664</v>
      </c>
      <c r="I198" s="4">
        <v>52148958333.333336</v>
      </c>
      <c r="J198" s="4">
        <v>52148958333.333336</v>
      </c>
      <c r="K198" s="4">
        <v>-6.7917692776188928E-12</v>
      </c>
      <c r="L198" s="4">
        <v>-6.7917692776188928E-12</v>
      </c>
      <c r="M198" s="4">
        <v>0</v>
      </c>
      <c r="N198" s="4">
        <v>2.0000000000000001E-4</v>
      </c>
      <c r="O198" s="4">
        <v>126.66441197691195</v>
      </c>
      <c r="P198" s="4">
        <v>126.66441197691195</v>
      </c>
      <c r="Q198" s="4">
        <v>1.3386340663580246E-9</v>
      </c>
      <c r="R198" s="4">
        <v>0</v>
      </c>
      <c r="S198" s="4">
        <v>1.4449479166666666E-4</v>
      </c>
      <c r="T198" s="4">
        <v>1.0484895833333334E-5</v>
      </c>
      <c r="U198" s="4">
        <v>1.0484895833333334E-5</v>
      </c>
      <c r="V198" s="4">
        <v>0</v>
      </c>
      <c r="W198" s="4">
        <v>0</v>
      </c>
      <c r="X198" s="4">
        <v>2.559548611111111</v>
      </c>
      <c r="Y198" s="4">
        <v>5342.5347222222226</v>
      </c>
      <c r="Z198" s="4">
        <f t="shared" ref="Z198:AA198" si="63">Z197+0.0002</f>
        <v>4.0000000000000002E-4</v>
      </c>
      <c r="AA198" s="4">
        <f t="shared" si="63"/>
        <v>6.0000000000000006E-4</v>
      </c>
      <c r="AB198" s="3">
        <v>2</v>
      </c>
    </row>
    <row r="199" spans="1:28" x14ac:dyDescent="0.25">
      <c r="C199" s="3">
        <v>10</v>
      </c>
      <c r="D199" s="4">
        <v>152911081627.20462</v>
      </c>
      <c r="E199" s="4">
        <v>152911081627.20462</v>
      </c>
      <c r="F199" s="4">
        <v>0.36524457768917762</v>
      </c>
      <c r="G199" s="4">
        <v>0</v>
      </c>
      <c r="H199" s="4">
        <v>55979166666.666664</v>
      </c>
      <c r="I199" s="4">
        <v>52173958333.333336</v>
      </c>
      <c r="J199" s="4">
        <v>52173958333.333336</v>
      </c>
      <c r="K199" s="4">
        <v>-3.4651884069484149E-12</v>
      </c>
      <c r="L199" s="4">
        <v>-3.4651884069484149E-12</v>
      </c>
      <c r="M199" s="4">
        <v>0</v>
      </c>
      <c r="N199" s="4">
        <v>2.0000000000000001E-4</v>
      </c>
      <c r="O199" s="4">
        <v>132.43281024531021</v>
      </c>
      <c r="P199" s="4">
        <v>132.43281024531021</v>
      </c>
      <c r="Q199" s="4">
        <v>7.2852758487654315E-10</v>
      </c>
      <c r="R199" s="4">
        <v>0</v>
      </c>
      <c r="S199" s="4">
        <v>1.5061979166666666E-4</v>
      </c>
      <c r="T199" s="4">
        <v>1.0247395833333334E-5</v>
      </c>
      <c r="U199" s="4">
        <v>1.0247395833333334E-5</v>
      </c>
      <c r="V199" s="4">
        <v>0</v>
      </c>
      <c r="W199" s="4">
        <v>0</v>
      </c>
      <c r="X199" s="4">
        <v>2.5303819444444446</v>
      </c>
      <c r="Y199" s="4">
        <v>5321.7013888888887</v>
      </c>
      <c r="Z199" s="4">
        <f t="shared" ref="Z199:AA199" si="64">Z198+0.0002</f>
        <v>6.0000000000000006E-4</v>
      </c>
      <c r="AA199" s="4">
        <f t="shared" si="64"/>
        <v>8.0000000000000004E-4</v>
      </c>
      <c r="AB199" s="3">
        <v>2</v>
      </c>
    </row>
    <row r="200" spans="1:28" x14ac:dyDescent="0.25">
      <c r="C200" s="3">
        <v>11</v>
      </c>
      <c r="D200" s="4">
        <v>153973289010.0957</v>
      </c>
      <c r="E200" s="4">
        <v>153973289010.0957</v>
      </c>
      <c r="F200" s="4">
        <v>0.36693317738670622</v>
      </c>
      <c r="G200" s="4">
        <v>0</v>
      </c>
      <c r="H200" s="4">
        <v>56312500000</v>
      </c>
      <c r="I200" s="4">
        <v>52190625000</v>
      </c>
      <c r="J200" s="4">
        <v>52190625000</v>
      </c>
      <c r="K200" s="4">
        <v>-1.2474678265014296E-12</v>
      </c>
      <c r="L200" s="4">
        <v>-1.2474678265014296E-12</v>
      </c>
      <c r="M200" s="4">
        <v>0</v>
      </c>
      <c r="N200" s="4">
        <v>2.0000000000000001E-4</v>
      </c>
      <c r="O200" s="4">
        <v>136.27840909090907</v>
      </c>
      <c r="P200" s="4">
        <v>136.27840909090907</v>
      </c>
      <c r="Q200" s="4">
        <v>3.2178993055555557E-10</v>
      </c>
      <c r="R200" s="4">
        <v>0</v>
      </c>
      <c r="S200" s="4">
        <v>1.54703125E-4</v>
      </c>
      <c r="T200" s="4">
        <v>1.00890625E-5</v>
      </c>
      <c r="U200" s="4">
        <v>1.00890625E-5</v>
      </c>
      <c r="V200" s="4">
        <v>0</v>
      </c>
      <c r="W200" s="4">
        <v>0</v>
      </c>
      <c r="X200" s="4">
        <v>2.5109374999999998</v>
      </c>
      <c r="Y200" s="4">
        <v>5307.8125</v>
      </c>
      <c r="Z200" s="4">
        <f t="shared" ref="Z200:AA200" si="65">Z199+0.0002</f>
        <v>8.0000000000000004E-4</v>
      </c>
      <c r="AA200" s="4">
        <f t="shared" si="65"/>
        <v>1E-3</v>
      </c>
      <c r="AB200" s="3">
        <v>2</v>
      </c>
    </row>
    <row r="201" spans="1:28" x14ac:dyDescent="0.25">
      <c r="B201" t="s">
        <v>240</v>
      </c>
      <c r="C201" s="10">
        <v>12</v>
      </c>
      <c r="D201" s="4">
        <v>154504392701.54129</v>
      </c>
      <c r="E201" s="4">
        <v>154504392701.54129</v>
      </c>
      <c r="F201" s="4">
        <v>0.3677774772354705</v>
      </c>
      <c r="G201" s="4">
        <v>0</v>
      </c>
      <c r="H201" s="4">
        <v>56479166666.666664</v>
      </c>
      <c r="I201" s="4">
        <v>52198958333.333336</v>
      </c>
      <c r="J201" s="4">
        <v>52198958333.333336</v>
      </c>
      <c r="K201" s="4">
        <v>-1.3860753627793601E-13</v>
      </c>
      <c r="L201" s="4">
        <v>-1.3860753627793601E-13</v>
      </c>
      <c r="M201" s="4">
        <v>0</v>
      </c>
      <c r="N201" s="4">
        <v>2.0000000000000001E-4</v>
      </c>
      <c r="O201" s="4">
        <v>138.20120851370848</v>
      </c>
      <c r="P201" s="4">
        <v>138.20120851370848</v>
      </c>
      <c r="Q201" s="4">
        <v>1.1842110339506163E-10</v>
      </c>
      <c r="R201" s="4">
        <v>0</v>
      </c>
      <c r="S201" s="4">
        <v>1.5674479166666666E-4</v>
      </c>
      <c r="T201" s="4">
        <v>1.0009895833333335E-5</v>
      </c>
      <c r="U201" s="4">
        <v>1.0009895833333335E-5</v>
      </c>
      <c r="V201" s="4">
        <v>0</v>
      </c>
      <c r="W201" s="4">
        <v>0</v>
      </c>
      <c r="X201" s="4">
        <v>2.5012152777777779</v>
      </c>
      <c r="Y201" s="4">
        <v>5300.8680555555557</v>
      </c>
      <c r="Z201" s="4">
        <f t="shared" ref="Z201:AA201" si="66">Z200+0.0002</f>
        <v>1E-3</v>
      </c>
      <c r="AA201" s="4">
        <f t="shared" si="66"/>
        <v>1.2000000000000001E-3</v>
      </c>
      <c r="AB201" s="3">
        <v>2</v>
      </c>
    </row>
    <row r="202" spans="1:28" x14ac:dyDescent="0.25">
      <c r="C202" s="10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3"/>
    </row>
    <row r="203" spans="1:28" x14ac:dyDescent="0.25">
      <c r="C203" s="10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3"/>
    </row>
    <row r="204" spans="1:28" x14ac:dyDescent="0.25">
      <c r="A204" t="s">
        <v>227</v>
      </c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3"/>
    </row>
    <row r="205" spans="1:28" x14ac:dyDescent="0.25">
      <c r="A205" t="s">
        <v>227</v>
      </c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3"/>
    </row>
    <row r="206" spans="1:28" x14ac:dyDescent="0.25">
      <c r="A206" t="s">
        <v>227</v>
      </c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3"/>
    </row>
    <row r="207" spans="1:28" x14ac:dyDescent="0.25">
      <c r="A207" s="14" t="s">
        <v>236</v>
      </c>
      <c r="C207" s="9" t="s">
        <v>27</v>
      </c>
      <c r="D207" s="9" t="s">
        <v>28</v>
      </c>
      <c r="E207" s="9" t="s">
        <v>29</v>
      </c>
      <c r="F207" s="9" t="s">
        <v>30</v>
      </c>
      <c r="G207" s="9" t="s">
        <v>31</v>
      </c>
      <c r="H207" s="9" t="s">
        <v>229</v>
      </c>
      <c r="I207" s="9" t="s">
        <v>33</v>
      </c>
      <c r="J207" s="9" t="s">
        <v>34</v>
      </c>
      <c r="K207" s="9" t="s">
        <v>35</v>
      </c>
      <c r="L207" s="9" t="s">
        <v>36</v>
      </c>
      <c r="M207" s="9" t="s">
        <v>37</v>
      </c>
      <c r="N207" s="9" t="s">
        <v>38</v>
      </c>
      <c r="O207" s="9" t="s">
        <v>39</v>
      </c>
      <c r="P207" s="9" t="s">
        <v>40</v>
      </c>
      <c r="Q207" s="9" t="s">
        <v>41</v>
      </c>
      <c r="R207" s="9" t="s">
        <v>42</v>
      </c>
      <c r="S207" s="9" t="s">
        <v>43</v>
      </c>
      <c r="T207" s="9" t="s">
        <v>230</v>
      </c>
      <c r="U207" s="9" t="s">
        <v>231</v>
      </c>
      <c r="V207" s="9" t="s">
        <v>232</v>
      </c>
      <c r="W207" s="9" t="s">
        <v>233</v>
      </c>
      <c r="X207" s="9" t="s">
        <v>234</v>
      </c>
      <c r="Y207" s="9" t="s">
        <v>49</v>
      </c>
      <c r="Z207" s="9" t="s">
        <v>50</v>
      </c>
      <c r="AA207" s="9" t="s">
        <v>51</v>
      </c>
      <c r="AB207" s="9" t="s">
        <v>52</v>
      </c>
    </row>
    <row r="208" spans="1:28" x14ac:dyDescent="0.25">
      <c r="A208" s="11" t="s">
        <v>235</v>
      </c>
      <c r="B208" t="s">
        <v>75</v>
      </c>
      <c r="C208" s="10">
        <v>1</v>
      </c>
      <c r="D208" s="4">
        <v>94618856974.797714</v>
      </c>
      <c r="E208" s="4">
        <v>94618856974.797714</v>
      </c>
      <c r="F208" s="4">
        <v>0.25018084685416719</v>
      </c>
      <c r="G208" s="4">
        <v>0</v>
      </c>
      <c r="H208" s="4">
        <v>36220833333.333328</v>
      </c>
      <c r="I208" s="4">
        <v>42133958333.333336</v>
      </c>
      <c r="J208" s="4">
        <v>42133958333.333336</v>
      </c>
      <c r="K208" s="4">
        <v>-6.6004908775553435E-11</v>
      </c>
      <c r="L208" s="4">
        <v>-6.6004908775553435E-11</v>
      </c>
      <c r="M208" s="4">
        <v>0</v>
      </c>
      <c r="N208" s="4">
        <v>2.0000000000000001E-4</v>
      </c>
      <c r="O208" s="4">
        <v>-1.3940295815296242</v>
      </c>
      <c r="P208" s="4">
        <v>-1.3940295815296242</v>
      </c>
      <c r="Q208" s="4">
        <v>1.21814794367284E-8</v>
      </c>
      <c r="R208" s="4">
        <v>0</v>
      </c>
      <c r="S208" s="4">
        <v>6.6864583333332988E-6</v>
      </c>
      <c r="T208" s="4">
        <v>1.2879062499999999E-5</v>
      </c>
      <c r="U208" s="4">
        <v>1.2879062499999999E-5</v>
      </c>
      <c r="V208" s="4">
        <v>0</v>
      </c>
      <c r="W208" s="4">
        <v>0</v>
      </c>
      <c r="X208" s="4">
        <v>2.6203819444444445</v>
      </c>
      <c r="Y208" s="4">
        <v>4741.7013888888887</v>
      </c>
      <c r="Z208" s="4">
        <v>-1.1999999999999999E-3</v>
      </c>
      <c r="AA208" s="4">
        <v>-1E-3</v>
      </c>
      <c r="AB208" s="3">
        <v>2</v>
      </c>
    </row>
    <row r="209" spans="1:28" x14ac:dyDescent="0.25">
      <c r="C209" s="3">
        <v>2</v>
      </c>
      <c r="D209" s="4">
        <v>104976032506.39645</v>
      </c>
      <c r="E209" s="4">
        <v>104976032506.39645</v>
      </c>
      <c r="F209" s="4">
        <v>0.27071775252927627</v>
      </c>
      <c r="G209" s="4">
        <v>0</v>
      </c>
      <c r="H209" s="4">
        <v>39737500000</v>
      </c>
      <c r="I209" s="4">
        <v>43955625000</v>
      </c>
      <c r="J209" s="4">
        <v>43955625000</v>
      </c>
      <c r="K209" s="4">
        <v>-5.5138077931363188E-11</v>
      </c>
      <c r="L209" s="4">
        <v>-5.5138077931363188E-11</v>
      </c>
      <c r="M209" s="4">
        <v>0</v>
      </c>
      <c r="N209" s="4">
        <v>2.0000000000000001E-4</v>
      </c>
      <c r="O209" s="4">
        <v>22.064123376623371</v>
      </c>
      <c r="P209" s="4">
        <v>22.064123376623371</v>
      </c>
      <c r="Q209" s="4">
        <v>1.0191564930555557E-8</v>
      </c>
      <c r="R209" s="4">
        <v>0</v>
      </c>
      <c r="S209" s="4">
        <v>3.1928125000000005E-5</v>
      </c>
      <c r="T209" s="4">
        <v>1.24365625E-5</v>
      </c>
      <c r="U209" s="4">
        <v>1.24365625E-5</v>
      </c>
      <c r="V209" s="4">
        <v>0</v>
      </c>
      <c r="W209" s="4">
        <v>0</v>
      </c>
      <c r="X209" s="4">
        <v>2.6084375</v>
      </c>
      <c r="Y209" s="4">
        <v>4850.3125</v>
      </c>
      <c r="Z209" s="4">
        <f t="shared" ref="Z209:AA219" si="67">Z208+0.0002</f>
        <v>-9.999999999999998E-4</v>
      </c>
      <c r="AA209" s="4">
        <f t="shared" si="67"/>
        <v>-8.0000000000000004E-4</v>
      </c>
      <c r="AB209" s="3">
        <v>2</v>
      </c>
    </row>
    <row r="210" spans="1:28" x14ac:dyDescent="0.25">
      <c r="C210" s="3">
        <v>3</v>
      </c>
      <c r="D210" s="4">
        <v>114802104346.54964</v>
      </c>
      <c r="E210" s="4">
        <v>114802104346.54964</v>
      </c>
      <c r="F210" s="4">
        <v>0.2904103583556209</v>
      </c>
      <c r="G210" s="4">
        <v>0</v>
      </c>
      <c r="H210" s="4">
        <v>43087500000</v>
      </c>
      <c r="I210" s="4">
        <v>45768958333.333336</v>
      </c>
      <c r="J210" s="4">
        <v>45768958333.333336</v>
      </c>
      <c r="K210" s="4">
        <v>-4.5380107377396469E-11</v>
      </c>
      <c r="L210" s="4">
        <v>-4.5380107377396469E-11</v>
      </c>
      <c r="M210" s="4">
        <v>0</v>
      </c>
      <c r="N210" s="4">
        <v>2.0000000000000001E-4</v>
      </c>
      <c r="O210" s="4">
        <v>43.599476911976879</v>
      </c>
      <c r="P210" s="4">
        <v>43.599476911976879</v>
      </c>
      <c r="Q210" s="4">
        <v>8.4050192515432131E-9</v>
      </c>
      <c r="R210" s="4">
        <v>0</v>
      </c>
      <c r="S210" s="4">
        <v>5.5128124999999966E-5</v>
      </c>
      <c r="T210" s="4">
        <v>1.2073229166666666E-5</v>
      </c>
      <c r="U210" s="4">
        <v>1.2073229166666666E-5</v>
      </c>
      <c r="V210" s="4">
        <v>0</v>
      </c>
      <c r="W210" s="4">
        <v>0</v>
      </c>
      <c r="X210" s="4">
        <v>2.6062152777777778</v>
      </c>
      <c r="Y210" s="4">
        <v>4965.8680555555557</v>
      </c>
      <c r="Z210" s="4">
        <f t="shared" si="67"/>
        <v>-7.9999999999999982E-4</v>
      </c>
      <c r="AA210" s="4">
        <f t="shared" si="67"/>
        <v>-6.0000000000000006E-4</v>
      </c>
      <c r="AB210" s="3">
        <v>2</v>
      </c>
    </row>
    <row r="211" spans="1:28" x14ac:dyDescent="0.25">
      <c r="C211" s="3">
        <v>4</v>
      </c>
      <c r="D211" s="4">
        <v>124097072495.25728</v>
      </c>
      <c r="E211" s="4">
        <v>124097072495.25728</v>
      </c>
      <c r="F211" s="4">
        <v>0.30925866433320137</v>
      </c>
      <c r="G211" s="4">
        <v>0</v>
      </c>
      <c r="H211" s="4">
        <v>46270833333.333328</v>
      </c>
      <c r="I211" s="4">
        <v>47573958333.333336</v>
      </c>
      <c r="J211" s="4">
        <v>47573958333.333336</v>
      </c>
      <c r="K211" s="4">
        <v>-3.6730997113653207E-11</v>
      </c>
      <c r="L211" s="4">
        <v>-3.6730997113653207E-11</v>
      </c>
      <c r="M211" s="4">
        <v>0</v>
      </c>
      <c r="N211" s="4">
        <v>2.0000000000000001E-4</v>
      </c>
      <c r="O211" s="4">
        <v>63.212031024531001</v>
      </c>
      <c r="P211" s="4">
        <v>63.212031024531001</v>
      </c>
      <c r="Q211" s="4">
        <v>6.8218423996913599E-9</v>
      </c>
      <c r="R211" s="4">
        <v>0</v>
      </c>
      <c r="S211" s="4">
        <v>7.628645833333333E-5</v>
      </c>
      <c r="T211" s="4">
        <v>1.1789062499999999E-5</v>
      </c>
      <c r="U211" s="4">
        <v>1.1789062499999999E-5</v>
      </c>
      <c r="V211" s="4">
        <v>0</v>
      </c>
      <c r="W211" s="4">
        <v>0</v>
      </c>
      <c r="X211" s="4">
        <v>2.6137152777777777</v>
      </c>
      <c r="Y211" s="4">
        <v>5088.3680555555557</v>
      </c>
      <c r="Z211" s="4">
        <f t="shared" si="67"/>
        <v>-5.9999999999999984E-4</v>
      </c>
      <c r="AA211" s="4">
        <f t="shared" si="67"/>
        <v>-4.0000000000000007E-4</v>
      </c>
      <c r="AB211" s="3">
        <v>2</v>
      </c>
    </row>
    <row r="212" spans="1:28" x14ac:dyDescent="0.25">
      <c r="C212" s="3">
        <v>5</v>
      </c>
      <c r="D212" s="4">
        <v>132860936952.51939</v>
      </c>
      <c r="E212" s="4">
        <v>132860936952.51939</v>
      </c>
      <c r="F212" s="4">
        <v>0.32726267046201751</v>
      </c>
      <c r="G212" s="4">
        <v>0</v>
      </c>
      <c r="H212" s="4">
        <v>49287500000</v>
      </c>
      <c r="I212" s="4">
        <v>49370625000</v>
      </c>
      <c r="J212" s="4">
        <v>49370625000</v>
      </c>
      <c r="K212" s="4">
        <v>-2.9190747140133452E-11</v>
      </c>
      <c r="L212" s="4">
        <v>-2.9190747140133452E-11</v>
      </c>
      <c r="M212" s="4">
        <v>0</v>
      </c>
      <c r="N212" s="4">
        <v>2.0000000000000001E-4</v>
      </c>
      <c r="O212" s="4">
        <v>80.901785714285694</v>
      </c>
      <c r="P212" s="4">
        <v>80.901785714285694</v>
      </c>
      <c r="Q212" s="4">
        <v>5.4420343750000006E-9</v>
      </c>
      <c r="R212" s="4">
        <v>0</v>
      </c>
      <c r="S212" s="4">
        <v>9.5403124999999996E-5</v>
      </c>
      <c r="T212" s="4">
        <v>1.1584062500000001E-5</v>
      </c>
      <c r="U212" s="4">
        <v>1.1584062500000001E-5</v>
      </c>
      <c r="V212" s="4">
        <v>0</v>
      </c>
      <c r="W212" s="4">
        <v>0</v>
      </c>
      <c r="X212" s="4">
        <v>2.6309374999999999</v>
      </c>
      <c r="Y212" s="4">
        <v>5217.8125</v>
      </c>
      <c r="Z212" s="4">
        <f t="shared" si="67"/>
        <v>-3.9999999999999986E-4</v>
      </c>
      <c r="AA212" s="4">
        <f t="shared" si="67"/>
        <v>-2.0000000000000006E-4</v>
      </c>
      <c r="AB212" s="3">
        <v>2</v>
      </c>
    </row>
    <row r="213" spans="1:28" x14ac:dyDescent="0.25">
      <c r="C213" s="3">
        <v>6</v>
      </c>
      <c r="D213" s="4">
        <v>141093697718.33594</v>
      </c>
      <c r="E213" s="4">
        <v>141093697718.33594</v>
      </c>
      <c r="F213" s="4">
        <v>0.34442237674206932</v>
      </c>
      <c r="G213" s="4">
        <v>0</v>
      </c>
      <c r="H213" s="4">
        <v>52137500000</v>
      </c>
      <c r="I213" s="4">
        <v>51158958333.333336</v>
      </c>
      <c r="J213" s="4">
        <v>51158958333.333336</v>
      </c>
      <c r="K213" s="4">
        <v>-2.275935745683719E-11</v>
      </c>
      <c r="L213" s="4">
        <v>-2.275935745683719E-11</v>
      </c>
      <c r="M213" s="4">
        <v>0</v>
      </c>
      <c r="N213" s="4">
        <v>2.0000000000000001E-4</v>
      </c>
      <c r="O213" s="4">
        <v>96.668740981240958</v>
      </c>
      <c r="P213" s="4">
        <v>96.668740981240958</v>
      </c>
      <c r="Q213" s="4">
        <v>4.2655951774691361E-9</v>
      </c>
      <c r="R213" s="4">
        <v>0</v>
      </c>
      <c r="S213" s="4">
        <v>1.1247812499999999E-4</v>
      </c>
      <c r="T213" s="4">
        <v>1.1458229166666666E-5</v>
      </c>
      <c r="U213" s="4">
        <v>1.1458229166666666E-5</v>
      </c>
      <c r="V213" s="4">
        <v>0</v>
      </c>
      <c r="W213" s="4">
        <v>0</v>
      </c>
      <c r="X213" s="4">
        <v>2.6578819444444446</v>
      </c>
      <c r="Y213" s="4">
        <v>5354.2013888888887</v>
      </c>
      <c r="Z213" s="4">
        <f t="shared" si="67"/>
        <v>-1.9999999999999985E-4</v>
      </c>
      <c r="AA213" s="4">
        <f t="shared" si="67"/>
        <v>0</v>
      </c>
      <c r="AB213" s="3">
        <v>2</v>
      </c>
    </row>
    <row r="214" spans="1:28" x14ac:dyDescent="0.25">
      <c r="C214" s="3">
        <v>7</v>
      </c>
      <c r="D214" s="4">
        <v>144280319867.00922</v>
      </c>
      <c r="E214" s="4">
        <v>144280319867.00922</v>
      </c>
      <c r="F214" s="4">
        <v>0.34948817583465513</v>
      </c>
      <c r="G214" s="4">
        <v>0</v>
      </c>
      <c r="H214" s="4">
        <v>53137500000</v>
      </c>
      <c r="I214" s="4">
        <v>51208958333.333336</v>
      </c>
      <c r="J214" s="4">
        <v>51208958333.333336</v>
      </c>
      <c r="K214" s="4">
        <v>-1.6106195715496234E-11</v>
      </c>
      <c r="L214" s="4">
        <v>-1.6106195715496234E-11</v>
      </c>
      <c r="M214" s="4">
        <v>0</v>
      </c>
      <c r="N214" s="4">
        <v>2.0000000000000001E-4</v>
      </c>
      <c r="O214" s="4">
        <v>108.20553751803749</v>
      </c>
      <c r="P214" s="4">
        <v>108.20553751803749</v>
      </c>
      <c r="Q214" s="4">
        <v>3.0453822145061729E-9</v>
      </c>
      <c r="R214" s="4">
        <v>0</v>
      </c>
      <c r="S214" s="4">
        <v>1.2472812499999999E-4</v>
      </c>
      <c r="T214" s="4">
        <v>1.0983229166666666E-5</v>
      </c>
      <c r="U214" s="4">
        <v>1.0983229166666666E-5</v>
      </c>
      <c r="V214" s="4">
        <v>0</v>
      </c>
      <c r="W214" s="4">
        <v>0</v>
      </c>
      <c r="X214" s="4">
        <v>2.5995486111111115</v>
      </c>
      <c r="Y214" s="4">
        <v>5312.5347222222226</v>
      </c>
      <c r="Z214" s="4">
        <f t="shared" si="67"/>
        <v>0</v>
      </c>
      <c r="AA214" s="4">
        <f t="shared" si="67"/>
        <v>2.0000000000000001E-4</v>
      </c>
      <c r="AB214" s="3">
        <v>2</v>
      </c>
    </row>
    <row r="215" spans="1:28" x14ac:dyDescent="0.25">
      <c r="C215" s="3">
        <v>8</v>
      </c>
      <c r="D215" s="4">
        <v>142420803398.53918</v>
      </c>
      <c r="E215" s="4">
        <v>142420803398.53918</v>
      </c>
      <c r="F215" s="4">
        <v>0.34246006773977489</v>
      </c>
      <c r="G215" s="4">
        <v>0</v>
      </c>
      <c r="H215" s="4">
        <v>52287500000</v>
      </c>
      <c r="I215" s="4">
        <v>49520625000</v>
      </c>
      <c r="J215" s="4">
        <v>49520625000</v>
      </c>
      <c r="K215" s="4">
        <v>-9.2312619161105782E-12</v>
      </c>
      <c r="L215" s="4">
        <v>-9.2312619161105782E-12</v>
      </c>
      <c r="M215" s="4">
        <v>0</v>
      </c>
      <c r="N215" s="4">
        <v>2.0000000000000001E-4</v>
      </c>
      <c r="O215" s="4">
        <v>115.5121753246753</v>
      </c>
      <c r="P215" s="4">
        <v>115.5121753246753</v>
      </c>
      <c r="Q215" s="4">
        <v>1.7813954861111111E-9</v>
      </c>
      <c r="R215" s="4">
        <v>0</v>
      </c>
      <c r="S215" s="4">
        <v>1.32153125E-4</v>
      </c>
      <c r="T215" s="4">
        <v>1.01590625E-5</v>
      </c>
      <c r="U215" s="4">
        <v>1.01590625E-5</v>
      </c>
      <c r="V215" s="4">
        <v>0</v>
      </c>
      <c r="W215" s="4">
        <v>0</v>
      </c>
      <c r="X215" s="4">
        <v>2.4559375000000001</v>
      </c>
      <c r="Y215" s="4">
        <v>5092.8125</v>
      </c>
      <c r="Z215" s="4">
        <f t="shared" si="67"/>
        <v>2.0000000000000001E-4</v>
      </c>
      <c r="AA215" s="4">
        <f t="shared" si="67"/>
        <v>4.0000000000000002E-4</v>
      </c>
      <c r="AB215" s="3">
        <v>2</v>
      </c>
    </row>
    <row r="216" spans="1:28" x14ac:dyDescent="0.25">
      <c r="C216" s="3">
        <v>9</v>
      </c>
      <c r="D216" s="4">
        <v>140030183238.62363</v>
      </c>
      <c r="E216" s="4">
        <v>140030183238.62363</v>
      </c>
      <c r="F216" s="4">
        <v>0.33458765979613042</v>
      </c>
      <c r="G216" s="4">
        <v>0</v>
      </c>
      <c r="H216" s="4">
        <v>51270833333.333328</v>
      </c>
      <c r="I216" s="4">
        <v>47823958333.333336</v>
      </c>
      <c r="J216" s="4">
        <v>47823958333.333336</v>
      </c>
      <c r="K216" s="4">
        <v>-3.4651884069484137E-12</v>
      </c>
      <c r="L216" s="4">
        <v>-3.4651884069484137E-12</v>
      </c>
      <c r="M216" s="4">
        <v>0</v>
      </c>
      <c r="N216" s="4">
        <v>2.0000000000000001E-4</v>
      </c>
      <c r="O216" s="4">
        <v>120.89601370851368</v>
      </c>
      <c r="P216" s="4">
        <v>120.89601370851368</v>
      </c>
      <c r="Q216" s="4">
        <v>7.2077758487654294E-10</v>
      </c>
      <c r="R216" s="4">
        <v>0</v>
      </c>
      <c r="S216" s="4">
        <v>1.3753645833333331E-4</v>
      </c>
      <c r="T216" s="4">
        <v>9.414062500000001E-6</v>
      </c>
      <c r="U216" s="4">
        <v>9.414062500000001E-6</v>
      </c>
      <c r="V216" s="4">
        <v>0</v>
      </c>
      <c r="W216" s="4">
        <v>0</v>
      </c>
      <c r="X216" s="4">
        <v>2.3220486111111107</v>
      </c>
      <c r="Y216" s="4">
        <v>4880.0347222222226</v>
      </c>
      <c r="Z216" s="4">
        <f t="shared" si="67"/>
        <v>4.0000000000000002E-4</v>
      </c>
      <c r="AA216" s="4">
        <f t="shared" si="67"/>
        <v>6.0000000000000006E-4</v>
      </c>
      <c r="AB216" s="3">
        <v>2</v>
      </c>
    </row>
    <row r="217" spans="1:28" x14ac:dyDescent="0.25">
      <c r="C217" s="3">
        <v>10</v>
      </c>
      <c r="D217" s="4">
        <v>137108459387.26251</v>
      </c>
      <c r="E217" s="4">
        <v>137108459387.26251</v>
      </c>
      <c r="F217" s="4">
        <v>0.32587095200372163</v>
      </c>
      <c r="G217" s="4">
        <v>0</v>
      </c>
      <c r="H217" s="4">
        <v>50087500000</v>
      </c>
      <c r="I217" s="4">
        <v>46118958333.333336</v>
      </c>
      <c r="J217" s="4">
        <v>46118958333.333336</v>
      </c>
      <c r="K217" s="4">
        <v>1.1920248119902564E-12</v>
      </c>
      <c r="L217" s="4">
        <v>1.1920248119902564E-12</v>
      </c>
      <c r="M217" s="4">
        <v>0</v>
      </c>
      <c r="N217" s="4">
        <v>2.0000000000000001E-4</v>
      </c>
      <c r="O217" s="4">
        <v>124.35705266955263</v>
      </c>
      <c r="P217" s="4">
        <v>124.35705266955263</v>
      </c>
      <c r="Q217" s="4">
        <v>-1.3647148919753106E-10</v>
      </c>
      <c r="R217" s="4">
        <v>0</v>
      </c>
      <c r="S217" s="4">
        <v>1.40878125E-4</v>
      </c>
      <c r="T217" s="4">
        <v>8.7482291666666663E-6</v>
      </c>
      <c r="U217" s="4">
        <v>8.7482291666666663E-6</v>
      </c>
      <c r="V217" s="4">
        <v>0</v>
      </c>
      <c r="W217" s="4">
        <v>0</v>
      </c>
      <c r="X217" s="4">
        <v>2.1978819444444446</v>
      </c>
      <c r="Y217" s="4">
        <v>4674.2013888888887</v>
      </c>
      <c r="Z217" s="4">
        <f t="shared" si="67"/>
        <v>6.0000000000000006E-4</v>
      </c>
      <c r="AA217" s="4">
        <f t="shared" si="67"/>
        <v>8.0000000000000004E-4</v>
      </c>
      <c r="AB217" s="3">
        <v>2</v>
      </c>
    </row>
    <row r="218" spans="1:28" x14ac:dyDescent="0.25">
      <c r="C218" s="3">
        <v>11</v>
      </c>
      <c r="D218" s="4">
        <v>133655631844.45584</v>
      </c>
      <c r="E218" s="4">
        <v>133655631844.45584</v>
      </c>
      <c r="F218" s="4">
        <v>0.31630994436254856</v>
      </c>
      <c r="G218" s="4">
        <v>0</v>
      </c>
      <c r="H218" s="4">
        <v>48737500000</v>
      </c>
      <c r="I218" s="4">
        <v>44405625000</v>
      </c>
      <c r="J218" s="4">
        <v>44405625000</v>
      </c>
      <c r="K218" s="4">
        <v>4.7403777407054331E-12</v>
      </c>
      <c r="L218" s="4">
        <v>4.7403777407054331E-12</v>
      </c>
      <c r="M218" s="4">
        <v>0</v>
      </c>
      <c r="N218" s="4">
        <v>2.0000000000000001E-4</v>
      </c>
      <c r="O218" s="4">
        <v>125.89529220779218</v>
      </c>
      <c r="P218" s="4">
        <v>125.89529220779218</v>
      </c>
      <c r="Q218" s="4">
        <v>-7.9035173611111133E-10</v>
      </c>
      <c r="R218" s="4">
        <v>0</v>
      </c>
      <c r="S218" s="4">
        <v>1.4217812500000001E-4</v>
      </c>
      <c r="T218" s="4">
        <v>8.1615625000000007E-6</v>
      </c>
      <c r="U218" s="4">
        <v>8.1615625000000007E-6</v>
      </c>
      <c r="V218" s="4">
        <v>0</v>
      </c>
      <c r="W218" s="4">
        <v>0</v>
      </c>
      <c r="X218" s="4">
        <v>2.0834374999999996</v>
      </c>
      <c r="Y218" s="4">
        <v>4475.3125</v>
      </c>
      <c r="Z218" s="4">
        <f t="shared" si="67"/>
        <v>8.0000000000000004E-4</v>
      </c>
      <c r="AA218" s="4">
        <f t="shared" si="67"/>
        <v>1E-3</v>
      </c>
      <c r="AB218" s="3">
        <v>2</v>
      </c>
    </row>
    <row r="219" spans="1:28" x14ac:dyDescent="0.25">
      <c r="B219" t="s">
        <v>240</v>
      </c>
      <c r="C219" s="10">
        <v>12</v>
      </c>
      <c r="D219" s="4">
        <v>129671700610.20367</v>
      </c>
      <c r="E219" s="4">
        <v>129671700610.20367</v>
      </c>
      <c r="F219" s="4">
        <v>0.3059046368726111</v>
      </c>
      <c r="G219" s="4">
        <v>0</v>
      </c>
      <c r="H219" s="4">
        <v>47220833333.333328</v>
      </c>
      <c r="I219" s="4">
        <v>42683958333.333336</v>
      </c>
      <c r="J219" s="4">
        <v>42683958333.333336</v>
      </c>
      <c r="K219" s="4">
        <v>7.1798703791971193E-12</v>
      </c>
      <c r="L219" s="4">
        <v>7.1798703791971193E-12</v>
      </c>
      <c r="M219" s="4">
        <v>0</v>
      </c>
      <c r="N219" s="4">
        <v>2.0000000000000001E-4</v>
      </c>
      <c r="O219" s="4">
        <v>125.51073232323229</v>
      </c>
      <c r="P219" s="4">
        <v>125.51073232323229</v>
      </c>
      <c r="Q219" s="4">
        <v>-1.2408631558641981E-9</v>
      </c>
      <c r="R219" s="4">
        <v>0</v>
      </c>
      <c r="S219" s="4">
        <v>1.4143645833333333E-4</v>
      </c>
      <c r="T219" s="4">
        <v>7.6540625000000009E-6</v>
      </c>
      <c r="U219" s="4">
        <v>7.6540625000000009E-6</v>
      </c>
      <c r="V219" s="4">
        <v>0</v>
      </c>
      <c r="W219" s="4">
        <v>0</v>
      </c>
      <c r="X219" s="4">
        <v>1.9787152777777777</v>
      </c>
      <c r="Y219" s="4">
        <v>4283.3680555555557</v>
      </c>
      <c r="Z219" s="4">
        <f t="shared" si="67"/>
        <v>1E-3</v>
      </c>
      <c r="AA219" s="4">
        <f t="shared" si="67"/>
        <v>1.2000000000000001E-3</v>
      </c>
      <c r="AB219" s="3">
        <v>2</v>
      </c>
    </row>
    <row r="220" spans="1:28" x14ac:dyDescent="0.25">
      <c r="C220" s="10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3"/>
    </row>
    <row r="221" spans="1:28" x14ac:dyDescent="0.25">
      <c r="C221" s="10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3"/>
    </row>
    <row r="222" spans="1:28" x14ac:dyDescent="0.25">
      <c r="C222" s="10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3"/>
    </row>
    <row r="223" spans="1:28" x14ac:dyDescent="0.25">
      <c r="A223" s="14" t="s">
        <v>237</v>
      </c>
      <c r="C223" s="9" t="s">
        <v>27</v>
      </c>
      <c r="D223" s="9" t="s">
        <v>28</v>
      </c>
      <c r="E223" s="9" t="s">
        <v>29</v>
      </c>
      <c r="F223" s="9" t="s">
        <v>30</v>
      </c>
      <c r="G223" s="9" t="s">
        <v>31</v>
      </c>
      <c r="H223" s="9" t="s">
        <v>229</v>
      </c>
      <c r="I223" s="9" t="s">
        <v>33</v>
      </c>
      <c r="J223" s="9" t="s">
        <v>34</v>
      </c>
      <c r="K223" s="9" t="s">
        <v>35</v>
      </c>
      <c r="L223" s="9" t="s">
        <v>36</v>
      </c>
      <c r="M223" s="9" t="s">
        <v>37</v>
      </c>
      <c r="N223" s="9" t="s">
        <v>38</v>
      </c>
      <c r="O223" s="9" t="s">
        <v>39</v>
      </c>
      <c r="P223" s="9" t="s">
        <v>40</v>
      </c>
      <c r="Q223" s="9" t="s">
        <v>41</v>
      </c>
      <c r="R223" s="9" t="s">
        <v>42</v>
      </c>
      <c r="S223" s="9" t="s">
        <v>43</v>
      </c>
      <c r="T223" s="9" t="s">
        <v>230</v>
      </c>
      <c r="U223" s="9" t="s">
        <v>231</v>
      </c>
      <c r="V223" s="9" t="s">
        <v>232</v>
      </c>
      <c r="W223" s="9" t="s">
        <v>233</v>
      </c>
      <c r="X223" s="9" t="s">
        <v>234</v>
      </c>
      <c r="Y223" s="9" t="s">
        <v>49</v>
      </c>
      <c r="Z223" s="9" t="s">
        <v>50</v>
      </c>
      <c r="AA223" s="9" t="s">
        <v>51</v>
      </c>
      <c r="AB223" s="9" t="s">
        <v>52</v>
      </c>
    </row>
    <row r="224" spans="1:28" x14ac:dyDescent="0.25">
      <c r="A224" s="11" t="s">
        <v>235</v>
      </c>
      <c r="B224" t="s">
        <v>75</v>
      </c>
      <c r="C224" s="10">
        <v>1</v>
      </c>
      <c r="D224" s="4">
        <v>69786164883.460114</v>
      </c>
      <c r="E224" s="4">
        <v>69786164883.460114</v>
      </c>
      <c r="F224" s="4">
        <v>0.1883080064913078</v>
      </c>
      <c r="G224" s="4">
        <v>0</v>
      </c>
      <c r="H224" s="4">
        <v>26962499999.999992</v>
      </c>
      <c r="I224" s="4">
        <v>32618958333.333332</v>
      </c>
      <c r="J224" s="4">
        <v>32618958333.333332</v>
      </c>
      <c r="K224" s="4">
        <v>-5.8686430860078387E-11</v>
      </c>
      <c r="L224" s="4">
        <v>-5.8686430860078387E-11</v>
      </c>
      <c r="M224" s="4">
        <v>0</v>
      </c>
      <c r="N224" s="4">
        <v>2.0000000000000001E-4</v>
      </c>
      <c r="O224" s="4">
        <v>-14.084505772005816</v>
      </c>
      <c r="P224" s="4">
        <v>-14.084505772005816</v>
      </c>
      <c r="Q224" s="4">
        <v>1.0822195177469141E-8</v>
      </c>
      <c r="R224" s="4">
        <v>0</v>
      </c>
      <c r="S224" s="4">
        <v>-8.6218750000000385E-6</v>
      </c>
      <c r="T224" s="4">
        <v>1.0523229166666665E-5</v>
      </c>
      <c r="U224" s="4">
        <v>1.0523229166666665E-5</v>
      </c>
      <c r="V224" s="4">
        <v>0</v>
      </c>
      <c r="W224" s="4">
        <v>0</v>
      </c>
      <c r="X224" s="4">
        <v>2.0978819444444445</v>
      </c>
      <c r="Y224" s="4">
        <v>3724.2013888888882</v>
      </c>
      <c r="Z224" s="4">
        <v>-1.1999999999999999E-3</v>
      </c>
      <c r="AA224" s="4">
        <v>-1E-3</v>
      </c>
      <c r="AB224" s="3">
        <v>2</v>
      </c>
    </row>
    <row r="225" spans="1:28" x14ac:dyDescent="0.25">
      <c r="C225" s="3">
        <v>2</v>
      </c>
      <c r="D225" s="4">
        <v>84658375340.756607</v>
      </c>
      <c r="E225" s="4">
        <v>84658375340.756607</v>
      </c>
      <c r="F225" s="4">
        <v>0.22009451950511857</v>
      </c>
      <c r="G225" s="4">
        <v>0</v>
      </c>
      <c r="H225" s="4">
        <v>32162500000</v>
      </c>
      <c r="I225" s="4">
        <v>36170625000</v>
      </c>
      <c r="J225" s="4">
        <v>36170625000</v>
      </c>
      <c r="K225" s="4">
        <v>-4.9150232364156323E-11</v>
      </c>
      <c r="L225" s="4">
        <v>-4.9150232364156323E-11</v>
      </c>
      <c r="M225" s="4">
        <v>0</v>
      </c>
      <c r="N225" s="4">
        <v>2.0000000000000001E-4</v>
      </c>
      <c r="O225" s="4">
        <v>11.681006493506491</v>
      </c>
      <c r="P225" s="4">
        <v>11.681006493506491</v>
      </c>
      <c r="Q225" s="4">
        <v>9.0794232638888901E-9</v>
      </c>
      <c r="R225" s="4">
        <v>0</v>
      </c>
      <c r="S225" s="4">
        <v>1.9403125000000006E-5</v>
      </c>
      <c r="T225" s="4">
        <v>1.0509062499999998E-5</v>
      </c>
      <c r="U225" s="4">
        <v>1.0509062499999998E-5</v>
      </c>
      <c r="V225" s="4">
        <v>0</v>
      </c>
      <c r="W225" s="4">
        <v>0</v>
      </c>
      <c r="X225" s="4">
        <v>2.1809375000000002</v>
      </c>
      <c r="Y225" s="4">
        <v>4017.8125</v>
      </c>
      <c r="Z225" s="4">
        <f t="shared" ref="Z225:AA225" si="68">Z224+0.0002</f>
        <v>-9.999999999999998E-4</v>
      </c>
      <c r="AA225" s="4">
        <f t="shared" si="68"/>
        <v>-8.0000000000000004E-4</v>
      </c>
      <c r="AB225" s="3">
        <v>2</v>
      </c>
    </row>
    <row r="226" spans="1:28" x14ac:dyDescent="0.25">
      <c r="C226" s="3">
        <v>3</v>
      </c>
      <c r="D226" s="4">
        <v>98999482106.607529</v>
      </c>
      <c r="E226" s="4">
        <v>98999482106.607529</v>
      </c>
      <c r="F226" s="4">
        <v>0.25103673267016491</v>
      </c>
      <c r="G226" s="4">
        <v>0</v>
      </c>
      <c r="H226" s="4">
        <v>37195833333.333328</v>
      </c>
      <c r="I226" s="4">
        <v>39713958333.333336</v>
      </c>
      <c r="J226" s="4">
        <v>39713958333.333336</v>
      </c>
      <c r="K226" s="4">
        <v>-4.0722894158457794E-11</v>
      </c>
      <c r="L226" s="4">
        <v>-4.0722894158457794E-11</v>
      </c>
      <c r="M226" s="4">
        <v>0</v>
      </c>
      <c r="N226" s="4">
        <v>2.0000000000000001E-4</v>
      </c>
      <c r="O226" s="4">
        <v>35.523719336219301</v>
      </c>
      <c r="P226" s="4">
        <v>35.523719336219301</v>
      </c>
      <c r="Q226" s="4">
        <v>7.5400201774691385E-9</v>
      </c>
      <c r="R226" s="4">
        <v>0</v>
      </c>
      <c r="S226" s="4">
        <v>4.5386458333333298E-5</v>
      </c>
      <c r="T226" s="4">
        <v>1.0574062499999998E-5</v>
      </c>
      <c r="U226" s="4">
        <v>1.0574062499999998E-5</v>
      </c>
      <c r="V226" s="4">
        <v>0</v>
      </c>
      <c r="W226" s="4">
        <v>0</v>
      </c>
      <c r="X226" s="4">
        <v>2.2737152777777778</v>
      </c>
      <c r="Y226" s="4">
        <v>4318.3680555555557</v>
      </c>
      <c r="Z226" s="4">
        <f t="shared" ref="Z226:AA226" si="69">Z225+0.0002</f>
        <v>-7.9999999999999982E-4</v>
      </c>
      <c r="AA226" s="4">
        <f t="shared" si="69"/>
        <v>-6.0000000000000006E-4</v>
      </c>
      <c r="AB226" s="3">
        <v>2</v>
      </c>
    </row>
    <row r="227" spans="1:28" x14ac:dyDescent="0.25">
      <c r="C227" s="3">
        <v>4</v>
      </c>
      <c r="D227" s="4">
        <v>112809485181.01292</v>
      </c>
      <c r="E227" s="4">
        <v>112809485181.01292</v>
      </c>
      <c r="F227" s="4">
        <v>0.28113464598644711</v>
      </c>
      <c r="G227" s="4">
        <v>0</v>
      </c>
      <c r="H227" s="4">
        <v>42062500000</v>
      </c>
      <c r="I227" s="4">
        <v>43248958333.333336</v>
      </c>
      <c r="J227" s="4">
        <v>43248958333.333336</v>
      </c>
      <c r="K227" s="4">
        <v>-3.3404416242982727E-11</v>
      </c>
      <c r="L227" s="4">
        <v>-3.3404416242982727E-11</v>
      </c>
      <c r="M227" s="4">
        <v>0</v>
      </c>
      <c r="N227" s="4">
        <v>2.0000000000000001E-4</v>
      </c>
      <c r="O227" s="4">
        <v>57.443632756132736</v>
      </c>
      <c r="P227" s="4">
        <v>57.443632756132736</v>
      </c>
      <c r="Q227" s="4">
        <v>6.2039859182098784E-9</v>
      </c>
      <c r="R227" s="4">
        <v>0</v>
      </c>
      <c r="S227" s="4">
        <v>6.9328125E-5</v>
      </c>
      <c r="T227" s="4">
        <v>1.0718229166666666E-5</v>
      </c>
      <c r="U227" s="4">
        <v>1.0718229166666666E-5</v>
      </c>
      <c r="V227" s="4">
        <v>0</v>
      </c>
      <c r="W227" s="4">
        <v>0</v>
      </c>
      <c r="X227" s="4">
        <v>2.3762152777777779</v>
      </c>
      <c r="Y227" s="4">
        <v>4625.8680555555557</v>
      </c>
      <c r="Z227" s="4">
        <f t="shared" ref="Z227:AA227" si="70">Z226+0.0002</f>
        <v>-5.9999999999999984E-4</v>
      </c>
      <c r="AA227" s="4">
        <f t="shared" si="70"/>
        <v>-4.0000000000000007E-4</v>
      </c>
      <c r="AB227" s="3">
        <v>2</v>
      </c>
    </row>
    <row r="228" spans="1:28" x14ac:dyDescent="0.25">
      <c r="C228" s="3">
        <v>5</v>
      </c>
      <c r="D228" s="4">
        <v>126088384563.97278</v>
      </c>
      <c r="E228" s="4">
        <v>126088384563.97278</v>
      </c>
      <c r="F228" s="4">
        <v>0.31038825945396492</v>
      </c>
      <c r="G228" s="4">
        <v>0</v>
      </c>
      <c r="H228" s="4">
        <v>46762500000</v>
      </c>
      <c r="I228" s="4">
        <v>46775625000</v>
      </c>
      <c r="J228" s="4">
        <v>46775625000</v>
      </c>
      <c r="K228" s="4">
        <v>-2.7194798617731169E-11</v>
      </c>
      <c r="L228" s="4">
        <v>-2.7194798617731169E-11</v>
      </c>
      <c r="M228" s="4">
        <v>0</v>
      </c>
      <c r="N228" s="4">
        <v>2.0000000000000001E-4</v>
      </c>
      <c r="O228" s="4">
        <v>77.440746753246742</v>
      </c>
      <c r="P228" s="4">
        <v>77.440746753246742</v>
      </c>
      <c r="Q228" s="4">
        <v>5.0713204861111122E-9</v>
      </c>
      <c r="R228" s="4">
        <v>0</v>
      </c>
      <c r="S228" s="4">
        <v>9.1228125000000003E-5</v>
      </c>
      <c r="T228" s="4">
        <v>1.0941562499999999E-5</v>
      </c>
      <c r="U228" s="4">
        <v>1.0941562499999999E-5</v>
      </c>
      <c r="V228" s="4">
        <v>0</v>
      </c>
      <c r="W228" s="4">
        <v>0</v>
      </c>
      <c r="X228" s="4">
        <v>2.4884374999999999</v>
      </c>
      <c r="Y228" s="4">
        <v>4940.3125</v>
      </c>
      <c r="Z228" s="4">
        <f t="shared" ref="Z228:AA228" si="71">Z227+0.0002</f>
        <v>-3.9999999999999986E-4</v>
      </c>
      <c r="AA228" s="4">
        <f t="shared" si="71"/>
        <v>-2.0000000000000006E-4</v>
      </c>
      <c r="AB228" s="3">
        <v>2</v>
      </c>
    </row>
    <row r="229" spans="1:28" x14ac:dyDescent="0.25">
      <c r="C229" s="3">
        <v>6</v>
      </c>
      <c r="D229" s="4">
        <v>138836180255.48706</v>
      </c>
      <c r="E229" s="4">
        <v>138836180255.48706</v>
      </c>
      <c r="F229" s="4">
        <v>0.33879757307271846</v>
      </c>
      <c r="G229" s="4">
        <v>0</v>
      </c>
      <c r="H229" s="4">
        <v>51295833333.333328</v>
      </c>
      <c r="I229" s="4">
        <v>50293958333.333336</v>
      </c>
      <c r="J229" s="4">
        <v>50293958333.333336</v>
      </c>
      <c r="K229" s="4">
        <v>-2.2094041282703093E-11</v>
      </c>
      <c r="L229" s="4">
        <v>-2.2094041282703093E-11</v>
      </c>
      <c r="M229" s="4">
        <v>0</v>
      </c>
      <c r="N229" s="4">
        <v>2.0000000000000001E-4</v>
      </c>
      <c r="O229" s="4">
        <v>95.515061327561313</v>
      </c>
      <c r="P229" s="4">
        <v>95.515061327561313</v>
      </c>
      <c r="Q229" s="4">
        <v>4.1420238811728392E-9</v>
      </c>
      <c r="R229" s="4">
        <v>0</v>
      </c>
      <c r="S229" s="4">
        <v>1.1108645833333332E-4</v>
      </c>
      <c r="T229" s="4">
        <v>1.1244062499999999E-5</v>
      </c>
      <c r="U229" s="4">
        <v>1.1244062499999999E-5</v>
      </c>
      <c r="V229" s="4">
        <v>0</v>
      </c>
      <c r="W229" s="4">
        <v>0</v>
      </c>
      <c r="X229" s="4">
        <v>2.6103819444444443</v>
      </c>
      <c r="Y229" s="4">
        <v>5261.7013888888887</v>
      </c>
      <c r="Z229" s="4">
        <f t="shared" ref="Z229:AA229" si="72">Z228+0.0002</f>
        <v>-1.9999999999999985E-4</v>
      </c>
      <c r="AA229" s="4">
        <f t="shared" si="72"/>
        <v>0</v>
      </c>
      <c r="AB229" s="3">
        <v>2</v>
      </c>
    </row>
    <row r="230" spans="1:28" x14ac:dyDescent="0.25">
      <c r="C230" s="3">
        <v>7</v>
      </c>
      <c r="D230" s="4">
        <v>142022802404.16034</v>
      </c>
      <c r="E230" s="4">
        <v>142022802404.16034</v>
      </c>
      <c r="F230" s="4">
        <v>0.34386337216530427</v>
      </c>
      <c r="G230" s="4">
        <v>0</v>
      </c>
      <c r="H230" s="4">
        <v>52295833333.333328</v>
      </c>
      <c r="I230" s="4">
        <v>50343958333.333336</v>
      </c>
      <c r="J230" s="4">
        <v>50343958333.333336</v>
      </c>
      <c r="K230" s="4">
        <v>-1.5440879541362137E-11</v>
      </c>
      <c r="L230" s="4">
        <v>-1.5440879541362137E-11</v>
      </c>
      <c r="M230" s="4">
        <v>0</v>
      </c>
      <c r="N230" s="4">
        <v>2.0000000000000001E-4</v>
      </c>
      <c r="O230" s="4">
        <v>107.05185786435784</v>
      </c>
      <c r="P230" s="4">
        <v>107.05185786435784</v>
      </c>
      <c r="Q230" s="4">
        <v>2.9218109182098763E-9</v>
      </c>
      <c r="R230" s="4">
        <v>0</v>
      </c>
      <c r="S230" s="4">
        <v>1.2333645833333332E-4</v>
      </c>
      <c r="T230" s="4">
        <v>1.0769062499999999E-5</v>
      </c>
      <c r="U230" s="4">
        <v>1.0769062499999999E-5</v>
      </c>
      <c r="V230" s="4">
        <v>0</v>
      </c>
      <c r="W230" s="4">
        <v>0</v>
      </c>
      <c r="X230" s="4">
        <v>2.5520486111111111</v>
      </c>
      <c r="Y230" s="4">
        <v>5220.0347222222226</v>
      </c>
      <c r="Z230" s="4">
        <f t="shared" ref="Z230:AA230" si="73">Z229+0.0002</f>
        <v>0</v>
      </c>
      <c r="AA230" s="4">
        <f t="shared" si="73"/>
        <v>2.0000000000000001E-4</v>
      </c>
      <c r="AB230" s="3">
        <v>2</v>
      </c>
    </row>
    <row r="231" spans="1:28" x14ac:dyDescent="0.25">
      <c r="C231" s="3">
        <v>8</v>
      </c>
      <c r="D231" s="4">
        <v>135648251009.99258</v>
      </c>
      <c r="E231" s="4">
        <v>135648251009.99258</v>
      </c>
      <c r="F231" s="4">
        <v>0.32558565673172235</v>
      </c>
      <c r="G231" s="4">
        <v>0</v>
      </c>
      <c r="H231" s="4">
        <v>49762500000</v>
      </c>
      <c r="I231" s="4">
        <v>46925625000</v>
      </c>
      <c r="J231" s="4">
        <v>46925625000</v>
      </c>
      <c r="K231" s="4">
        <v>-7.2353133937082911E-12</v>
      </c>
      <c r="L231" s="4">
        <v>-7.2353133937082911E-12</v>
      </c>
      <c r="M231" s="4">
        <v>0</v>
      </c>
      <c r="N231" s="4">
        <v>2.0000000000000001E-4</v>
      </c>
      <c r="O231" s="4">
        <v>112.05113636363635</v>
      </c>
      <c r="P231" s="4">
        <v>112.05113636363635</v>
      </c>
      <c r="Q231" s="4">
        <v>1.4106815972222221E-9</v>
      </c>
      <c r="R231" s="4">
        <v>0</v>
      </c>
      <c r="S231" s="4">
        <v>1.2797812499999999E-4</v>
      </c>
      <c r="T231" s="4">
        <v>9.5165625000000004E-6</v>
      </c>
      <c r="U231" s="4">
        <v>9.5165625000000004E-6</v>
      </c>
      <c r="V231" s="4">
        <v>0</v>
      </c>
      <c r="W231" s="4">
        <v>0</v>
      </c>
      <c r="X231" s="4">
        <v>2.3134375</v>
      </c>
      <c r="Y231" s="4">
        <v>4815.3125</v>
      </c>
      <c r="Z231" s="4">
        <f t="shared" ref="Z231:AA231" si="74">Z230+0.0002</f>
        <v>2.0000000000000001E-4</v>
      </c>
      <c r="AA231" s="4">
        <f t="shared" si="74"/>
        <v>4.0000000000000002E-4</v>
      </c>
      <c r="AB231" s="3">
        <v>2</v>
      </c>
    </row>
    <row r="232" spans="1:28" x14ac:dyDescent="0.25">
      <c r="C232" s="3">
        <v>9</v>
      </c>
      <c r="D232" s="4">
        <v>128742595924.37926</v>
      </c>
      <c r="E232" s="4">
        <v>128742595924.37926</v>
      </c>
      <c r="F232" s="4">
        <v>0.30646364144937616</v>
      </c>
      <c r="G232" s="4">
        <v>0</v>
      </c>
      <c r="H232" s="4">
        <v>47062500000</v>
      </c>
      <c r="I232" s="4">
        <v>43498958333.333336</v>
      </c>
      <c r="J232" s="4">
        <v>43498958333.333336</v>
      </c>
      <c r="K232" s="4">
        <v>-1.3860753627793449E-13</v>
      </c>
      <c r="L232" s="4">
        <v>-1.3860753627793449E-13</v>
      </c>
      <c r="M232" s="4">
        <v>0</v>
      </c>
      <c r="N232" s="4">
        <v>2.0000000000000001E-4</v>
      </c>
      <c r="O232" s="4">
        <v>115.12761544011542</v>
      </c>
      <c r="P232" s="4">
        <v>115.12761544011542</v>
      </c>
      <c r="Q232" s="4">
        <v>1.0292110339506132E-10</v>
      </c>
      <c r="R232" s="4">
        <v>0</v>
      </c>
      <c r="S232" s="4">
        <v>1.30578125E-4</v>
      </c>
      <c r="T232" s="4">
        <v>8.3432291666666676E-6</v>
      </c>
      <c r="U232" s="4">
        <v>8.3432291666666676E-6</v>
      </c>
      <c r="V232" s="4">
        <v>0</v>
      </c>
      <c r="W232" s="4">
        <v>0</v>
      </c>
      <c r="X232" s="4">
        <v>2.0845486111111109</v>
      </c>
      <c r="Y232" s="4">
        <v>4417.5347222222226</v>
      </c>
      <c r="Z232" s="4">
        <f t="shared" ref="Z232:AA232" si="75">Z231+0.0002</f>
        <v>4.0000000000000002E-4</v>
      </c>
      <c r="AA232" s="4">
        <f t="shared" si="75"/>
        <v>6.0000000000000006E-4</v>
      </c>
      <c r="AB232" s="3">
        <v>2</v>
      </c>
    </row>
    <row r="233" spans="1:28" x14ac:dyDescent="0.25">
      <c r="C233" s="3">
        <v>10</v>
      </c>
      <c r="D233" s="4">
        <v>121305837147.3204</v>
      </c>
      <c r="E233" s="4">
        <v>121305837147.3204</v>
      </c>
      <c r="F233" s="4">
        <v>0.28649732631826563</v>
      </c>
      <c r="G233" s="4">
        <v>0</v>
      </c>
      <c r="H233" s="4">
        <v>44195833333.333328</v>
      </c>
      <c r="I233" s="4">
        <v>40063958333.333336</v>
      </c>
      <c r="J233" s="4">
        <v>40063958333.333336</v>
      </c>
      <c r="K233" s="4">
        <v>5.8492380309289276E-12</v>
      </c>
      <c r="L233" s="4">
        <v>5.8492380309289276E-12</v>
      </c>
      <c r="M233" s="4">
        <v>0</v>
      </c>
      <c r="N233" s="4">
        <v>2.0000000000000001E-4</v>
      </c>
      <c r="O233" s="4">
        <v>116.28129509379505</v>
      </c>
      <c r="P233" s="4">
        <v>116.28129509379505</v>
      </c>
      <c r="Q233" s="4">
        <v>-1.0014705632716053E-9</v>
      </c>
      <c r="R233" s="4">
        <v>0</v>
      </c>
      <c r="S233" s="4">
        <v>1.3113645833333332E-4</v>
      </c>
      <c r="T233" s="4">
        <v>7.2490624999999997E-6</v>
      </c>
      <c r="U233" s="4">
        <v>7.2490624999999997E-6</v>
      </c>
      <c r="V233" s="4">
        <v>0</v>
      </c>
      <c r="W233" s="4">
        <v>0</v>
      </c>
      <c r="X233" s="4">
        <v>1.8653819444444446</v>
      </c>
      <c r="Y233" s="4">
        <v>4026.7013888888887</v>
      </c>
      <c r="Z233" s="4">
        <f t="shared" ref="Z233:AA233" si="76">Z232+0.0002</f>
        <v>6.0000000000000006E-4</v>
      </c>
      <c r="AA233" s="4">
        <f t="shared" si="76"/>
        <v>8.0000000000000004E-4</v>
      </c>
      <c r="AB233" s="3">
        <v>2</v>
      </c>
    </row>
    <row r="234" spans="1:28" x14ac:dyDescent="0.25">
      <c r="C234" s="3">
        <v>11</v>
      </c>
      <c r="D234" s="4">
        <v>113337974678.81599</v>
      </c>
      <c r="E234" s="4">
        <v>113337974678.81599</v>
      </c>
      <c r="F234" s="4">
        <v>0.26568671133839084</v>
      </c>
      <c r="G234" s="4">
        <v>0</v>
      </c>
      <c r="H234" s="4">
        <v>41162500000</v>
      </c>
      <c r="I234" s="4">
        <v>36620625000</v>
      </c>
      <c r="J234" s="4">
        <v>36620625000</v>
      </c>
      <c r="K234" s="4">
        <v>1.0728223307912296E-11</v>
      </c>
      <c r="L234" s="4">
        <v>1.0728223307912296E-11</v>
      </c>
      <c r="M234" s="4">
        <v>0</v>
      </c>
      <c r="N234" s="4">
        <v>2.0000000000000001E-4</v>
      </c>
      <c r="O234" s="4">
        <v>115.5121753246753</v>
      </c>
      <c r="P234" s="4">
        <v>115.5121753246753</v>
      </c>
      <c r="Q234" s="4">
        <v>-1.9024934027777783E-9</v>
      </c>
      <c r="R234" s="4">
        <v>0</v>
      </c>
      <c r="S234" s="4">
        <v>1.2965312500000002E-4</v>
      </c>
      <c r="T234" s="4">
        <v>6.2340625000000001E-6</v>
      </c>
      <c r="U234" s="4">
        <v>6.2340625000000001E-6</v>
      </c>
      <c r="V234" s="4">
        <v>0</v>
      </c>
      <c r="W234" s="4">
        <v>0</v>
      </c>
      <c r="X234" s="4">
        <v>1.6559374999999998</v>
      </c>
      <c r="Y234" s="4">
        <v>3642.8125</v>
      </c>
      <c r="Z234" s="4">
        <f t="shared" ref="Z234:AA234" si="77">Z233+0.0002</f>
        <v>8.0000000000000004E-4</v>
      </c>
      <c r="AA234" s="4">
        <f t="shared" si="77"/>
        <v>1E-3</v>
      </c>
      <c r="AB234" s="3">
        <v>2</v>
      </c>
    </row>
    <row r="235" spans="1:28" x14ac:dyDescent="0.25">
      <c r="B235" t="s">
        <v>240</v>
      </c>
      <c r="C235" s="10">
        <v>12</v>
      </c>
      <c r="D235" s="4">
        <v>104839008518.86607</v>
      </c>
      <c r="E235" s="4">
        <v>104839008518.86607</v>
      </c>
      <c r="F235" s="4">
        <v>0.24403179650975171</v>
      </c>
      <c r="G235" s="4">
        <v>0</v>
      </c>
      <c r="H235" s="4">
        <v>37962499999.999992</v>
      </c>
      <c r="I235" s="4">
        <v>33168958333.333332</v>
      </c>
      <c r="J235" s="4">
        <v>33168958333.333332</v>
      </c>
      <c r="K235" s="4">
        <v>1.4498348294672175E-11</v>
      </c>
      <c r="L235" s="4">
        <v>1.4498348294672175E-11</v>
      </c>
      <c r="M235" s="4">
        <v>0</v>
      </c>
      <c r="N235" s="4">
        <v>2.0000000000000001E-4</v>
      </c>
      <c r="O235" s="4">
        <v>112.8202561327561</v>
      </c>
      <c r="P235" s="4">
        <v>112.8202561327561</v>
      </c>
      <c r="Q235" s="4">
        <v>-2.6001474151234577E-9</v>
      </c>
      <c r="R235" s="4">
        <v>0</v>
      </c>
      <c r="S235" s="4">
        <v>1.2612812499999997E-4</v>
      </c>
      <c r="T235" s="4">
        <v>5.2982291666666662E-6</v>
      </c>
      <c r="U235" s="4">
        <v>5.2982291666666662E-6</v>
      </c>
      <c r="V235" s="4">
        <v>0</v>
      </c>
      <c r="W235" s="4">
        <v>0</v>
      </c>
      <c r="X235" s="4">
        <v>1.4562152777777775</v>
      </c>
      <c r="Y235" s="4">
        <v>3265.8680555555552</v>
      </c>
      <c r="Z235" s="4">
        <f t="shared" ref="Z235:AA235" si="78">Z234+0.0002</f>
        <v>1E-3</v>
      </c>
      <c r="AA235" s="4">
        <f t="shared" si="78"/>
        <v>1.2000000000000001E-3</v>
      </c>
      <c r="AB235" s="3">
        <v>2</v>
      </c>
    </row>
    <row r="239" spans="1:28" x14ac:dyDescent="0.25">
      <c r="A239" s="14" t="s">
        <v>238</v>
      </c>
      <c r="C239" s="9" t="s">
        <v>27</v>
      </c>
      <c r="D239" s="9" t="s">
        <v>28</v>
      </c>
      <c r="E239" s="9" t="s">
        <v>29</v>
      </c>
      <c r="F239" s="9" t="s">
        <v>30</v>
      </c>
      <c r="G239" s="9" t="s">
        <v>31</v>
      </c>
      <c r="H239" s="9" t="s">
        <v>229</v>
      </c>
      <c r="I239" s="9" t="s">
        <v>33</v>
      </c>
      <c r="J239" s="9" t="s">
        <v>34</v>
      </c>
      <c r="K239" s="9" t="s">
        <v>35</v>
      </c>
      <c r="L239" s="9" t="s">
        <v>36</v>
      </c>
      <c r="M239" s="9" t="s">
        <v>37</v>
      </c>
      <c r="N239" s="9" t="s">
        <v>38</v>
      </c>
      <c r="O239" s="9" t="s">
        <v>39</v>
      </c>
      <c r="P239" s="9" t="s">
        <v>40</v>
      </c>
      <c r="Q239" s="9" t="s">
        <v>41</v>
      </c>
      <c r="R239" s="9" t="s">
        <v>42</v>
      </c>
      <c r="S239" s="9" t="s">
        <v>43</v>
      </c>
      <c r="T239" s="9" t="s">
        <v>230</v>
      </c>
      <c r="U239" s="9" t="s">
        <v>231</v>
      </c>
      <c r="V239" s="9" t="s">
        <v>232</v>
      </c>
      <c r="W239" s="9" t="s">
        <v>233</v>
      </c>
      <c r="X239" s="9" t="s">
        <v>234</v>
      </c>
      <c r="Y239" s="9" t="s">
        <v>49</v>
      </c>
      <c r="Z239" s="9" t="s">
        <v>50</v>
      </c>
      <c r="AA239" s="9" t="s">
        <v>51</v>
      </c>
      <c r="AB239" s="9" t="s">
        <v>52</v>
      </c>
    </row>
    <row r="240" spans="1:28" x14ac:dyDescent="0.25">
      <c r="A240" s="11" t="s">
        <v>235</v>
      </c>
      <c r="B240" t="s">
        <v>75</v>
      </c>
      <c r="C240" s="10">
        <v>1</v>
      </c>
      <c r="D240" s="4">
        <v>44953472792.122513</v>
      </c>
      <c r="E240" s="4">
        <v>44953472792.122513</v>
      </c>
      <c r="F240" s="4">
        <v>0.12643516612844841</v>
      </c>
      <c r="G240" s="4">
        <v>0</v>
      </c>
      <c r="H240" s="4">
        <v>17704166666.66666</v>
      </c>
      <c r="I240" s="4">
        <v>23103958333.333328</v>
      </c>
      <c r="J240" s="4">
        <v>23103958333.333328</v>
      </c>
      <c r="K240" s="4">
        <v>-5.1367952944603327E-11</v>
      </c>
      <c r="L240" s="4">
        <v>-5.1367952944603327E-11</v>
      </c>
      <c r="M240" s="4">
        <v>0</v>
      </c>
      <c r="N240" s="4">
        <v>2.0000000000000001E-4</v>
      </c>
      <c r="O240" s="4">
        <v>-26.774981962482002</v>
      </c>
      <c r="P240" s="4">
        <v>-26.774981962482002</v>
      </c>
      <c r="Q240" s="4">
        <v>9.4629109182098814E-9</v>
      </c>
      <c r="R240" s="4">
        <v>0</v>
      </c>
      <c r="S240" s="4">
        <v>-2.3930208333333369E-5</v>
      </c>
      <c r="T240" s="4">
        <v>8.1673958333333299E-6</v>
      </c>
      <c r="U240" s="4">
        <v>8.1673958333333299E-6</v>
      </c>
      <c r="V240" s="4">
        <v>0</v>
      </c>
      <c r="W240" s="4">
        <v>0</v>
      </c>
      <c r="X240" s="4">
        <v>1.5753819444444446</v>
      </c>
      <c r="Y240" s="4">
        <v>2706.7013888888882</v>
      </c>
      <c r="Z240" s="4">
        <v>-1.1999999999999999E-3</v>
      </c>
      <c r="AA240" s="4">
        <v>-1E-3</v>
      </c>
      <c r="AB240" s="3">
        <v>2</v>
      </c>
    </row>
    <row r="241" spans="1:28" x14ac:dyDescent="0.25">
      <c r="C241" s="3">
        <v>2</v>
      </c>
      <c r="D241" s="4">
        <v>64340718175.11676</v>
      </c>
      <c r="E241" s="4">
        <v>64340718175.11676</v>
      </c>
      <c r="F241" s="4">
        <v>0.16947128648096091</v>
      </c>
      <c r="G241" s="4">
        <v>0</v>
      </c>
      <c r="H241" s="4">
        <v>24587500000</v>
      </c>
      <c r="I241" s="4">
        <v>28385625000</v>
      </c>
      <c r="J241" s="4">
        <v>28385625000</v>
      </c>
      <c r="K241" s="4">
        <v>-4.3162386796949465E-11</v>
      </c>
      <c r="L241" s="4">
        <v>-4.3162386796949465E-11</v>
      </c>
      <c r="M241" s="4">
        <v>0</v>
      </c>
      <c r="N241" s="4">
        <v>2.0000000000000001E-4</v>
      </c>
      <c r="O241" s="4">
        <v>1.297889610389614</v>
      </c>
      <c r="P241" s="4">
        <v>1.297889610389614</v>
      </c>
      <c r="Q241" s="4">
        <v>7.9672815972222232E-9</v>
      </c>
      <c r="R241" s="4">
        <v>0</v>
      </c>
      <c r="S241" s="4">
        <v>6.8781250000000062E-6</v>
      </c>
      <c r="T241" s="4">
        <v>8.5815624999999984E-6</v>
      </c>
      <c r="U241" s="4">
        <v>8.5815624999999984E-6</v>
      </c>
      <c r="V241" s="4">
        <v>0</v>
      </c>
      <c r="W241" s="4">
        <v>0</v>
      </c>
      <c r="X241" s="4">
        <v>1.7534375000000002</v>
      </c>
      <c r="Y241" s="4">
        <v>3185.3125</v>
      </c>
      <c r="Z241" s="4">
        <f t="shared" ref="Z241:AA241" si="79">Z240+0.0002</f>
        <v>-9.999999999999998E-4</v>
      </c>
      <c r="AA241" s="4">
        <f t="shared" si="79"/>
        <v>-8.0000000000000004E-4</v>
      </c>
      <c r="AB241" s="3">
        <v>2</v>
      </c>
    </row>
    <row r="242" spans="1:28" x14ac:dyDescent="0.25">
      <c r="C242" s="3">
        <v>3</v>
      </c>
      <c r="D242" s="4">
        <v>83196859866.665421</v>
      </c>
      <c r="E242" s="4">
        <v>83196859866.665421</v>
      </c>
      <c r="F242" s="4">
        <v>0.21166310698470897</v>
      </c>
      <c r="G242" s="4">
        <v>0</v>
      </c>
      <c r="H242" s="4">
        <v>31304166666.666664</v>
      </c>
      <c r="I242" s="4">
        <v>33658958333.333336</v>
      </c>
      <c r="J242" s="4">
        <v>33658958333.333336</v>
      </c>
      <c r="K242" s="4">
        <v>-3.6065680939519125E-11</v>
      </c>
      <c r="L242" s="4">
        <v>-3.6065680939519125E-11</v>
      </c>
      <c r="M242" s="4">
        <v>0</v>
      </c>
      <c r="N242" s="4">
        <v>2.0000000000000001E-4</v>
      </c>
      <c r="O242" s="4">
        <v>27.447961760461734</v>
      </c>
      <c r="P242" s="4">
        <v>27.447961760461734</v>
      </c>
      <c r="Q242" s="4">
        <v>6.6750211033950655E-9</v>
      </c>
      <c r="R242" s="4">
        <v>0</v>
      </c>
      <c r="S242" s="4">
        <v>3.5644791666666629E-5</v>
      </c>
      <c r="T242" s="4">
        <v>9.0748958333333326E-6</v>
      </c>
      <c r="U242" s="4">
        <v>9.0748958333333326E-6</v>
      </c>
      <c r="V242" s="4">
        <v>0</v>
      </c>
      <c r="W242" s="4">
        <v>0</v>
      </c>
      <c r="X242" s="4">
        <v>1.9412152777777778</v>
      </c>
      <c r="Y242" s="4">
        <v>3670.8680555555557</v>
      </c>
      <c r="Z242" s="4">
        <f t="shared" ref="Z242:AA242" si="80">Z241+0.0002</f>
        <v>-7.9999999999999982E-4</v>
      </c>
      <c r="AA242" s="4">
        <f t="shared" si="80"/>
        <v>-6.0000000000000006E-4</v>
      </c>
      <c r="AB242" s="3">
        <v>2</v>
      </c>
    </row>
    <row r="243" spans="1:28" x14ac:dyDescent="0.25">
      <c r="C243" s="3">
        <v>4</v>
      </c>
      <c r="D243" s="4">
        <v>101521897866.76855</v>
      </c>
      <c r="E243" s="4">
        <v>101521897866.76855</v>
      </c>
      <c r="F243" s="4">
        <v>0.25301062763969284</v>
      </c>
      <c r="G243" s="4">
        <v>0</v>
      </c>
      <c r="H243" s="4">
        <v>37854166666.666664</v>
      </c>
      <c r="I243" s="4">
        <v>38923958333.333336</v>
      </c>
      <c r="J243" s="4">
        <v>38923958333.333336</v>
      </c>
      <c r="K243" s="4">
        <v>-3.0077835372312247E-11</v>
      </c>
      <c r="L243" s="4">
        <v>-3.0077835372312247E-11</v>
      </c>
      <c r="M243" s="4">
        <v>0</v>
      </c>
      <c r="N243" s="4">
        <v>2.0000000000000001E-4</v>
      </c>
      <c r="O243" s="4">
        <v>51.675234487734471</v>
      </c>
      <c r="P243" s="4">
        <v>51.675234487734471</v>
      </c>
      <c r="Q243" s="4">
        <v>5.5861294367283969E-9</v>
      </c>
      <c r="R243" s="4">
        <v>0</v>
      </c>
      <c r="S243" s="4">
        <v>6.2369791666666655E-5</v>
      </c>
      <c r="T243" s="4">
        <v>9.6473958333333326E-6</v>
      </c>
      <c r="U243" s="4">
        <v>9.6473958333333326E-6</v>
      </c>
      <c r="V243" s="4">
        <v>0</v>
      </c>
      <c r="W243" s="4">
        <v>0</v>
      </c>
      <c r="X243" s="4">
        <v>2.138715277777778</v>
      </c>
      <c r="Y243" s="4">
        <v>4163.3680555555557</v>
      </c>
      <c r="Z243" s="4">
        <f t="shared" ref="Z243:AA243" si="81">Z242+0.0002</f>
        <v>-5.9999999999999984E-4</v>
      </c>
      <c r="AA243" s="4">
        <f t="shared" si="81"/>
        <v>-4.0000000000000007E-4</v>
      </c>
      <c r="AB243" s="3">
        <v>2</v>
      </c>
    </row>
    <row r="244" spans="1:28" x14ac:dyDescent="0.25">
      <c r="C244" s="3">
        <v>5</v>
      </c>
      <c r="D244" s="4">
        <v>119315832175.42615</v>
      </c>
      <c r="E244" s="4">
        <v>119315832175.42615</v>
      </c>
      <c r="F244" s="4">
        <v>0.29351384844591238</v>
      </c>
      <c r="G244" s="4">
        <v>0</v>
      </c>
      <c r="H244" s="4">
        <v>44237500000</v>
      </c>
      <c r="I244" s="4">
        <v>44180625000</v>
      </c>
      <c r="J244" s="4">
        <v>44180625000</v>
      </c>
      <c r="K244" s="4">
        <v>-2.5198850095328878E-11</v>
      </c>
      <c r="L244" s="4">
        <v>-2.5198850095328878E-11</v>
      </c>
      <c r="M244" s="4">
        <v>0</v>
      </c>
      <c r="N244" s="4">
        <v>2.0000000000000001E-4</v>
      </c>
      <c r="O244" s="4">
        <v>73.979707792207776</v>
      </c>
      <c r="P244" s="4">
        <v>73.979707792207776</v>
      </c>
      <c r="Q244" s="4">
        <v>4.700606597222223E-9</v>
      </c>
      <c r="R244" s="4">
        <v>0</v>
      </c>
      <c r="S244" s="4">
        <v>8.7053124999999997E-5</v>
      </c>
      <c r="T244" s="4">
        <v>1.0299062499999998E-5</v>
      </c>
      <c r="U244" s="4">
        <v>1.0299062499999998E-5</v>
      </c>
      <c r="V244" s="4">
        <v>0</v>
      </c>
      <c r="W244" s="4">
        <v>0</v>
      </c>
      <c r="X244" s="4">
        <v>2.3459374999999998</v>
      </c>
      <c r="Y244" s="4">
        <v>4662.8125</v>
      </c>
      <c r="Z244" s="4">
        <f t="shared" ref="Z244:AA244" si="82">Z243+0.0002</f>
        <v>-3.9999999999999986E-4</v>
      </c>
      <c r="AA244" s="4">
        <f t="shared" si="82"/>
        <v>-2.0000000000000006E-4</v>
      </c>
      <c r="AB244" s="3">
        <v>2</v>
      </c>
    </row>
    <row r="245" spans="1:28" x14ac:dyDescent="0.25">
      <c r="C245" s="3">
        <v>6</v>
      </c>
      <c r="D245" s="4">
        <v>136578662792.6382</v>
      </c>
      <c r="E245" s="4">
        <v>136578662792.6382</v>
      </c>
      <c r="F245" s="4">
        <v>0.33317276940336765</v>
      </c>
      <c r="G245" s="4">
        <v>0</v>
      </c>
      <c r="H245" s="4">
        <v>50454166666.666664</v>
      </c>
      <c r="I245" s="4">
        <v>49428958333.333336</v>
      </c>
      <c r="J245" s="4">
        <v>49428958333.333336</v>
      </c>
      <c r="K245" s="4">
        <v>-2.1428725108568998E-11</v>
      </c>
      <c r="L245" s="4">
        <v>-2.1428725108568998E-11</v>
      </c>
      <c r="M245" s="4">
        <v>0</v>
      </c>
      <c r="N245" s="4">
        <v>2.0000000000000001E-4</v>
      </c>
      <c r="O245" s="4">
        <v>94.361381673881652</v>
      </c>
      <c r="P245" s="4">
        <v>94.361381673881652</v>
      </c>
      <c r="Q245" s="4">
        <v>4.018452584876543E-9</v>
      </c>
      <c r="R245" s="4">
        <v>0</v>
      </c>
      <c r="S245" s="4">
        <v>1.0969479166666665E-4</v>
      </c>
      <c r="T245" s="4">
        <v>1.1029895833333332E-5</v>
      </c>
      <c r="U245" s="4">
        <v>1.1029895833333332E-5</v>
      </c>
      <c r="V245" s="4">
        <v>0</v>
      </c>
      <c r="W245" s="4">
        <v>0</v>
      </c>
      <c r="X245" s="4">
        <v>2.5628819444444444</v>
      </c>
      <c r="Y245" s="4">
        <v>5169.2013888888887</v>
      </c>
      <c r="Z245" s="4">
        <f t="shared" ref="Z245:AA245" si="83">Z244+0.0002</f>
        <v>-1.9999999999999985E-4</v>
      </c>
      <c r="AA245" s="4">
        <f t="shared" si="83"/>
        <v>0</v>
      </c>
      <c r="AB245" s="3">
        <v>2</v>
      </c>
    </row>
    <row r="246" spans="1:28" x14ac:dyDescent="0.25">
      <c r="C246" s="3">
        <v>7</v>
      </c>
      <c r="D246" s="4">
        <v>139765284941.31146</v>
      </c>
      <c r="E246" s="4">
        <v>139765284941.31146</v>
      </c>
      <c r="F246" s="4">
        <v>0.33823856849595346</v>
      </c>
      <c r="G246" s="4">
        <v>0</v>
      </c>
      <c r="H246" s="4">
        <v>51454166666.666664</v>
      </c>
      <c r="I246" s="4">
        <v>49478958333.333336</v>
      </c>
      <c r="J246" s="4">
        <v>49478958333.333336</v>
      </c>
      <c r="K246" s="4">
        <v>-1.4775563367228042E-11</v>
      </c>
      <c r="L246" s="4">
        <v>-1.4775563367228042E-11</v>
      </c>
      <c r="M246" s="4">
        <v>0</v>
      </c>
      <c r="N246" s="4">
        <v>2.0000000000000001E-4</v>
      </c>
      <c r="O246" s="4">
        <v>105.89817821067818</v>
      </c>
      <c r="P246" s="4">
        <v>105.89817821067818</v>
      </c>
      <c r="Q246" s="4">
        <v>2.7982396219135802E-9</v>
      </c>
      <c r="R246" s="4">
        <v>0</v>
      </c>
      <c r="S246" s="4">
        <v>1.2194479166666665E-4</v>
      </c>
      <c r="T246" s="4">
        <v>1.0554895833333334E-5</v>
      </c>
      <c r="U246" s="4">
        <v>1.0554895833333334E-5</v>
      </c>
      <c r="V246" s="4">
        <v>0</v>
      </c>
      <c r="W246" s="4">
        <v>0</v>
      </c>
      <c r="X246" s="4">
        <v>2.5045486111111113</v>
      </c>
      <c r="Y246" s="4">
        <v>5127.5347222222226</v>
      </c>
      <c r="Z246" s="4">
        <f t="shared" ref="Z246:AA246" si="84">Z245+0.0002</f>
        <v>0</v>
      </c>
      <c r="AA246" s="4">
        <f t="shared" si="84"/>
        <v>2.0000000000000001E-4</v>
      </c>
      <c r="AB246" s="3">
        <v>2</v>
      </c>
    </row>
    <row r="247" spans="1:28" x14ac:dyDescent="0.25">
      <c r="C247" s="3">
        <v>8</v>
      </c>
      <c r="D247" s="4">
        <v>128875698621.44595</v>
      </c>
      <c r="E247" s="4">
        <v>128875698621.44595</v>
      </c>
      <c r="F247" s="4">
        <v>0.30871124572366981</v>
      </c>
      <c r="G247" s="4">
        <v>0</v>
      </c>
      <c r="H247" s="4">
        <v>47237500000</v>
      </c>
      <c r="I247" s="4">
        <v>44330625000</v>
      </c>
      <c r="J247" s="4">
        <v>44330625000</v>
      </c>
      <c r="K247" s="4">
        <v>-5.2393648713060032E-12</v>
      </c>
      <c r="L247" s="4">
        <v>-5.2393648713060032E-12</v>
      </c>
      <c r="M247" s="4">
        <v>0</v>
      </c>
      <c r="N247" s="4">
        <v>2.0000000000000001E-4</v>
      </c>
      <c r="O247" s="4">
        <v>108.59009740259738</v>
      </c>
      <c r="P247" s="4">
        <v>108.59009740259738</v>
      </c>
      <c r="Q247" s="4">
        <v>1.0399677083333332E-9</v>
      </c>
      <c r="R247" s="4">
        <v>0</v>
      </c>
      <c r="S247" s="4">
        <v>1.2380312500000001E-4</v>
      </c>
      <c r="T247" s="4">
        <v>8.8740625000000011E-6</v>
      </c>
      <c r="U247" s="4">
        <v>8.8740625000000011E-6</v>
      </c>
      <c r="V247" s="4">
        <v>0</v>
      </c>
      <c r="W247" s="4">
        <v>0</v>
      </c>
      <c r="X247" s="4">
        <v>2.1709375</v>
      </c>
      <c r="Y247" s="4">
        <v>4537.8125</v>
      </c>
      <c r="Z247" s="4">
        <f t="shared" ref="Z247:AA247" si="85">Z246+0.0002</f>
        <v>2.0000000000000001E-4</v>
      </c>
      <c r="AA247" s="4">
        <f t="shared" si="85"/>
        <v>4.0000000000000002E-4</v>
      </c>
      <c r="AB247" s="3">
        <v>2</v>
      </c>
    </row>
    <row r="248" spans="1:28" x14ac:dyDescent="0.25">
      <c r="C248" s="3">
        <v>9</v>
      </c>
      <c r="D248" s="4">
        <v>117455008610.13489</v>
      </c>
      <c r="E248" s="4">
        <v>117455008610.13489</v>
      </c>
      <c r="F248" s="4">
        <v>0.27833962310262189</v>
      </c>
      <c r="G248" s="4">
        <v>0</v>
      </c>
      <c r="H248" s="4">
        <v>42854166666.666664</v>
      </c>
      <c r="I248" s="4">
        <v>39173958333.333336</v>
      </c>
      <c r="J248" s="4">
        <v>39173958333.333336</v>
      </c>
      <c r="K248" s="4">
        <v>3.1879733343925443E-12</v>
      </c>
      <c r="L248" s="4">
        <v>3.1879733343925443E-12</v>
      </c>
      <c r="M248" s="4">
        <v>0</v>
      </c>
      <c r="N248" s="4">
        <v>2.0000000000000001E-4</v>
      </c>
      <c r="O248" s="4">
        <v>109.35921717171715</v>
      </c>
      <c r="P248" s="4">
        <v>109.35921717171715</v>
      </c>
      <c r="Q248" s="4">
        <v>-5.1493537808641999E-10</v>
      </c>
      <c r="R248" s="4">
        <v>0</v>
      </c>
      <c r="S248" s="4">
        <v>1.2361979166666665E-4</v>
      </c>
      <c r="T248" s="4">
        <v>7.2723958333333342E-6</v>
      </c>
      <c r="U248" s="4">
        <v>7.2723958333333342E-6</v>
      </c>
      <c r="V248" s="4">
        <v>0</v>
      </c>
      <c r="W248" s="4">
        <v>0</v>
      </c>
      <c r="X248" s="4">
        <v>1.8470486111111111</v>
      </c>
      <c r="Y248" s="4">
        <v>3955.0347222222226</v>
      </c>
      <c r="Z248" s="4">
        <f t="shared" ref="Z248:AA248" si="86">Z247+0.0002</f>
        <v>4.0000000000000002E-4</v>
      </c>
      <c r="AA248" s="4">
        <f t="shared" si="86"/>
        <v>6.0000000000000006E-4</v>
      </c>
      <c r="AB248" s="3">
        <v>2</v>
      </c>
    </row>
    <row r="249" spans="1:28" x14ac:dyDescent="0.25">
      <c r="C249" s="3">
        <v>10</v>
      </c>
      <c r="D249" s="4">
        <v>105503214907.3783</v>
      </c>
      <c r="E249" s="4">
        <v>105503214907.3783</v>
      </c>
      <c r="F249" s="4">
        <v>0.2471237006328097</v>
      </c>
      <c r="G249" s="4">
        <v>0</v>
      </c>
      <c r="H249" s="4">
        <v>38304166666.666664</v>
      </c>
      <c r="I249" s="4">
        <v>34008958333.333336</v>
      </c>
      <c r="J249" s="4">
        <v>34008958333.333336</v>
      </c>
      <c r="K249" s="4">
        <v>1.0506451249867599E-11</v>
      </c>
      <c r="L249" s="4">
        <v>1.0506451249867599E-11</v>
      </c>
      <c r="M249" s="4">
        <v>0</v>
      </c>
      <c r="N249" s="4">
        <v>2.0000000000000001E-4</v>
      </c>
      <c r="O249" s="4">
        <v>108.20553751803749</v>
      </c>
      <c r="P249" s="4">
        <v>108.20553751803749</v>
      </c>
      <c r="Q249" s="4">
        <v>-1.8664696373456793E-9</v>
      </c>
      <c r="R249" s="4">
        <v>0</v>
      </c>
      <c r="S249" s="4">
        <v>1.2139479166666665E-4</v>
      </c>
      <c r="T249" s="4">
        <v>5.7498958333333331E-6</v>
      </c>
      <c r="U249" s="4">
        <v>5.7498958333333331E-6</v>
      </c>
      <c r="V249" s="4">
        <v>0</v>
      </c>
      <c r="W249" s="4">
        <v>0</v>
      </c>
      <c r="X249" s="4">
        <v>1.5328819444444446</v>
      </c>
      <c r="Y249" s="4">
        <v>3379.2013888888887</v>
      </c>
      <c r="Z249" s="4">
        <f t="shared" ref="Z249:AA249" si="87">Z248+0.0002</f>
        <v>6.0000000000000006E-4</v>
      </c>
      <c r="AA249" s="4">
        <f t="shared" si="87"/>
        <v>8.0000000000000004E-4</v>
      </c>
      <c r="AB249" s="3">
        <v>2</v>
      </c>
    </row>
    <row r="250" spans="1:28" x14ac:dyDescent="0.25">
      <c r="C250" s="3">
        <v>11</v>
      </c>
      <c r="D250" s="4">
        <v>93020317513.176147</v>
      </c>
      <c r="E250" s="4">
        <v>93020317513.176147</v>
      </c>
      <c r="F250" s="4">
        <v>0.2150634783142332</v>
      </c>
      <c r="G250" s="4">
        <v>0</v>
      </c>
      <c r="H250" s="4">
        <v>33587500000</v>
      </c>
      <c r="I250" s="4">
        <v>28835625000</v>
      </c>
      <c r="J250" s="4">
        <v>28835625000</v>
      </c>
      <c r="K250" s="4">
        <v>1.6716068875119157E-11</v>
      </c>
      <c r="L250" s="4">
        <v>1.6716068875119157E-11</v>
      </c>
      <c r="M250" s="4">
        <v>0</v>
      </c>
      <c r="N250" s="4">
        <v>2.0000000000000001E-4</v>
      </c>
      <c r="O250" s="4">
        <v>105.12905844155843</v>
      </c>
      <c r="P250" s="4">
        <v>105.12905844155843</v>
      </c>
      <c r="Q250" s="4">
        <v>-3.0146350694444444E-9</v>
      </c>
      <c r="R250" s="4">
        <v>0</v>
      </c>
      <c r="S250" s="4">
        <v>1.17128125E-4</v>
      </c>
      <c r="T250" s="4">
        <v>4.3065624999999995E-6</v>
      </c>
      <c r="U250" s="4">
        <v>4.3065624999999995E-6</v>
      </c>
      <c r="V250" s="4">
        <v>0</v>
      </c>
      <c r="W250" s="4">
        <v>0</v>
      </c>
      <c r="X250" s="4">
        <v>1.2284374999999998</v>
      </c>
      <c r="Y250" s="4">
        <v>2810.3125</v>
      </c>
      <c r="Z250" s="4">
        <f t="shared" ref="Z250:AA250" si="88">Z249+0.0002</f>
        <v>8.0000000000000004E-4</v>
      </c>
      <c r="AA250" s="4">
        <f t="shared" si="88"/>
        <v>1E-3</v>
      </c>
      <c r="AB250" s="3">
        <v>2</v>
      </c>
    </row>
    <row r="251" spans="1:28" x14ac:dyDescent="0.25">
      <c r="B251" t="s">
        <v>240</v>
      </c>
      <c r="C251" s="10">
        <v>12</v>
      </c>
      <c r="D251" s="4">
        <v>80006316427.528473</v>
      </c>
      <c r="E251" s="4">
        <v>80006316427.528473</v>
      </c>
      <c r="F251" s="4">
        <v>0.18215895614689231</v>
      </c>
      <c r="G251" s="4">
        <v>0</v>
      </c>
      <c r="H251" s="4">
        <v>28704166666.66666</v>
      </c>
      <c r="I251" s="4">
        <v>23653958333.333328</v>
      </c>
      <c r="J251" s="4">
        <v>23653958333.333328</v>
      </c>
      <c r="K251" s="4">
        <v>2.181682621014723E-11</v>
      </c>
      <c r="L251" s="4">
        <v>2.181682621014723E-11</v>
      </c>
      <c r="M251" s="4">
        <v>0</v>
      </c>
      <c r="N251" s="4">
        <v>2.0000000000000001E-4</v>
      </c>
      <c r="O251" s="4">
        <v>100.12977994227991</v>
      </c>
      <c r="P251" s="4">
        <v>100.12977994227991</v>
      </c>
      <c r="Q251" s="4">
        <v>-3.9594316743827164E-9</v>
      </c>
      <c r="R251" s="4">
        <v>0</v>
      </c>
      <c r="S251" s="4">
        <v>1.1081979166666665E-4</v>
      </c>
      <c r="T251" s="4">
        <v>2.9423958333333325E-6</v>
      </c>
      <c r="U251" s="4">
        <v>2.9423958333333325E-6</v>
      </c>
      <c r="V251" s="4">
        <v>0</v>
      </c>
      <c r="W251" s="4">
        <v>0</v>
      </c>
      <c r="X251" s="4">
        <v>0.93371527777777752</v>
      </c>
      <c r="Y251" s="4">
        <v>2248.3680555555552</v>
      </c>
      <c r="Z251" s="4">
        <f t="shared" ref="Z251:AA251" si="89">Z250+0.0002</f>
        <v>1E-3</v>
      </c>
      <c r="AA251" s="4">
        <f t="shared" si="89"/>
        <v>1.2000000000000001E-3</v>
      </c>
      <c r="AB251" s="3">
        <v>2</v>
      </c>
    </row>
    <row r="252" spans="1:28" x14ac:dyDescent="0.25">
      <c r="C252" s="10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3"/>
    </row>
    <row r="253" spans="1:28" x14ac:dyDescent="0.25">
      <c r="C253" s="10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3"/>
    </row>
    <row r="254" spans="1:28" x14ac:dyDescent="0.25">
      <c r="A254" s="14" t="s">
        <v>239</v>
      </c>
      <c r="C254" s="9" t="s">
        <v>27</v>
      </c>
      <c r="D254" s="9" t="s">
        <v>28</v>
      </c>
      <c r="E254" s="9" t="s">
        <v>29</v>
      </c>
      <c r="F254" s="9" t="s">
        <v>30</v>
      </c>
      <c r="G254" s="9" t="s">
        <v>31</v>
      </c>
      <c r="H254" s="9" t="s">
        <v>229</v>
      </c>
      <c r="I254" s="9" t="s">
        <v>33</v>
      </c>
      <c r="J254" s="9" t="s">
        <v>34</v>
      </c>
      <c r="K254" s="9" t="s">
        <v>35</v>
      </c>
      <c r="L254" s="9" t="s">
        <v>36</v>
      </c>
      <c r="M254" s="9" t="s">
        <v>37</v>
      </c>
      <c r="N254" s="9" t="s">
        <v>38</v>
      </c>
      <c r="O254" s="9" t="s">
        <v>39</v>
      </c>
      <c r="P254" s="9" t="s">
        <v>40</v>
      </c>
      <c r="Q254" s="9" t="s">
        <v>41</v>
      </c>
      <c r="R254" s="9" t="s">
        <v>42</v>
      </c>
      <c r="S254" s="9" t="s">
        <v>43</v>
      </c>
      <c r="T254" s="9" t="s">
        <v>230</v>
      </c>
      <c r="U254" s="9" t="s">
        <v>231</v>
      </c>
      <c r="V254" s="9" t="s">
        <v>232</v>
      </c>
      <c r="W254" s="9" t="s">
        <v>233</v>
      </c>
      <c r="X254" s="9" t="s">
        <v>234</v>
      </c>
      <c r="Y254" s="9" t="s">
        <v>49</v>
      </c>
      <c r="Z254" s="9" t="s">
        <v>50</v>
      </c>
      <c r="AA254" s="9" t="s">
        <v>51</v>
      </c>
      <c r="AB254" s="9" t="s">
        <v>52</v>
      </c>
    </row>
    <row r="255" spans="1:28" x14ac:dyDescent="0.25">
      <c r="A255" s="11" t="s">
        <v>235</v>
      </c>
      <c r="B255" t="s">
        <v>75</v>
      </c>
      <c r="C255" s="10">
        <v>1</v>
      </c>
      <c r="D255" s="4">
        <v>20120780700.784912</v>
      </c>
      <c r="E255" s="4">
        <v>20120780700.784912</v>
      </c>
      <c r="F255" s="4">
        <v>6.4562325765588985E-2</v>
      </c>
      <c r="G255" s="4">
        <v>0</v>
      </c>
      <c r="H255" s="4">
        <v>8445833333.3333206</v>
      </c>
      <c r="I255" s="4">
        <v>13588958333.333328</v>
      </c>
      <c r="J255" s="4">
        <v>13588958333.333328</v>
      </c>
      <c r="K255" s="4">
        <v>-4.4049475029128273E-11</v>
      </c>
      <c r="L255" s="4">
        <v>-4.4049475029128273E-11</v>
      </c>
      <c r="M255" s="4">
        <v>0</v>
      </c>
      <c r="N255" s="4">
        <v>2.0000000000000001E-4</v>
      </c>
      <c r="O255" s="4">
        <v>-39.465458152958199</v>
      </c>
      <c r="P255" s="4">
        <v>-39.465458152958199</v>
      </c>
      <c r="Q255" s="4">
        <v>8.1036266589506206E-9</v>
      </c>
      <c r="R255" s="4">
        <v>0</v>
      </c>
      <c r="S255" s="4">
        <v>-3.9238541666666713E-5</v>
      </c>
      <c r="T255" s="4">
        <v>5.8115624999999961E-6</v>
      </c>
      <c r="U255" s="4">
        <v>5.8115624999999961E-6</v>
      </c>
      <c r="V255" s="4">
        <v>0</v>
      </c>
      <c r="W255" s="4">
        <v>0</v>
      </c>
      <c r="X255" s="4">
        <v>1.0528819444444442</v>
      </c>
      <c r="Y255" s="4">
        <v>1689.2013888888878</v>
      </c>
      <c r="Z255" s="4">
        <v>-1.1999999999999999E-3</v>
      </c>
      <c r="AA255" s="4">
        <v>-1E-3</v>
      </c>
      <c r="AB255" s="3">
        <v>2</v>
      </c>
    </row>
    <row r="256" spans="1:28" x14ac:dyDescent="0.25">
      <c r="C256" s="3">
        <v>2</v>
      </c>
      <c r="D256" s="4">
        <v>44023061009.476898</v>
      </c>
      <c r="E256" s="4">
        <v>44023061009.476898</v>
      </c>
      <c r="F256" s="4">
        <v>0.11884805345680322</v>
      </c>
      <c r="G256" s="4">
        <v>0</v>
      </c>
      <c r="H256" s="4">
        <v>17012500000</v>
      </c>
      <c r="I256" s="4">
        <v>20600625000</v>
      </c>
      <c r="J256" s="4">
        <v>20600625000</v>
      </c>
      <c r="K256" s="4">
        <v>-3.7174541229742601E-11</v>
      </c>
      <c r="L256" s="4">
        <v>-3.7174541229742601E-11</v>
      </c>
      <c r="M256" s="4">
        <v>0</v>
      </c>
      <c r="N256" s="4">
        <v>2.0000000000000001E-4</v>
      </c>
      <c r="O256" s="4">
        <v>-9.0852272727272734</v>
      </c>
      <c r="P256" s="4">
        <v>-9.0852272727272734</v>
      </c>
      <c r="Q256" s="4">
        <v>6.8551399305555563E-9</v>
      </c>
      <c r="R256" s="4">
        <v>0</v>
      </c>
      <c r="S256" s="4">
        <v>-5.6468749999999933E-6</v>
      </c>
      <c r="T256" s="4">
        <v>6.6540624999999986E-6</v>
      </c>
      <c r="U256" s="4">
        <v>6.6540624999999986E-6</v>
      </c>
      <c r="V256" s="4">
        <v>0</v>
      </c>
      <c r="W256" s="4">
        <v>0</v>
      </c>
      <c r="X256" s="4">
        <v>1.3259375</v>
      </c>
      <c r="Y256" s="4">
        <v>2352.8125</v>
      </c>
      <c r="Z256" s="4">
        <f t="shared" ref="Z256:AA256" si="90">Z255+0.0002</f>
        <v>-9.999999999999998E-4</v>
      </c>
      <c r="AA256" s="4">
        <f t="shared" si="90"/>
        <v>-8.0000000000000004E-4</v>
      </c>
      <c r="AB256" s="3">
        <v>2</v>
      </c>
    </row>
    <row r="257" spans="2:28" x14ac:dyDescent="0.25">
      <c r="C257" s="3">
        <v>3</v>
      </c>
      <c r="D257" s="4">
        <v>67394237626.723312</v>
      </c>
      <c r="E257" s="4">
        <v>67394237626.723312</v>
      </c>
      <c r="F257" s="4">
        <v>0.17228948129925298</v>
      </c>
      <c r="G257" s="4">
        <v>0</v>
      </c>
      <c r="H257" s="4">
        <v>25412499999.999996</v>
      </c>
      <c r="I257" s="4">
        <v>27603958333.333336</v>
      </c>
      <c r="J257" s="4">
        <v>27603958333.333336</v>
      </c>
      <c r="K257" s="4">
        <v>-3.140846772058045E-11</v>
      </c>
      <c r="L257" s="4">
        <v>-3.140846772058045E-11</v>
      </c>
      <c r="M257" s="4">
        <v>0</v>
      </c>
      <c r="N257" s="4">
        <v>2.0000000000000001E-4</v>
      </c>
      <c r="O257" s="4">
        <v>19.372204184704152</v>
      </c>
      <c r="P257" s="4">
        <v>19.372204184704152</v>
      </c>
      <c r="Q257" s="4">
        <v>5.8100220293209909E-9</v>
      </c>
      <c r="R257" s="4">
        <v>0</v>
      </c>
      <c r="S257" s="4">
        <v>2.5903124999999967E-5</v>
      </c>
      <c r="T257" s="4">
        <v>7.5757291666666652E-6</v>
      </c>
      <c r="U257" s="4">
        <v>7.5757291666666652E-6</v>
      </c>
      <c r="V257" s="4">
        <v>0</v>
      </c>
      <c r="W257" s="4">
        <v>0</v>
      </c>
      <c r="X257" s="4">
        <v>1.6087152777777776</v>
      </c>
      <c r="Y257" s="4">
        <v>3023.3680555555557</v>
      </c>
      <c r="Z257" s="4">
        <f t="shared" ref="Z257:AA257" si="91">Z256+0.0002</f>
        <v>-7.9999999999999982E-4</v>
      </c>
      <c r="AA257" s="4">
        <f t="shared" si="91"/>
        <v>-6.0000000000000006E-4</v>
      </c>
      <c r="AB257" s="3">
        <v>2</v>
      </c>
    </row>
    <row r="258" spans="2:28" x14ac:dyDescent="0.25">
      <c r="C258" s="3">
        <v>4</v>
      </c>
      <c r="D258" s="4">
        <v>90234310552.5242</v>
      </c>
      <c r="E258" s="4">
        <v>90234310552.5242</v>
      </c>
      <c r="F258" s="4">
        <v>0.22488660929293858</v>
      </c>
      <c r="G258" s="4">
        <v>0</v>
      </c>
      <c r="H258" s="4">
        <v>33645833333.333328</v>
      </c>
      <c r="I258" s="4">
        <v>34598958333.333336</v>
      </c>
      <c r="J258" s="4">
        <v>34598958333.333336</v>
      </c>
      <c r="K258" s="4">
        <v>-2.6751254501641768E-11</v>
      </c>
      <c r="L258" s="4">
        <v>-2.6751254501641768E-11</v>
      </c>
      <c r="M258" s="4">
        <v>0</v>
      </c>
      <c r="N258" s="4">
        <v>2.0000000000000001E-4</v>
      </c>
      <c r="O258" s="4">
        <v>45.906836219336199</v>
      </c>
      <c r="P258" s="4">
        <v>45.906836219336199</v>
      </c>
      <c r="Q258" s="4">
        <v>4.9682729552469145E-9</v>
      </c>
      <c r="R258" s="4">
        <v>0</v>
      </c>
      <c r="S258" s="4">
        <v>5.5411458333333324E-5</v>
      </c>
      <c r="T258" s="4">
        <v>8.5765624999999993E-6</v>
      </c>
      <c r="U258" s="4">
        <v>8.5765624999999993E-6</v>
      </c>
      <c r="V258" s="4">
        <v>0</v>
      </c>
      <c r="W258" s="4">
        <v>0</v>
      </c>
      <c r="X258" s="4">
        <v>1.9012152777777778</v>
      </c>
      <c r="Y258" s="4">
        <v>3700.8680555555557</v>
      </c>
      <c r="Z258" s="4">
        <f t="shared" ref="Z258:AA258" si="92">Z257+0.0002</f>
        <v>-5.9999999999999984E-4</v>
      </c>
      <c r="AA258" s="4">
        <f t="shared" si="92"/>
        <v>-4.0000000000000007E-4</v>
      </c>
      <c r="AB258" s="3">
        <v>2</v>
      </c>
    </row>
    <row r="259" spans="2:28" x14ac:dyDescent="0.25">
      <c r="C259" s="3">
        <v>5</v>
      </c>
      <c r="D259" s="4">
        <v>112543279786.87953</v>
      </c>
      <c r="E259" s="4">
        <v>112543279786.87953</v>
      </c>
      <c r="F259" s="4">
        <v>0.27663943743785979</v>
      </c>
      <c r="G259" s="4">
        <v>0</v>
      </c>
      <c r="H259" s="4">
        <v>41712500000</v>
      </c>
      <c r="I259" s="4">
        <v>41585625000</v>
      </c>
      <c r="J259" s="4">
        <v>41585625000</v>
      </c>
      <c r="K259" s="4">
        <v>-2.3202901572926591E-11</v>
      </c>
      <c r="L259" s="4">
        <v>-2.3202901572926591E-11</v>
      </c>
      <c r="M259" s="4">
        <v>0</v>
      </c>
      <c r="N259" s="4">
        <v>2.0000000000000001E-4</v>
      </c>
      <c r="O259" s="4">
        <v>70.51866883116881</v>
      </c>
      <c r="P259" s="4">
        <v>70.51866883116881</v>
      </c>
      <c r="Q259" s="4">
        <v>4.3298927083333337E-9</v>
      </c>
      <c r="R259" s="4">
        <v>0</v>
      </c>
      <c r="S259" s="4">
        <v>8.2878125000000004E-5</v>
      </c>
      <c r="T259" s="4">
        <v>9.6565624999999991E-6</v>
      </c>
      <c r="U259" s="4">
        <v>9.6565624999999991E-6</v>
      </c>
      <c r="V259" s="4">
        <v>0</v>
      </c>
      <c r="W259" s="4">
        <v>0</v>
      </c>
      <c r="X259" s="4">
        <v>2.2034374999999997</v>
      </c>
      <c r="Y259" s="4">
        <v>4385.3125</v>
      </c>
      <c r="Z259" s="4">
        <f t="shared" ref="Z259:AA259" si="93">Z258+0.0002</f>
        <v>-3.9999999999999986E-4</v>
      </c>
      <c r="AA259" s="4">
        <f t="shared" si="93"/>
        <v>-2.0000000000000006E-4</v>
      </c>
      <c r="AB259" s="3">
        <v>2</v>
      </c>
    </row>
    <row r="260" spans="2:28" x14ac:dyDescent="0.25">
      <c r="C260" s="3">
        <v>6</v>
      </c>
      <c r="D260" s="4">
        <v>134321145329.78932</v>
      </c>
      <c r="E260" s="4">
        <v>134321145329.78932</v>
      </c>
      <c r="F260" s="4">
        <v>0.32754796573401679</v>
      </c>
      <c r="G260" s="4">
        <v>0</v>
      </c>
      <c r="H260" s="4">
        <v>49612500000</v>
      </c>
      <c r="I260" s="4">
        <v>48563958333.333336</v>
      </c>
      <c r="J260" s="4">
        <v>48563958333.333336</v>
      </c>
      <c r="K260" s="4">
        <v>-2.07634089344349E-11</v>
      </c>
      <c r="L260" s="4">
        <v>-2.07634089344349E-11</v>
      </c>
      <c r="M260" s="4">
        <v>0</v>
      </c>
      <c r="N260" s="4">
        <v>2.0000000000000001E-4</v>
      </c>
      <c r="O260" s="4">
        <v>93.207702020202007</v>
      </c>
      <c r="P260" s="4">
        <v>93.207702020202007</v>
      </c>
      <c r="Q260" s="4">
        <v>3.8948812885802469E-9</v>
      </c>
      <c r="R260" s="4">
        <v>0</v>
      </c>
      <c r="S260" s="4">
        <v>1.08303125E-4</v>
      </c>
      <c r="T260" s="4">
        <v>1.0815729166666666E-5</v>
      </c>
      <c r="U260" s="4">
        <v>1.0815729166666666E-5</v>
      </c>
      <c r="V260" s="4">
        <v>0</v>
      </c>
      <c r="W260" s="4">
        <v>0</v>
      </c>
      <c r="X260" s="4">
        <v>2.5153819444444445</v>
      </c>
      <c r="Y260" s="4">
        <v>5076.7013888888887</v>
      </c>
      <c r="Z260" s="4">
        <f t="shared" ref="Z260:AA260" si="94">Z259+0.0002</f>
        <v>-1.9999999999999985E-4</v>
      </c>
      <c r="AA260" s="4">
        <f t="shared" si="94"/>
        <v>0</v>
      </c>
      <c r="AB260" s="3">
        <v>2</v>
      </c>
    </row>
    <row r="261" spans="2:28" x14ac:dyDescent="0.25">
      <c r="C261" s="3">
        <v>7</v>
      </c>
      <c r="D261" s="4">
        <v>137507767478.46262</v>
      </c>
      <c r="E261" s="4">
        <v>137507767478.46262</v>
      </c>
      <c r="F261" s="4">
        <v>0.3326137648266026</v>
      </c>
      <c r="G261" s="4">
        <v>0</v>
      </c>
      <c r="H261" s="4">
        <v>50612500000</v>
      </c>
      <c r="I261" s="4">
        <v>48613958333.333336</v>
      </c>
      <c r="J261" s="4">
        <v>48613958333.333336</v>
      </c>
      <c r="K261" s="4">
        <v>-1.4110247193093946E-11</v>
      </c>
      <c r="L261" s="4">
        <v>-1.4110247193093946E-11</v>
      </c>
      <c r="M261" s="4">
        <v>0</v>
      </c>
      <c r="N261" s="4">
        <v>2.0000000000000001E-4</v>
      </c>
      <c r="O261" s="4">
        <v>104.74449855699854</v>
      </c>
      <c r="P261" s="4">
        <v>104.74449855699854</v>
      </c>
      <c r="Q261" s="4">
        <v>2.6746683256172841E-9</v>
      </c>
      <c r="R261" s="4">
        <v>0</v>
      </c>
      <c r="S261" s="4">
        <v>1.20553125E-4</v>
      </c>
      <c r="T261" s="4">
        <v>1.0340729166666667E-5</v>
      </c>
      <c r="U261" s="4">
        <v>1.0340729166666667E-5</v>
      </c>
      <c r="V261" s="4">
        <v>0</v>
      </c>
      <c r="W261" s="4">
        <v>0</v>
      </c>
      <c r="X261" s="4">
        <v>2.4570486111111114</v>
      </c>
      <c r="Y261" s="4">
        <v>5035.0347222222226</v>
      </c>
      <c r="Z261" s="4">
        <f t="shared" ref="Z261:AA261" si="95">Z260+0.0002</f>
        <v>0</v>
      </c>
      <c r="AA261" s="4">
        <f t="shared" si="95"/>
        <v>2.0000000000000001E-4</v>
      </c>
      <c r="AB261" s="3">
        <v>2</v>
      </c>
    </row>
    <row r="262" spans="2:28" x14ac:dyDescent="0.25">
      <c r="C262" s="3">
        <v>8</v>
      </c>
      <c r="D262" s="4">
        <v>122103146232.89934</v>
      </c>
      <c r="E262" s="4">
        <v>122103146232.89934</v>
      </c>
      <c r="F262" s="4">
        <v>0.29183683471561722</v>
      </c>
      <c r="G262" s="4">
        <v>0</v>
      </c>
      <c r="H262" s="4">
        <v>44712500000</v>
      </c>
      <c r="I262" s="4">
        <v>41735625000</v>
      </c>
      <c r="J262" s="4">
        <v>41735625000</v>
      </c>
      <c r="K262" s="4">
        <v>-3.2434163489037153E-12</v>
      </c>
      <c r="L262" s="4">
        <v>-3.2434163489037153E-12</v>
      </c>
      <c r="M262" s="4">
        <v>0</v>
      </c>
      <c r="N262" s="4">
        <v>2.0000000000000001E-4</v>
      </c>
      <c r="O262" s="4">
        <v>105.12905844155841</v>
      </c>
      <c r="P262" s="4">
        <v>105.12905844155841</v>
      </c>
      <c r="Q262" s="4">
        <v>6.6925381944444399E-10</v>
      </c>
      <c r="R262" s="4">
        <v>0</v>
      </c>
      <c r="S262" s="4">
        <v>1.19628125E-4</v>
      </c>
      <c r="T262" s="4">
        <v>8.2315625E-6</v>
      </c>
      <c r="U262" s="4">
        <v>8.2315625E-6</v>
      </c>
      <c r="V262" s="4">
        <v>0</v>
      </c>
      <c r="W262" s="4">
        <v>0</v>
      </c>
      <c r="X262" s="4">
        <v>2.0284374999999999</v>
      </c>
      <c r="Y262" s="4">
        <v>4260.3125</v>
      </c>
      <c r="Z262" s="4">
        <f t="shared" ref="Z262:AA262" si="96">Z261+0.0002</f>
        <v>2.0000000000000001E-4</v>
      </c>
      <c r="AA262" s="4">
        <f t="shared" si="96"/>
        <v>4.0000000000000002E-4</v>
      </c>
      <c r="AB262" s="3">
        <v>2</v>
      </c>
    </row>
    <row r="263" spans="2:28" x14ac:dyDescent="0.25">
      <c r="C263" s="3">
        <v>9</v>
      </c>
      <c r="D263" s="4">
        <v>106167421295.89053</v>
      </c>
      <c r="E263" s="4">
        <v>106167421295.89053</v>
      </c>
      <c r="F263" s="4">
        <v>0.25021560475586763</v>
      </c>
      <c r="G263" s="4">
        <v>0</v>
      </c>
      <c r="H263" s="4">
        <v>38645833333.333328</v>
      </c>
      <c r="I263" s="4">
        <v>34848958333.333336</v>
      </c>
      <c r="J263" s="4">
        <v>34848958333.333336</v>
      </c>
      <c r="K263" s="4">
        <v>6.5145542050630238E-12</v>
      </c>
      <c r="L263" s="4">
        <v>6.5145542050630238E-12</v>
      </c>
      <c r="M263" s="4">
        <v>0</v>
      </c>
      <c r="N263" s="4">
        <v>2.0000000000000001E-4</v>
      </c>
      <c r="O263" s="4">
        <v>103.59081890331888</v>
      </c>
      <c r="P263" s="4">
        <v>103.59081890331888</v>
      </c>
      <c r="Q263" s="4">
        <v>-1.1327918595679019E-9</v>
      </c>
      <c r="R263" s="4">
        <v>0</v>
      </c>
      <c r="S263" s="4">
        <v>1.1666145833333332E-4</v>
      </c>
      <c r="T263" s="4">
        <v>6.2015625E-6</v>
      </c>
      <c r="U263" s="4">
        <v>6.2015625E-6</v>
      </c>
      <c r="V263" s="4">
        <v>0</v>
      </c>
      <c r="W263" s="4">
        <v>0</v>
      </c>
      <c r="X263" s="4">
        <v>1.6095486111111108</v>
      </c>
      <c r="Y263" s="4">
        <v>3492.5347222222226</v>
      </c>
      <c r="Z263" s="4">
        <f t="shared" ref="Z263:AA263" si="97">Z262+0.0002</f>
        <v>4.0000000000000002E-4</v>
      </c>
      <c r="AA263" s="4">
        <f t="shared" si="97"/>
        <v>6.0000000000000006E-4</v>
      </c>
      <c r="AB263" s="3">
        <v>2</v>
      </c>
    </row>
    <row r="264" spans="2:28" x14ac:dyDescent="0.25">
      <c r="C264" s="3">
        <v>10</v>
      </c>
      <c r="D264" s="4">
        <v>89700592667.436188</v>
      </c>
      <c r="E264" s="4">
        <v>89700592667.436188</v>
      </c>
      <c r="F264" s="4">
        <v>0.2077500749473537</v>
      </c>
      <c r="G264" s="4">
        <v>0</v>
      </c>
      <c r="H264" s="4">
        <v>32412499999.999996</v>
      </c>
      <c r="I264" s="4">
        <v>27953958333.333336</v>
      </c>
      <c r="J264" s="4">
        <v>27953958333.333336</v>
      </c>
      <c r="K264" s="4">
        <v>1.5163664468806271E-11</v>
      </c>
      <c r="L264" s="4">
        <v>1.5163664468806271E-11</v>
      </c>
      <c r="M264" s="4">
        <v>0</v>
      </c>
      <c r="N264" s="4">
        <v>2.0000000000000001E-4</v>
      </c>
      <c r="O264" s="4">
        <v>100.1297799422799</v>
      </c>
      <c r="P264" s="4">
        <v>100.1297799422799</v>
      </c>
      <c r="Q264" s="4">
        <v>-2.7314687114197539E-9</v>
      </c>
      <c r="R264" s="4">
        <v>0</v>
      </c>
      <c r="S264" s="4">
        <v>1.1165312499999998E-4</v>
      </c>
      <c r="T264" s="4">
        <v>4.2507291666666657E-6</v>
      </c>
      <c r="U264" s="4">
        <v>4.2507291666666657E-6</v>
      </c>
      <c r="V264" s="4">
        <v>0</v>
      </c>
      <c r="W264" s="4">
        <v>0</v>
      </c>
      <c r="X264" s="4">
        <v>1.2003819444444443</v>
      </c>
      <c r="Y264" s="4">
        <v>2731.7013888888887</v>
      </c>
      <c r="Z264" s="4">
        <f t="shared" ref="Z264:AA264" si="98">Z263+0.0002</f>
        <v>6.0000000000000006E-4</v>
      </c>
      <c r="AA264" s="4">
        <f t="shared" si="98"/>
        <v>8.0000000000000004E-4</v>
      </c>
      <c r="AB264" s="3">
        <v>2</v>
      </c>
    </row>
    <row r="265" spans="2:28" x14ac:dyDescent="0.25">
      <c r="C265" s="3">
        <v>11</v>
      </c>
      <c r="D265" s="4">
        <v>72702660347.536285</v>
      </c>
      <c r="E265" s="4">
        <v>72702660347.536285</v>
      </c>
      <c r="F265" s="4">
        <v>0.1644402452900755</v>
      </c>
      <c r="G265" s="4">
        <v>0</v>
      </c>
      <c r="H265" s="4">
        <v>26012500000</v>
      </c>
      <c r="I265" s="4">
        <v>21050625000</v>
      </c>
      <c r="J265" s="4">
        <v>21050625000</v>
      </c>
      <c r="K265" s="4">
        <v>2.2703914442326022E-11</v>
      </c>
      <c r="L265" s="4">
        <v>2.2703914442326022E-11</v>
      </c>
      <c r="M265" s="4">
        <v>0</v>
      </c>
      <c r="N265" s="4">
        <v>2.0000000000000001E-4</v>
      </c>
      <c r="O265" s="4">
        <v>94.74594155844153</v>
      </c>
      <c r="P265" s="4">
        <v>94.74594155844153</v>
      </c>
      <c r="Q265" s="4">
        <v>-4.1267767361111117E-9</v>
      </c>
      <c r="R265" s="4">
        <v>0</v>
      </c>
      <c r="S265" s="4">
        <v>1.04603125E-4</v>
      </c>
      <c r="T265" s="4">
        <v>2.3790624999999997E-6</v>
      </c>
      <c r="U265" s="4">
        <v>2.3790624999999997E-6</v>
      </c>
      <c r="V265" s="4">
        <v>0</v>
      </c>
      <c r="W265" s="4">
        <v>0</v>
      </c>
      <c r="X265" s="4">
        <v>0.80093749999999964</v>
      </c>
      <c r="Y265" s="4">
        <v>1977.8125</v>
      </c>
      <c r="Z265" s="4">
        <f t="shared" ref="Z265:AA265" si="99">Z264+0.0002</f>
        <v>8.0000000000000004E-4</v>
      </c>
      <c r="AA265" s="4">
        <f t="shared" si="99"/>
        <v>1E-3</v>
      </c>
      <c r="AB265" s="3">
        <v>2</v>
      </c>
    </row>
    <row r="266" spans="2:28" x14ac:dyDescent="0.25">
      <c r="B266" t="s">
        <v>240</v>
      </c>
      <c r="C266" s="10">
        <v>12</v>
      </c>
      <c r="D266" s="4">
        <v>55173624336.190857</v>
      </c>
      <c r="E266" s="4">
        <v>55173624336.190857</v>
      </c>
      <c r="F266" s="4">
        <v>0.12028611578403289</v>
      </c>
      <c r="G266" s="4">
        <v>0</v>
      </c>
      <c r="H266" s="4">
        <v>19445833333.333321</v>
      </c>
      <c r="I266" s="4">
        <v>14138958333.333328</v>
      </c>
      <c r="J266" s="4">
        <v>14138958333.333328</v>
      </c>
      <c r="K266" s="4">
        <v>2.9135304125622284E-11</v>
      </c>
      <c r="L266" s="4">
        <v>2.9135304125622284E-11</v>
      </c>
      <c r="M266" s="4">
        <v>0</v>
      </c>
      <c r="N266" s="4">
        <v>2.0000000000000001E-4</v>
      </c>
      <c r="O266" s="4">
        <v>87.43930375180372</v>
      </c>
      <c r="P266" s="4">
        <v>87.43930375180372</v>
      </c>
      <c r="Q266" s="4">
        <v>-5.3187159336419764E-9</v>
      </c>
      <c r="R266" s="4">
        <v>0</v>
      </c>
      <c r="S266" s="4">
        <v>9.551145833333331E-5</v>
      </c>
      <c r="T266" s="4">
        <v>5.8656249999999783E-7</v>
      </c>
      <c r="U266" s="4">
        <v>5.8656249999999783E-7</v>
      </c>
      <c r="V266" s="4">
        <v>0</v>
      </c>
      <c r="W266" s="4">
        <v>0</v>
      </c>
      <c r="X266" s="4">
        <v>0.41121527777777711</v>
      </c>
      <c r="Y266" s="4">
        <v>1230.8680555555547</v>
      </c>
      <c r="Z266" s="4">
        <f t="shared" ref="Z266:AA266" si="100">Z265+0.0002</f>
        <v>1E-3</v>
      </c>
      <c r="AA266" s="4">
        <f t="shared" si="100"/>
        <v>1.2000000000000001E-3</v>
      </c>
      <c r="AB266" s="3">
        <v>2</v>
      </c>
    </row>
    <row r="267" spans="2:28" x14ac:dyDescent="0.25">
      <c r="C267" s="3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3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1"/>
  <sheetViews>
    <sheetView workbookViewId="0">
      <selection activeCell="E62" sqref="E62"/>
    </sheetView>
  </sheetViews>
  <sheetFormatPr defaultRowHeight="14" x14ac:dyDescent="0.25"/>
  <cols>
    <col min="4" max="4" width="10.54296875" customWidth="1"/>
    <col min="5" max="5" width="10.08984375" customWidth="1"/>
    <col min="6" max="6" width="10.90625" customWidth="1"/>
    <col min="11" max="11" width="11.08984375" customWidth="1"/>
    <col min="12" max="12" width="10.81640625" customWidth="1"/>
    <col min="13" max="13" width="9.90625" customWidth="1"/>
    <col min="18" max="18" width="10.453125" customWidth="1"/>
    <col min="19" max="19" width="10.6328125" customWidth="1"/>
    <col min="20" max="20" width="13.54296875" bestFit="1" customWidth="1"/>
    <col min="25" max="25" width="10.26953125" customWidth="1"/>
    <col min="26" max="26" width="10.6328125" customWidth="1"/>
    <col min="27" max="27" width="10.26953125" customWidth="1"/>
  </cols>
  <sheetData>
    <row r="1" spans="1:27" x14ac:dyDescent="0.25">
      <c r="A1" s="2" t="s">
        <v>210</v>
      </c>
      <c r="B1">
        <v>235194990.48058799</v>
      </c>
      <c r="C1">
        <v>103918202.122531</v>
      </c>
      <c r="D1">
        <v>-184621808.33989099</v>
      </c>
      <c r="E1">
        <v>1767786.59419785</v>
      </c>
      <c r="F1">
        <v>6409628.8447858598</v>
      </c>
      <c r="H1" s="2" t="s">
        <v>211</v>
      </c>
      <c r="I1">
        <v>169864935.54764</v>
      </c>
      <c r="J1">
        <v>56611848.305391602</v>
      </c>
      <c r="K1">
        <v>-137278406.87377501</v>
      </c>
      <c r="L1">
        <v>1686385.4623110101</v>
      </c>
      <c r="M1">
        <v>19050878.676759899</v>
      </c>
      <c r="O1" s="2" t="s">
        <v>212</v>
      </c>
      <c r="P1">
        <v>411142600.89499903</v>
      </c>
      <c r="Q1">
        <v>222934281.613417</v>
      </c>
      <c r="R1">
        <v>-260222676.0327</v>
      </c>
      <c r="S1">
        <v>2626740.4616030101</v>
      </c>
      <c r="T1">
        <v>6132785.7408613702</v>
      </c>
      <c r="V1" s="2" t="s">
        <v>213</v>
      </c>
      <c r="W1">
        <v>306332042.41003102</v>
      </c>
      <c r="X1">
        <v>136684596.256428</v>
      </c>
      <c r="Y1">
        <v>-218561647.339443</v>
      </c>
      <c r="Z1">
        <v>2044613.40741435</v>
      </c>
      <c r="AA1">
        <v>7021717.5482229097</v>
      </c>
    </row>
    <row r="2" spans="1:27" x14ac:dyDescent="0.25">
      <c r="B2">
        <v>822357882.32750499</v>
      </c>
      <c r="C2">
        <v>396075128.10053802</v>
      </c>
      <c r="D2">
        <v>27608400.781278301</v>
      </c>
      <c r="E2">
        <v>-529584.147832143</v>
      </c>
      <c r="F2">
        <v>1753097.6945531501</v>
      </c>
      <c r="I2">
        <v>394617289.398215</v>
      </c>
      <c r="J2">
        <v>146845206.98051801</v>
      </c>
      <c r="K2">
        <v>25296601.7827117</v>
      </c>
      <c r="L2">
        <v>-906997.37709895999</v>
      </c>
      <c r="M2">
        <v>4819466.32485143</v>
      </c>
      <c r="P2">
        <v>1421034219.5130899</v>
      </c>
      <c r="Q2">
        <v>824829471.18731701</v>
      </c>
      <c r="R2">
        <v>52764548.829505399</v>
      </c>
      <c r="S2">
        <v>-755202.140259156</v>
      </c>
      <c r="T2">
        <v>592682.38959953503</v>
      </c>
      <c r="W2">
        <v>1018746779.23666</v>
      </c>
      <c r="X2">
        <v>498461297.60320401</v>
      </c>
      <c r="Y2">
        <v>46053931.258069798</v>
      </c>
      <c r="Z2">
        <v>-585119.83021279704</v>
      </c>
      <c r="AA2">
        <v>1042196.98117316</v>
      </c>
    </row>
    <row r="3" spans="1:27" x14ac:dyDescent="0.25">
      <c r="B3">
        <v>641910163.60416305</v>
      </c>
      <c r="C3">
        <v>312446858.34069401</v>
      </c>
      <c r="D3">
        <v>30248748.331226099</v>
      </c>
      <c r="E3">
        <v>-660785.67335118004</v>
      </c>
      <c r="F3">
        <v>-408429.926511492</v>
      </c>
      <c r="I3">
        <v>274912843.02499902</v>
      </c>
      <c r="J3">
        <v>103990108.99919701</v>
      </c>
      <c r="K3">
        <v>20162858.5800667</v>
      </c>
      <c r="L3">
        <v>-1371353.9317853199</v>
      </c>
      <c r="M3">
        <v>2007365.6025506</v>
      </c>
      <c r="P3">
        <v>1110804269.06236</v>
      </c>
      <c r="Q3">
        <v>650483458.50939095</v>
      </c>
      <c r="R3">
        <v>51851002.344608098</v>
      </c>
      <c r="S3">
        <v>-784258.27407875506</v>
      </c>
      <c r="T3">
        <v>-2904965.7389368401</v>
      </c>
      <c r="W3">
        <v>787247020.49777603</v>
      </c>
      <c r="X3">
        <v>389824553.11027998</v>
      </c>
      <c r="Y3">
        <v>45316844.313253202</v>
      </c>
      <c r="Z3">
        <v>-764316.05082994001</v>
      </c>
      <c r="AA3">
        <v>-2120822.23051047</v>
      </c>
    </row>
    <row r="4" spans="1:27" x14ac:dyDescent="0.25">
      <c r="B4">
        <v>652065994.82766104</v>
      </c>
      <c r="C4">
        <v>318730485.34127802</v>
      </c>
      <c r="D4">
        <v>30943942.567784902</v>
      </c>
      <c r="E4">
        <v>-78700.973485259601</v>
      </c>
      <c r="F4">
        <v>-860155.85872336198</v>
      </c>
      <c r="I4">
        <v>278412511.50188202</v>
      </c>
      <c r="J4">
        <v>106740449.700764</v>
      </c>
      <c r="K4">
        <v>20996958.4325464</v>
      </c>
      <c r="L4">
        <v>-191318.69256235001</v>
      </c>
      <c r="M4">
        <v>2322091.4531357298</v>
      </c>
      <c r="P4">
        <v>1125026881.2453799</v>
      </c>
      <c r="Q4">
        <v>660842562.70478797</v>
      </c>
      <c r="R4">
        <v>49580829.134196803</v>
      </c>
      <c r="S4">
        <v>-106503.14896586799</v>
      </c>
      <c r="T4">
        <v>-3912852.7063166699</v>
      </c>
      <c r="W4">
        <v>796441215.52160203</v>
      </c>
      <c r="X4">
        <v>396118993.14782101</v>
      </c>
      <c r="Y4">
        <v>43386095.766692899</v>
      </c>
      <c r="Z4">
        <v>-125567.184019441</v>
      </c>
      <c r="AA4">
        <v>-2946213.3942405898</v>
      </c>
    </row>
    <row r="5" spans="1:27" x14ac:dyDescent="0.25">
      <c r="B5">
        <v>644970300.93228602</v>
      </c>
      <c r="C5">
        <v>315384320.70787102</v>
      </c>
      <c r="D5">
        <v>18678311.068144199</v>
      </c>
      <c r="E5">
        <v>-25193.1862419971</v>
      </c>
      <c r="F5">
        <v>-1360055.8604069799</v>
      </c>
      <c r="I5">
        <v>276113726.79751903</v>
      </c>
      <c r="J5">
        <v>105977037.345972</v>
      </c>
      <c r="K5">
        <v>13113415.572929099</v>
      </c>
      <c r="L5">
        <v>-12436.049917276299</v>
      </c>
      <c r="M5">
        <v>1942247.49243962</v>
      </c>
      <c r="P5">
        <v>1112494212.3914599</v>
      </c>
      <c r="Q5">
        <v>653700072.63221896</v>
      </c>
      <c r="R5">
        <v>29215943.275313299</v>
      </c>
      <c r="S5">
        <v>-45727.710392255001</v>
      </c>
      <c r="T5">
        <v>-4782408.3569071097</v>
      </c>
      <c r="W5">
        <v>787469574.89507198</v>
      </c>
      <c r="X5">
        <v>391838810.74634099</v>
      </c>
      <c r="Y5">
        <v>25647030.8015901</v>
      </c>
      <c r="Z5">
        <v>-44986.967211932802</v>
      </c>
      <c r="AA5">
        <v>-3641616.78937543</v>
      </c>
    </row>
    <row r="6" spans="1:27" x14ac:dyDescent="0.25">
      <c r="B6">
        <v>645913062.35989106</v>
      </c>
      <c r="C6">
        <v>315930952.70473701</v>
      </c>
      <c r="D6" s="1">
        <v>-1.90474383998662E-6</v>
      </c>
      <c r="E6" s="1">
        <v>-1.29803083837032E-8</v>
      </c>
      <c r="F6">
        <v>-1541104.0540477501</v>
      </c>
      <c r="I6">
        <v>276645822.38420802</v>
      </c>
      <c r="J6">
        <v>106251023.945976</v>
      </c>
      <c r="K6" s="1">
        <v>5.2849063649773598E-6</v>
      </c>
      <c r="L6" s="1">
        <v>-1.12166162580252E-7</v>
      </c>
      <c r="M6">
        <v>1783436.74110599</v>
      </c>
      <c r="P6">
        <v>1113722363.6427801</v>
      </c>
      <c r="Q6">
        <v>654554537.31933904</v>
      </c>
      <c r="R6" s="1">
        <v>5.2634277381002903E-8</v>
      </c>
      <c r="S6" s="1">
        <v>-8.0128666013479201E-7</v>
      </c>
      <c r="T6">
        <v>-5086363.9546751603</v>
      </c>
      <c r="W6">
        <v>788439321.77335298</v>
      </c>
      <c r="X6">
        <v>392434228.87852901</v>
      </c>
      <c r="Y6" s="1">
        <v>5.5839336710050702E-7</v>
      </c>
      <c r="Z6" s="1">
        <v>3.3210380934178797E-7</v>
      </c>
      <c r="AA6">
        <v>-3890259.5925501701</v>
      </c>
    </row>
    <row r="7" spans="1:27" x14ac:dyDescent="0.25">
      <c r="B7">
        <v>644970300.93229902</v>
      </c>
      <c r="C7">
        <v>315384320.70787799</v>
      </c>
      <c r="D7">
        <v>-18678311.068144701</v>
      </c>
      <c r="E7">
        <v>25193.186241025702</v>
      </c>
      <c r="F7">
        <v>-1360055.8604061699</v>
      </c>
      <c r="I7">
        <v>276113726.79753602</v>
      </c>
      <c r="J7">
        <v>105977037.34597901</v>
      </c>
      <c r="K7">
        <v>-13113415.572922099</v>
      </c>
      <c r="L7">
        <v>12436.049916980901</v>
      </c>
      <c r="M7">
        <v>1942247.49243944</v>
      </c>
      <c r="P7">
        <v>1112494212.3914399</v>
      </c>
      <c r="Q7">
        <v>653700072.63220894</v>
      </c>
      <c r="R7">
        <v>-29215943.275311001</v>
      </c>
      <c r="S7">
        <v>45727.710392434397</v>
      </c>
      <c r="T7">
        <v>-4782408.3569061197</v>
      </c>
      <c r="W7">
        <v>787469574.89507103</v>
      </c>
      <c r="X7">
        <v>391838810.74634099</v>
      </c>
      <c r="Y7">
        <v>-25647030.801591199</v>
      </c>
      <c r="Z7">
        <v>44986.967211830597</v>
      </c>
      <c r="AA7">
        <v>-3641616.7893746002</v>
      </c>
    </row>
    <row r="8" spans="1:27" x14ac:dyDescent="0.25">
      <c r="B8">
        <v>652065994.82764995</v>
      </c>
      <c r="C8">
        <v>318730485.34127301</v>
      </c>
      <c r="D8">
        <v>-30943942.567781702</v>
      </c>
      <c r="E8">
        <v>78700.973484635295</v>
      </c>
      <c r="F8">
        <v>-860155.85872415802</v>
      </c>
      <c r="I8">
        <v>278412511.501881</v>
      </c>
      <c r="J8">
        <v>106740449.700763</v>
      </c>
      <c r="K8">
        <v>-20996958.4325452</v>
      </c>
      <c r="L8">
        <v>191318.69256294399</v>
      </c>
      <c r="M8">
        <v>2322091.4531348199</v>
      </c>
      <c r="P8">
        <v>1125026881.2453799</v>
      </c>
      <c r="Q8">
        <v>660842562.70479</v>
      </c>
      <c r="R8">
        <v>-49580829.134190798</v>
      </c>
      <c r="S8">
        <v>106503.148965852</v>
      </c>
      <c r="T8">
        <v>-3912852.7063166499</v>
      </c>
      <c r="W8">
        <v>796441215.52160501</v>
      </c>
      <c r="X8">
        <v>396118993.14782298</v>
      </c>
      <c r="Y8">
        <v>-43386095.766695298</v>
      </c>
      <c r="Z8">
        <v>125567.184019016</v>
      </c>
      <c r="AA8">
        <v>-2946213.3942403002</v>
      </c>
    </row>
    <row r="9" spans="1:27" x14ac:dyDescent="0.25">
      <c r="B9">
        <v>641910163.60416496</v>
      </c>
      <c r="C9">
        <v>312446858.34069502</v>
      </c>
      <c r="D9">
        <v>-30248748.331224501</v>
      </c>
      <c r="E9">
        <v>660785.67335120204</v>
      </c>
      <c r="F9">
        <v>-408429.92651203001</v>
      </c>
      <c r="I9">
        <v>274912843.02500403</v>
      </c>
      <c r="J9">
        <v>103990108.999198</v>
      </c>
      <c r="K9">
        <v>-20162858.580069099</v>
      </c>
      <c r="L9">
        <v>1371353.9317855099</v>
      </c>
      <c r="M9">
        <v>2007365.60254967</v>
      </c>
      <c r="P9">
        <v>1110804269.0623701</v>
      </c>
      <c r="Q9">
        <v>650483458.50939798</v>
      </c>
      <c r="R9">
        <v>-51851002.344604798</v>
      </c>
      <c r="S9">
        <v>784258.274079239</v>
      </c>
      <c r="T9">
        <v>-2904965.7389362501</v>
      </c>
      <c r="W9">
        <v>787247020.49777603</v>
      </c>
      <c r="X9">
        <v>389824553.11027998</v>
      </c>
      <c r="Y9">
        <v>-45316844.313261099</v>
      </c>
      <c r="Z9">
        <v>764316.05083125294</v>
      </c>
      <c r="AA9">
        <v>-2120822.2305102199</v>
      </c>
    </row>
    <row r="10" spans="1:27" x14ac:dyDescent="0.25">
      <c r="B10">
        <v>822357882.32752204</v>
      </c>
      <c r="C10">
        <v>396075128.100546</v>
      </c>
      <c r="D10">
        <v>-27608400.7812788</v>
      </c>
      <c r="E10">
        <v>529584.14783259004</v>
      </c>
      <c r="F10">
        <v>1753097.69455188</v>
      </c>
      <c r="I10">
        <v>394617289.39822501</v>
      </c>
      <c r="J10">
        <v>146845206.98052201</v>
      </c>
      <c r="K10">
        <v>-25296601.7827131</v>
      </c>
      <c r="L10">
        <v>906997.37709866604</v>
      </c>
      <c r="M10">
        <v>4819466.3248514403</v>
      </c>
      <c r="P10">
        <v>1421034219.5130999</v>
      </c>
      <c r="Q10">
        <v>824829471.18732905</v>
      </c>
      <c r="R10">
        <v>-52764548.829500496</v>
      </c>
      <c r="S10">
        <v>755202.14025895298</v>
      </c>
      <c r="T10">
        <v>592682.38959943596</v>
      </c>
      <c r="W10">
        <v>1018746779.23669</v>
      </c>
      <c r="X10">
        <v>498461297.60321701</v>
      </c>
      <c r="Y10">
        <v>-46053931.258070998</v>
      </c>
      <c r="Z10">
        <v>585119.83021311101</v>
      </c>
      <c r="AA10">
        <v>1042196.98117374</v>
      </c>
    </row>
    <row r="11" spans="1:27" x14ac:dyDescent="0.25">
      <c r="B11">
        <v>235194990.48058</v>
      </c>
      <c r="C11">
        <v>103918202.122527</v>
      </c>
      <c r="D11">
        <v>184621808.33988699</v>
      </c>
      <c r="E11">
        <v>-1767786.59419889</v>
      </c>
      <c r="F11">
        <v>6409628.8447867902</v>
      </c>
      <c r="I11">
        <v>169864935.547636</v>
      </c>
      <c r="J11">
        <v>56611848.305390097</v>
      </c>
      <c r="K11">
        <v>137278406.87377301</v>
      </c>
      <c r="L11">
        <v>-1686385.4623111901</v>
      </c>
      <c r="M11">
        <v>19050878.676759999</v>
      </c>
      <c r="P11">
        <v>411142600.89498699</v>
      </c>
      <c r="Q11">
        <v>222934281.61341</v>
      </c>
      <c r="R11">
        <v>260222676.03270099</v>
      </c>
      <c r="S11">
        <v>-2626740.4616030701</v>
      </c>
      <c r="T11">
        <v>6132785.7408615602</v>
      </c>
      <c r="W11">
        <v>306332042.41002101</v>
      </c>
      <c r="X11">
        <v>136684596.256423</v>
      </c>
      <c r="Y11">
        <v>218561647.33943999</v>
      </c>
      <c r="Z11">
        <v>-2044613.4074148401</v>
      </c>
      <c r="AA11">
        <v>7021717.5482229097</v>
      </c>
    </row>
    <row r="12" spans="1:27" x14ac:dyDescent="0.25">
      <c r="B12">
        <v>131489442.61935499</v>
      </c>
      <c r="C12">
        <v>68770336.481831506</v>
      </c>
      <c r="D12">
        <v>-128151700.76681399</v>
      </c>
      <c r="E12">
        <v>61589.212603761604</v>
      </c>
      <c r="F12">
        <v>-2478865.6314842599</v>
      </c>
      <c r="I12">
        <v>91751814.772022903</v>
      </c>
      <c r="J12">
        <v>34576927.199626401</v>
      </c>
      <c r="K12">
        <v>-113821806.960179</v>
      </c>
      <c r="L12">
        <v>-1624429.8201288399</v>
      </c>
      <c r="M12">
        <v>-5666703.96984341</v>
      </c>
      <c r="P12">
        <v>231665812.133632</v>
      </c>
      <c r="Q12">
        <v>141335133.53355199</v>
      </c>
      <c r="R12">
        <v>-191927447.59201801</v>
      </c>
      <c r="S12">
        <v>343825.179688056</v>
      </c>
      <c r="T12">
        <v>-2788514.7629292002</v>
      </c>
      <c r="W12">
        <v>170766842.500994</v>
      </c>
      <c r="X12">
        <v>88976955.726441294</v>
      </c>
      <c r="Y12">
        <v>-163543443.015946</v>
      </c>
      <c r="Z12">
        <v>-1158.5213597443701</v>
      </c>
      <c r="AA12">
        <v>-2813398.5416173702</v>
      </c>
    </row>
    <row r="13" spans="1:27" x14ac:dyDescent="0.25">
      <c r="B13">
        <v>768107342.292346</v>
      </c>
      <c r="C13">
        <v>339061123.50841802</v>
      </c>
      <c r="D13">
        <v>-47557151.607111298</v>
      </c>
      <c r="E13">
        <v>43159.775903898502</v>
      </c>
      <c r="F13">
        <v>2050650.40553149</v>
      </c>
      <c r="I13">
        <v>549190856.48390102</v>
      </c>
      <c r="J13">
        <v>177157813.09401399</v>
      </c>
      <c r="K13">
        <v>-47005110.954415098</v>
      </c>
      <c r="L13">
        <v>-229274.18052848399</v>
      </c>
      <c r="M13">
        <v>3054325.4973041401</v>
      </c>
      <c r="P13">
        <v>1322098156.02987</v>
      </c>
      <c r="Q13">
        <v>713969036.94830096</v>
      </c>
      <c r="R13">
        <v>-66177273.109699398</v>
      </c>
      <c r="S13">
        <v>-17054.2545102699</v>
      </c>
      <c r="T13">
        <v>3066101.6557856901</v>
      </c>
      <c r="W13">
        <v>985604862.60777795</v>
      </c>
      <c r="X13">
        <v>437416421.05290699</v>
      </c>
      <c r="Y13">
        <v>-56680921.227779798</v>
      </c>
      <c r="Z13">
        <v>-96291.781309261103</v>
      </c>
      <c r="AA13">
        <v>2704968.7531285398</v>
      </c>
    </row>
    <row r="14" spans="1:27" x14ac:dyDescent="0.25">
      <c r="B14">
        <v>835367863.05306005</v>
      </c>
      <c r="C14">
        <v>378952582.74562699</v>
      </c>
      <c r="D14">
        <v>10714238.9854584</v>
      </c>
      <c r="E14">
        <v>-57965.608680422498</v>
      </c>
      <c r="F14">
        <v>3737420.0535041201</v>
      </c>
      <c r="I14">
        <v>565096989.32274103</v>
      </c>
      <c r="J14">
        <v>189545410.77431601</v>
      </c>
      <c r="K14">
        <v>3816849.3171685701</v>
      </c>
      <c r="L14">
        <v>172511.88979944499</v>
      </c>
      <c r="M14">
        <v>5262389.3713665996</v>
      </c>
      <c r="P14">
        <v>1412705393.3752799</v>
      </c>
      <c r="Q14">
        <v>778549903.59992194</v>
      </c>
      <c r="R14">
        <v>20326712.397427499</v>
      </c>
      <c r="S14">
        <v>-252456.956358878</v>
      </c>
      <c r="T14">
        <v>5481139.3782112999</v>
      </c>
      <c r="W14">
        <v>1041588134.35893</v>
      </c>
      <c r="X14">
        <v>474317067.46940601</v>
      </c>
      <c r="Y14">
        <v>17970807.560315501</v>
      </c>
      <c r="Z14">
        <v>-196449.189375435</v>
      </c>
      <c r="AA14">
        <v>4702387.3919675304</v>
      </c>
    </row>
    <row r="15" spans="1:27" x14ac:dyDescent="0.25">
      <c r="B15">
        <v>842681475.95115602</v>
      </c>
      <c r="C15">
        <v>383657542.92503798</v>
      </c>
      <c r="D15">
        <v>23374423.451024801</v>
      </c>
      <c r="E15">
        <v>-199683.376744715</v>
      </c>
      <c r="F15">
        <v>3232905.7099240199</v>
      </c>
      <c r="I15">
        <v>568823385.724913</v>
      </c>
      <c r="J15">
        <v>192479932.157314</v>
      </c>
      <c r="K15">
        <v>15917558.0947772</v>
      </c>
      <c r="L15">
        <v>-91750.518383644099</v>
      </c>
      <c r="M15">
        <v>4460658.1310044201</v>
      </c>
      <c r="P15">
        <v>1413877815.2311499</v>
      </c>
      <c r="Q15">
        <v>781406148.58320296</v>
      </c>
      <c r="R15">
        <v>37338207.873072803</v>
      </c>
      <c r="S15">
        <v>-355069.04176252597</v>
      </c>
      <c r="T15">
        <v>4741139.1070036599</v>
      </c>
      <c r="W15">
        <v>1036183803.51746</v>
      </c>
      <c r="X15">
        <v>472718325.997931</v>
      </c>
      <c r="Y15">
        <v>32933802.2513768</v>
      </c>
      <c r="Z15">
        <v>-293351.09163156297</v>
      </c>
      <c r="AA15">
        <v>3998303.37019083</v>
      </c>
    </row>
    <row r="16" spans="1:27" x14ac:dyDescent="0.25">
      <c r="B16">
        <v>847527730.33470798</v>
      </c>
      <c r="C16">
        <v>385193110.19249302</v>
      </c>
      <c r="D16">
        <v>15814522.592104901</v>
      </c>
      <c r="E16">
        <v>-104653.27048474</v>
      </c>
      <c r="F16">
        <v>2870251.5756299002</v>
      </c>
      <c r="I16">
        <v>574818462.68185794</v>
      </c>
      <c r="J16">
        <v>194141461.138787</v>
      </c>
      <c r="K16">
        <v>11245839.727229699</v>
      </c>
      <c r="L16">
        <v>-57927.3483830923</v>
      </c>
      <c r="M16">
        <v>4140475.06551049</v>
      </c>
      <c r="P16">
        <v>1416410875.44735</v>
      </c>
      <c r="Q16">
        <v>782082490.04260898</v>
      </c>
      <c r="R16">
        <v>24630508.971865099</v>
      </c>
      <c r="S16">
        <v>-181745.388736761</v>
      </c>
      <c r="T16">
        <v>4179600.3638653201</v>
      </c>
      <c r="W16">
        <v>1034913071.60955</v>
      </c>
      <c r="X16">
        <v>470748991.51610899</v>
      </c>
      <c r="Y16">
        <v>21768880.595451102</v>
      </c>
      <c r="Z16">
        <v>-147166.350821442</v>
      </c>
      <c r="AA16">
        <v>3474806.05589324</v>
      </c>
    </row>
    <row r="17" spans="2:27" x14ac:dyDescent="0.25">
      <c r="B17">
        <v>848351200.34222496</v>
      </c>
      <c r="C17">
        <v>385114873.49720401</v>
      </c>
      <c r="D17" s="1">
        <v>-1.64019002113491E-6</v>
      </c>
      <c r="E17" s="1">
        <v>1.8833634385373401E-7</v>
      </c>
      <c r="F17">
        <v>2759746.3491901299</v>
      </c>
      <c r="I17">
        <v>576497541.18024397</v>
      </c>
      <c r="J17">
        <v>194386340.03082901</v>
      </c>
      <c r="K17" s="1">
        <v>4.3961626943200801E-6</v>
      </c>
      <c r="L17" s="1">
        <v>-1.32840796140954E-8</v>
      </c>
      <c r="M17">
        <v>4084862.0054388698</v>
      </c>
      <c r="P17">
        <v>1416506359.6624401</v>
      </c>
      <c r="Q17">
        <v>781572367.79946399</v>
      </c>
      <c r="R17" s="1">
        <v>2.0536244846880402E-6</v>
      </c>
      <c r="S17" s="1">
        <v>-7.8633092925883803E-8</v>
      </c>
      <c r="T17">
        <v>3996372.84659875</v>
      </c>
      <c r="W17">
        <v>1033963455.83593</v>
      </c>
      <c r="X17">
        <v>469554180.21247703</v>
      </c>
      <c r="Y17" s="1">
        <v>9.29692760109901E-7</v>
      </c>
      <c r="Z17" s="1">
        <v>-1.46223101182841E-7</v>
      </c>
      <c r="AA17">
        <v>3311389.1429431201</v>
      </c>
    </row>
    <row r="18" spans="2:27" x14ac:dyDescent="0.25">
      <c r="B18">
        <v>847527730.33468604</v>
      </c>
      <c r="C18">
        <v>385193110.19248199</v>
      </c>
      <c r="D18">
        <v>-15814522.5921044</v>
      </c>
      <c r="E18">
        <v>104653.270484486</v>
      </c>
      <c r="F18">
        <v>2870251.5756298499</v>
      </c>
      <c r="I18">
        <v>574818462.68183804</v>
      </c>
      <c r="J18">
        <v>194141461.13877499</v>
      </c>
      <c r="K18">
        <v>-11245839.727223201</v>
      </c>
      <c r="L18">
        <v>57927.348382879703</v>
      </c>
      <c r="M18">
        <v>4140475.0655099801</v>
      </c>
      <c r="P18">
        <v>1416410875.4474001</v>
      </c>
      <c r="Q18">
        <v>782082490.04263794</v>
      </c>
      <c r="R18">
        <v>-24630508.971862301</v>
      </c>
      <c r="S18">
        <v>181745.388737448</v>
      </c>
      <c r="T18">
        <v>4179600.36386579</v>
      </c>
      <c r="W18">
        <v>1034913071.60957</v>
      </c>
      <c r="X18">
        <v>470748991.51611698</v>
      </c>
      <c r="Y18">
        <v>-21768880.595449898</v>
      </c>
      <c r="Z18">
        <v>147166.350821214</v>
      </c>
      <c r="AA18">
        <v>3474806.0558937299</v>
      </c>
    </row>
    <row r="19" spans="2:27" x14ac:dyDescent="0.25">
      <c r="B19">
        <v>842681475.95115399</v>
      </c>
      <c r="C19">
        <v>383657542.925035</v>
      </c>
      <c r="D19">
        <v>-23374423.451022301</v>
      </c>
      <c r="E19">
        <v>199683.37674419599</v>
      </c>
      <c r="F19">
        <v>3232905.70992395</v>
      </c>
      <c r="I19">
        <v>568823385.72488201</v>
      </c>
      <c r="J19">
        <v>192479932.15729499</v>
      </c>
      <c r="K19">
        <v>-15917558.0947758</v>
      </c>
      <c r="L19">
        <v>91750.518383352304</v>
      </c>
      <c r="M19">
        <v>4460658.1310033696</v>
      </c>
      <c r="P19">
        <v>1413877815.2311599</v>
      </c>
      <c r="Q19">
        <v>781406148.58321202</v>
      </c>
      <c r="R19">
        <v>-37338207.8730703</v>
      </c>
      <c r="S19">
        <v>355069.04176169098</v>
      </c>
      <c r="T19">
        <v>4741139.1070041005</v>
      </c>
      <c r="W19">
        <v>1036183803.5175</v>
      </c>
      <c r="X19">
        <v>472718325.99794799</v>
      </c>
      <c r="Y19">
        <v>-32933802.251379699</v>
      </c>
      <c r="Z19">
        <v>293351.09163158399</v>
      </c>
      <c r="AA19">
        <v>3998303.3701901101</v>
      </c>
    </row>
    <row r="20" spans="2:27" x14ac:dyDescent="0.25">
      <c r="B20">
        <v>835367863.05302298</v>
      </c>
      <c r="C20">
        <v>378952582.74560201</v>
      </c>
      <c r="D20">
        <v>-10714238.985458899</v>
      </c>
      <c r="E20">
        <v>57965.608680624398</v>
      </c>
      <c r="F20">
        <v>3737420.0535024102</v>
      </c>
      <c r="I20">
        <v>565096989.32271695</v>
      </c>
      <c r="J20">
        <v>189545410.77430299</v>
      </c>
      <c r="K20">
        <v>-3816849.3171703499</v>
      </c>
      <c r="L20">
        <v>-172511.88979907401</v>
      </c>
      <c r="M20">
        <v>5262389.3713659896</v>
      </c>
      <c r="P20">
        <v>1412705393.3752699</v>
      </c>
      <c r="Q20">
        <v>778549903.59992003</v>
      </c>
      <c r="R20">
        <v>-20326712.397422198</v>
      </c>
      <c r="S20">
        <v>252456.956358667</v>
      </c>
      <c r="T20">
        <v>5481139.3782117302</v>
      </c>
      <c r="W20">
        <v>1041588134.35893</v>
      </c>
      <c r="X20">
        <v>474317067.46941102</v>
      </c>
      <c r="Y20">
        <v>-17970807.5603237</v>
      </c>
      <c r="Z20">
        <v>196449.189375772</v>
      </c>
      <c r="AA20">
        <v>4702387.3919674503</v>
      </c>
    </row>
    <row r="21" spans="2:27" x14ac:dyDescent="0.25">
      <c r="B21">
        <v>768107342.29232299</v>
      </c>
      <c r="C21">
        <v>339061123.50840402</v>
      </c>
      <c r="D21">
        <v>47557151.607111096</v>
      </c>
      <c r="E21">
        <v>-43159.775904020797</v>
      </c>
      <c r="F21">
        <v>2050650.4055304099</v>
      </c>
      <c r="I21">
        <v>549190856.48388195</v>
      </c>
      <c r="J21">
        <v>177157813.094006</v>
      </c>
      <c r="K21">
        <v>47005110.954414301</v>
      </c>
      <c r="L21">
        <v>229274.180528595</v>
      </c>
      <c r="M21">
        <v>3054325.49730301</v>
      </c>
      <c r="P21">
        <v>1322098156.02988</v>
      </c>
      <c r="Q21">
        <v>713969036.94830894</v>
      </c>
      <c r="R21">
        <v>66177273.109707303</v>
      </c>
      <c r="S21">
        <v>17054.254509810598</v>
      </c>
      <c r="T21">
        <v>3066101.6557863201</v>
      </c>
      <c r="W21">
        <v>985604862.607777</v>
      </c>
      <c r="X21">
        <v>437416421.05290997</v>
      </c>
      <c r="Y21">
        <v>56680921.227776699</v>
      </c>
      <c r="Z21">
        <v>96291.781308829202</v>
      </c>
      <c r="AA21">
        <v>2704968.7531286101</v>
      </c>
    </row>
    <row r="22" spans="2:27" x14ac:dyDescent="0.25">
      <c r="B22">
        <v>131489442.619352</v>
      </c>
      <c r="C22">
        <v>68770336.481830493</v>
      </c>
      <c r="D22">
        <v>128151700.766812</v>
      </c>
      <c r="E22">
        <v>-61589.212603027801</v>
      </c>
      <c r="F22">
        <v>-2478865.6314845299</v>
      </c>
      <c r="I22">
        <v>91751814.772020906</v>
      </c>
      <c r="J22">
        <v>34576927.199625902</v>
      </c>
      <c r="K22">
        <v>113821806.96017499</v>
      </c>
      <c r="L22">
        <v>1624429.8201289</v>
      </c>
      <c r="M22">
        <v>-5666703.96984303</v>
      </c>
      <c r="P22">
        <v>231665812.13363001</v>
      </c>
      <c r="Q22">
        <v>141335133.53355101</v>
      </c>
      <c r="R22">
        <v>191927447.59202</v>
      </c>
      <c r="S22">
        <v>-343825.17968737503</v>
      </c>
      <c r="T22">
        <v>-2788514.7629308999</v>
      </c>
      <c r="W22">
        <v>170766842.50099099</v>
      </c>
      <c r="X22">
        <v>88976955.726440996</v>
      </c>
      <c r="Y22">
        <v>163543443.01594299</v>
      </c>
      <c r="Z22">
        <v>1158.52136003703</v>
      </c>
      <c r="AA22">
        <v>-2813398.5416180198</v>
      </c>
    </row>
    <row r="23" spans="2:27" x14ac:dyDescent="0.25">
      <c r="B23">
        <v>21745148.708724301</v>
      </c>
      <c r="C23">
        <v>22865863.5585902</v>
      </c>
      <c r="D23">
        <v>-73486657.380961493</v>
      </c>
      <c r="E23">
        <v>1468900.46758284</v>
      </c>
      <c r="F23">
        <v>-340864.52217239799</v>
      </c>
      <c r="I23">
        <v>12643388.077941401</v>
      </c>
      <c r="J23">
        <v>10206509.218735499</v>
      </c>
      <c r="K23">
        <v>-67469396.096562207</v>
      </c>
      <c r="L23">
        <v>1218715.4710462899</v>
      </c>
      <c r="M23">
        <v>-765860.93932638306</v>
      </c>
      <c r="P23">
        <v>40357379.081302501</v>
      </c>
      <c r="Q23">
        <v>41875135.663324602</v>
      </c>
      <c r="R23">
        <v>-111471033.865723</v>
      </c>
      <c r="S23">
        <v>2215528.76428597</v>
      </c>
      <c r="T23">
        <v>-438559.03218611301</v>
      </c>
      <c r="W23">
        <v>27869414.237356499</v>
      </c>
      <c r="X23">
        <v>28750356.848030701</v>
      </c>
      <c r="Y23">
        <v>-94609171.680496603</v>
      </c>
      <c r="Z23">
        <v>1769567.0132279</v>
      </c>
      <c r="AA23">
        <v>-399994.44728705601</v>
      </c>
    </row>
    <row r="24" spans="2:27" x14ac:dyDescent="0.25">
      <c r="B24">
        <v>599559097.50443006</v>
      </c>
      <c r="C24">
        <v>278190894.619959</v>
      </c>
      <c r="D24">
        <v>-49168172.803327799</v>
      </c>
      <c r="E24">
        <v>709001.03015835595</v>
      </c>
      <c r="F24">
        <v>1070087.7553650299</v>
      </c>
      <c r="I24">
        <v>455312103.94441199</v>
      </c>
      <c r="J24">
        <v>161949554.94804499</v>
      </c>
      <c r="K24">
        <v>-45864400.317639798</v>
      </c>
      <c r="L24">
        <v>438461.86034986703</v>
      </c>
      <c r="M24">
        <v>1692971.4656344899</v>
      </c>
      <c r="P24">
        <v>1022361957.75016</v>
      </c>
      <c r="Q24">
        <v>570012384.11496305</v>
      </c>
      <c r="R24">
        <v>-74860369.838597298</v>
      </c>
      <c r="S24">
        <v>1073561.82940306</v>
      </c>
      <c r="T24">
        <v>1771286.3295599101</v>
      </c>
      <c r="W24">
        <v>771614675.75827396</v>
      </c>
      <c r="X24">
        <v>359528540.33206099</v>
      </c>
      <c r="Y24">
        <v>-63415337.920462601</v>
      </c>
      <c r="Z24">
        <v>801575.76343533199</v>
      </c>
      <c r="AA24">
        <v>1441391.9954233901</v>
      </c>
    </row>
    <row r="25" spans="2:27" x14ac:dyDescent="0.25">
      <c r="B25">
        <v>908787227.43873203</v>
      </c>
      <c r="C25">
        <v>416758388.70485997</v>
      </c>
      <c r="D25">
        <v>-6908098.8053218396</v>
      </c>
      <c r="E25">
        <v>-159523.25657545199</v>
      </c>
      <c r="F25">
        <v>1657347.13941174</v>
      </c>
      <c r="I25">
        <v>687715448.25334001</v>
      </c>
      <c r="J25">
        <v>243037398.409105</v>
      </c>
      <c r="K25">
        <v>-9304130.4831267204</v>
      </c>
      <c r="L25">
        <v>-359901.01549951598</v>
      </c>
      <c r="M25">
        <v>1820917.6224495601</v>
      </c>
      <c r="P25">
        <v>1546010217.2800601</v>
      </c>
      <c r="Q25">
        <v>854880430.406425</v>
      </c>
      <c r="R25">
        <v>-10030864.2764208</v>
      </c>
      <c r="S25">
        <v>-210796.96683125899</v>
      </c>
      <c r="T25">
        <v>2982465.2309130998</v>
      </c>
      <c r="W25">
        <v>1165216302.3297901</v>
      </c>
      <c r="X25">
        <v>536105025.92250198</v>
      </c>
      <c r="Y25">
        <v>-7937905.1082840404</v>
      </c>
      <c r="Z25">
        <v>-279001.43102596101</v>
      </c>
      <c r="AA25">
        <v>2356478.0214357902</v>
      </c>
    </row>
    <row r="26" spans="2:27" x14ac:dyDescent="0.25">
      <c r="B26">
        <v>1022046831.76764</v>
      </c>
      <c r="C26">
        <v>466209522.358046</v>
      </c>
      <c r="D26">
        <v>9898197.9546235595</v>
      </c>
      <c r="E26">
        <v>-288465.49405250303</v>
      </c>
      <c r="F26">
        <v>2189871.0372565999</v>
      </c>
      <c r="I26">
        <v>776675219.12812603</v>
      </c>
      <c r="J26">
        <v>273181699.684753</v>
      </c>
      <c r="K26">
        <v>5633717.5331859896</v>
      </c>
      <c r="L26">
        <v>-253645.26067063899</v>
      </c>
      <c r="M26">
        <v>2225087.2918890398</v>
      </c>
      <c r="P26">
        <v>1729156246.60272</v>
      </c>
      <c r="Q26">
        <v>953224297.57898903</v>
      </c>
      <c r="R26">
        <v>15649903.6222068</v>
      </c>
      <c r="S26">
        <v>-453481.44214171701</v>
      </c>
      <c r="T26">
        <v>3958781.20301972</v>
      </c>
      <c r="W26">
        <v>1299605921.2706101</v>
      </c>
      <c r="X26">
        <v>594008619.53420699</v>
      </c>
      <c r="Y26">
        <v>14175113.1232685</v>
      </c>
      <c r="Z26">
        <v>-430657.68409063399</v>
      </c>
      <c r="AA26">
        <v>3042779.0187299699</v>
      </c>
    </row>
    <row r="27" spans="2:27" x14ac:dyDescent="0.25">
      <c r="B27">
        <v>1067263165.66719</v>
      </c>
      <c r="C27">
        <v>484526850.98170203</v>
      </c>
      <c r="D27">
        <v>9539588.4696008097</v>
      </c>
      <c r="E27">
        <v>-191911.368369526</v>
      </c>
      <c r="F27">
        <v>2408214.3353172601</v>
      </c>
      <c r="I27">
        <v>812618323.16991901</v>
      </c>
      <c r="J27">
        <v>284278316.48732603</v>
      </c>
      <c r="K27">
        <v>6597063.11007562</v>
      </c>
      <c r="L27">
        <v>-143290.273821943</v>
      </c>
      <c r="M27">
        <v>2546259.2103963899</v>
      </c>
      <c r="P27">
        <v>1801561610.8238101</v>
      </c>
      <c r="Q27">
        <v>990340386.62782204</v>
      </c>
      <c r="R27">
        <v>14754154.4000406</v>
      </c>
      <c r="S27">
        <v>-305284.67246918398</v>
      </c>
      <c r="T27">
        <v>4301857.8049624097</v>
      </c>
      <c r="W27">
        <v>1350206604.22967</v>
      </c>
      <c r="X27">
        <v>613561038.62656105</v>
      </c>
      <c r="Y27">
        <v>13199734.8494204</v>
      </c>
      <c r="Z27">
        <v>-275137.50203796802</v>
      </c>
      <c r="AA27">
        <v>3284201.2248423798</v>
      </c>
    </row>
    <row r="28" spans="2:27" x14ac:dyDescent="0.25">
      <c r="B28">
        <v>1078998033.1191199</v>
      </c>
      <c r="C28">
        <v>488847479.99385101</v>
      </c>
      <c r="D28" s="1">
        <v>4.2929605115205102E-7</v>
      </c>
      <c r="E28" s="1">
        <v>-7.5435673352330902E-7</v>
      </c>
      <c r="F28">
        <v>2401874.3838513801</v>
      </c>
      <c r="I28">
        <v>822685334.64205801</v>
      </c>
      <c r="J28">
        <v>287074548.74845397</v>
      </c>
      <c r="K28" s="1">
        <v>5.9523372328840196E-6</v>
      </c>
      <c r="L28" s="1">
        <v>-4.7538924263790297E-7</v>
      </c>
      <c r="M28">
        <v>2545451.16627842</v>
      </c>
      <c r="P28">
        <v>1820211716.89288</v>
      </c>
      <c r="Q28">
        <v>999333749.89977396</v>
      </c>
      <c r="R28" s="1">
        <v>1.3358367141336201E-6</v>
      </c>
      <c r="S28" s="1">
        <v>-1.3748940546065601E-6</v>
      </c>
      <c r="T28">
        <v>4299049.3367023896</v>
      </c>
      <c r="W28">
        <v>1362780042.15698</v>
      </c>
      <c r="X28">
        <v>617751428.96714199</v>
      </c>
      <c r="Y28" s="1">
        <v>1.8415448721498301E-7</v>
      </c>
      <c r="Z28" s="1">
        <v>-4.64133336208761E-7</v>
      </c>
      <c r="AA28">
        <v>3267863.8594819</v>
      </c>
    </row>
    <row r="29" spans="2:27" x14ac:dyDescent="0.25">
      <c r="B29">
        <v>1067263165.66719</v>
      </c>
      <c r="C29">
        <v>484526850.98170203</v>
      </c>
      <c r="D29">
        <v>-9539588.4696006794</v>
      </c>
      <c r="E29">
        <v>191911.368368747</v>
      </c>
      <c r="F29">
        <v>2408214.33531657</v>
      </c>
      <c r="I29">
        <v>812618323.16992605</v>
      </c>
      <c r="J29">
        <v>284278316.48731798</v>
      </c>
      <c r="K29">
        <v>-6597063.1100698505</v>
      </c>
      <c r="L29">
        <v>143290.27382129899</v>
      </c>
      <c r="M29">
        <v>2546259.2103961199</v>
      </c>
      <c r="P29">
        <v>1801561610.8237901</v>
      </c>
      <c r="Q29">
        <v>990340386.62781405</v>
      </c>
      <c r="R29">
        <v>-14754154.400037199</v>
      </c>
      <c r="S29">
        <v>305284.67246982298</v>
      </c>
      <c r="T29">
        <v>4301857.80496273</v>
      </c>
      <c r="W29">
        <v>1350206604.22965</v>
      </c>
      <c r="X29">
        <v>613561038.62655306</v>
      </c>
      <c r="Y29">
        <v>-13199734.8494223</v>
      </c>
      <c r="Z29">
        <v>275137.50203710201</v>
      </c>
      <c r="AA29">
        <v>3284201.2248439598</v>
      </c>
    </row>
    <row r="30" spans="2:27" x14ac:dyDescent="0.25">
      <c r="B30">
        <v>1022046831.76755</v>
      </c>
      <c r="C30">
        <v>466209522.35799098</v>
      </c>
      <c r="D30">
        <v>-9898197.9546245299</v>
      </c>
      <c r="E30">
        <v>288465.49405244301</v>
      </c>
      <c r="F30">
        <v>2189871.03725634</v>
      </c>
      <c r="I30">
        <v>776675219.12807095</v>
      </c>
      <c r="J30">
        <v>273181699.68472099</v>
      </c>
      <c r="K30">
        <v>-5633717.5331892902</v>
      </c>
      <c r="L30">
        <v>253645.260670752</v>
      </c>
      <c r="M30">
        <v>2225087.29188842</v>
      </c>
      <c r="P30">
        <v>1729156246.6027601</v>
      </c>
      <c r="Q30">
        <v>953224297.57902098</v>
      </c>
      <c r="R30">
        <v>-15649903.6222055</v>
      </c>
      <c r="S30">
        <v>453481.442141924</v>
      </c>
      <c r="T30">
        <v>3958781.2030184902</v>
      </c>
      <c r="W30">
        <v>1299605921.27057</v>
      </c>
      <c r="X30">
        <v>594008619.53417897</v>
      </c>
      <c r="Y30">
        <v>-14175113.123270201</v>
      </c>
      <c r="Z30">
        <v>430657.68408925901</v>
      </c>
      <c r="AA30">
        <v>3042779.0187327499</v>
      </c>
    </row>
    <row r="31" spans="2:27" x14ac:dyDescent="0.25">
      <c r="B31">
        <v>908787227.43866706</v>
      </c>
      <c r="C31">
        <v>416758388.704822</v>
      </c>
      <c r="D31">
        <v>6908098.8053205898</v>
      </c>
      <c r="E31">
        <v>159523.25657521101</v>
      </c>
      <c r="F31">
        <v>1657347.1394092999</v>
      </c>
      <c r="I31">
        <v>687715448.25327897</v>
      </c>
      <c r="J31">
        <v>243037398.40907401</v>
      </c>
      <c r="K31">
        <v>9304130.4831246696</v>
      </c>
      <c r="L31">
        <v>359901.01549928501</v>
      </c>
      <c r="M31">
        <v>1820917.6224485999</v>
      </c>
      <c r="P31">
        <v>1546010217.2801299</v>
      </c>
      <c r="Q31">
        <v>854880430.40647304</v>
      </c>
      <c r="R31">
        <v>10030864.2764228</v>
      </c>
      <c r="S31">
        <v>210796.96683175699</v>
      </c>
      <c r="T31">
        <v>2982465.23091086</v>
      </c>
      <c r="W31">
        <v>1165216302.3297901</v>
      </c>
      <c r="X31">
        <v>536105025.92250299</v>
      </c>
      <c r="Y31">
        <v>7937905.1082782904</v>
      </c>
      <c r="Z31">
        <v>279001.43102711299</v>
      </c>
      <c r="AA31">
        <v>2356478.0214357101</v>
      </c>
    </row>
    <row r="32" spans="2:27" x14ac:dyDescent="0.25">
      <c r="B32">
        <v>599559097.50436902</v>
      </c>
      <c r="C32">
        <v>278190894.61992502</v>
      </c>
      <c r="D32">
        <v>49168172.803327903</v>
      </c>
      <c r="E32">
        <v>-709001.03015860496</v>
      </c>
      <c r="F32">
        <v>1070087.7553651801</v>
      </c>
      <c r="I32">
        <v>455312103.94437599</v>
      </c>
      <c r="J32">
        <v>161949554.948028</v>
      </c>
      <c r="K32">
        <v>45864400.317639798</v>
      </c>
      <c r="L32">
        <v>-438461.86035014701</v>
      </c>
      <c r="M32">
        <v>1692971.4656340801</v>
      </c>
      <c r="P32">
        <v>1022361957.75019</v>
      </c>
      <c r="Q32">
        <v>570012384.11498404</v>
      </c>
      <c r="R32">
        <v>74860369.838603199</v>
      </c>
      <c r="S32">
        <v>-1073561.82940427</v>
      </c>
      <c r="T32">
        <v>1771286.3295593699</v>
      </c>
      <c r="W32">
        <v>771614675.75830495</v>
      </c>
      <c r="X32">
        <v>359528540.332084</v>
      </c>
      <c r="Y32">
        <v>63415337.920461603</v>
      </c>
      <c r="Z32">
        <v>-801575.76343655295</v>
      </c>
      <c r="AA32">
        <v>1441391.99542312</v>
      </c>
    </row>
    <row r="33" spans="2:27" x14ac:dyDescent="0.25">
      <c r="B33">
        <v>21745148.708723299</v>
      </c>
      <c r="C33">
        <v>22865863.5585903</v>
      </c>
      <c r="D33">
        <v>73486657.380960599</v>
      </c>
      <c r="E33">
        <v>-1468900.4675809999</v>
      </c>
      <c r="F33">
        <v>-340864.52217019198</v>
      </c>
      <c r="I33">
        <v>12643388.0779394</v>
      </c>
      <c r="J33">
        <v>10206509.218735101</v>
      </c>
      <c r="K33">
        <v>67469396.096560106</v>
      </c>
      <c r="L33">
        <v>-1218715.47104516</v>
      </c>
      <c r="M33">
        <v>-765860.93932503997</v>
      </c>
      <c r="P33">
        <v>40357379.0813016</v>
      </c>
      <c r="Q33">
        <v>41875135.663323998</v>
      </c>
      <c r="R33">
        <v>111471033.865722</v>
      </c>
      <c r="S33">
        <v>-2215528.7642847099</v>
      </c>
      <c r="T33">
        <v>-438559.03217981901</v>
      </c>
      <c r="W33">
        <v>27869414.237355102</v>
      </c>
      <c r="X33">
        <v>28750356.848028701</v>
      </c>
      <c r="Y33">
        <v>94609171.680492997</v>
      </c>
      <c r="Z33">
        <v>-1769567.0132267701</v>
      </c>
      <c r="AA33">
        <v>-399994.44728725997</v>
      </c>
    </row>
    <row r="34" spans="2:27" x14ac:dyDescent="0.25">
      <c r="B34">
        <v>17216529.360211901</v>
      </c>
      <c r="C34">
        <v>21314896.4221409</v>
      </c>
      <c r="D34">
        <v>-39633873.015331</v>
      </c>
      <c r="E34">
        <v>1190688.81674844</v>
      </c>
      <c r="F34">
        <v>461583.544497989</v>
      </c>
      <c r="I34">
        <v>9864293.01356728</v>
      </c>
      <c r="J34">
        <v>10148657.3009053</v>
      </c>
      <c r="K34">
        <v>-35201008.262008101</v>
      </c>
      <c r="L34">
        <v>825100.98824871797</v>
      </c>
      <c r="M34">
        <v>552317.99802484002</v>
      </c>
      <c r="P34">
        <v>32354061.298190501</v>
      </c>
      <c r="Q34">
        <v>38050934.404445298</v>
      </c>
      <c r="R34">
        <v>-61579338.226613902</v>
      </c>
      <c r="S34">
        <v>1946968.3466916899</v>
      </c>
      <c r="T34">
        <v>597035.57798830804</v>
      </c>
      <c r="W34">
        <v>21863415.732390501</v>
      </c>
      <c r="X34">
        <v>26588366.9687142</v>
      </c>
      <c r="Y34">
        <v>-51408245.465775497</v>
      </c>
      <c r="Z34">
        <v>1461165.1637595401</v>
      </c>
      <c r="AA34">
        <v>582741.77192583098</v>
      </c>
    </row>
    <row r="35" spans="2:27" x14ac:dyDescent="0.25">
      <c r="B35">
        <v>512098315.17308903</v>
      </c>
      <c r="C35">
        <v>245995909.007227</v>
      </c>
      <c r="D35">
        <v>-30194532.337279901</v>
      </c>
      <c r="E35">
        <v>867046.48617124604</v>
      </c>
      <c r="F35">
        <v>-128089.245876122</v>
      </c>
      <c r="I35">
        <v>392919242.24091297</v>
      </c>
      <c r="J35">
        <v>148290467.165757</v>
      </c>
      <c r="K35">
        <v>-27196020.5842041</v>
      </c>
      <c r="L35">
        <v>568008.39910073997</v>
      </c>
      <c r="M35">
        <v>-141677.28247771601</v>
      </c>
      <c r="P35">
        <v>876708839.34725404</v>
      </c>
      <c r="Q35">
        <v>500705633.18675601</v>
      </c>
      <c r="R35">
        <v>-47251157.046881303</v>
      </c>
      <c r="S35">
        <v>1437220.1425653601</v>
      </c>
      <c r="T35">
        <v>3149.9182854094702</v>
      </c>
      <c r="W35">
        <v>660974983.47480702</v>
      </c>
      <c r="X35">
        <v>318727021.61021</v>
      </c>
      <c r="Y35">
        <v>-39399424.238881499</v>
      </c>
      <c r="Z35">
        <v>1051790.4307850699</v>
      </c>
      <c r="AA35">
        <v>-112098.250946177</v>
      </c>
    </row>
    <row r="36" spans="2:27" x14ac:dyDescent="0.25">
      <c r="B36">
        <v>875489706.71030498</v>
      </c>
      <c r="C36">
        <v>409498732.08830202</v>
      </c>
      <c r="D36">
        <v>-10704280.136816399</v>
      </c>
      <c r="E36">
        <v>308829.47405767802</v>
      </c>
      <c r="F36">
        <v>389230.75045734999</v>
      </c>
      <c r="I36">
        <v>674547597.98616099</v>
      </c>
      <c r="J36">
        <v>248414060.98709601</v>
      </c>
      <c r="K36">
        <v>-10774388.541395601</v>
      </c>
      <c r="L36">
        <v>198936.21574760901</v>
      </c>
      <c r="M36">
        <v>305461.058065566</v>
      </c>
      <c r="P36">
        <v>1497917090.31476</v>
      </c>
      <c r="Q36">
        <v>839490615.42938101</v>
      </c>
      <c r="R36">
        <v>-17043548.817253198</v>
      </c>
      <c r="S36">
        <v>531707.12083854701</v>
      </c>
      <c r="T36">
        <v>980931.53344432998</v>
      </c>
      <c r="W36">
        <v>1130401656.35379</v>
      </c>
      <c r="X36">
        <v>530817531.792849</v>
      </c>
      <c r="Y36">
        <v>-13887445.1383148</v>
      </c>
      <c r="Z36">
        <v>331229.24389603402</v>
      </c>
      <c r="AA36">
        <v>617312.16361072205</v>
      </c>
    </row>
    <row r="37" spans="2:27" x14ac:dyDescent="0.25">
      <c r="B37">
        <v>1079183961.9752901</v>
      </c>
      <c r="C37">
        <v>498702566.22817302</v>
      </c>
      <c r="D37">
        <v>1883049.7027433801</v>
      </c>
      <c r="E37">
        <v>-73687.205478321499</v>
      </c>
      <c r="F37">
        <v>1040234.83672829</v>
      </c>
      <c r="I37">
        <v>832570540.52474999</v>
      </c>
      <c r="J37">
        <v>302442722.95932603</v>
      </c>
      <c r="K37">
        <v>265540.577301246</v>
      </c>
      <c r="L37">
        <v>-62764.861084094897</v>
      </c>
      <c r="M37">
        <v>942156.99996220996</v>
      </c>
      <c r="P37">
        <v>1844916562.0977299</v>
      </c>
      <c r="Q37">
        <v>1025890500.80742</v>
      </c>
      <c r="R37">
        <v>2572004.02103505</v>
      </c>
      <c r="S37">
        <v>-94657.662089540099</v>
      </c>
      <c r="T37">
        <v>2057415.2657465299</v>
      </c>
      <c r="W37">
        <v>1390367942.47823</v>
      </c>
      <c r="X37">
        <v>644519270.34635699</v>
      </c>
      <c r="Y37">
        <v>2827211.7943784301</v>
      </c>
      <c r="Z37">
        <v>-151908.46135316201</v>
      </c>
      <c r="AA37">
        <v>1480113.8225234</v>
      </c>
    </row>
    <row r="38" spans="2:27" x14ac:dyDescent="0.25">
      <c r="B38">
        <v>1176599420.0356801</v>
      </c>
      <c r="C38">
        <v>539480146.69543004</v>
      </c>
      <c r="D38">
        <v>4338783.3988280604</v>
      </c>
      <c r="E38">
        <v>-151521.71907591299</v>
      </c>
      <c r="F38">
        <v>1218831.7003899701</v>
      </c>
      <c r="I38">
        <v>909047783.63372505</v>
      </c>
      <c r="J38">
        <v>326957830.16155303</v>
      </c>
      <c r="K38">
        <v>2973287.9448489002</v>
      </c>
      <c r="L38">
        <v>-127322.685540672</v>
      </c>
      <c r="M38">
        <v>982165.50725019001</v>
      </c>
      <c r="P38">
        <v>2009776942.69297</v>
      </c>
      <c r="Q38">
        <v>1112193597.8984201</v>
      </c>
      <c r="R38">
        <v>6511438.9152820399</v>
      </c>
      <c r="S38">
        <v>-220963.212026294</v>
      </c>
      <c r="T38">
        <v>2420362.5432674098</v>
      </c>
      <c r="W38">
        <v>1512057354.6740501</v>
      </c>
      <c r="X38">
        <v>694982719.45142305</v>
      </c>
      <c r="Y38">
        <v>6009787.3517652899</v>
      </c>
      <c r="Z38">
        <v>-224151.693267366</v>
      </c>
      <c r="AA38">
        <v>1720083.24022311</v>
      </c>
    </row>
    <row r="39" spans="2:27" x14ac:dyDescent="0.25">
      <c r="B39">
        <v>1204885119.09901</v>
      </c>
      <c r="C39">
        <v>550840029.49781299</v>
      </c>
      <c r="D39" s="1">
        <v>2.46395939029753E-6</v>
      </c>
      <c r="E39" s="1">
        <v>2.6502675609663102E-7</v>
      </c>
      <c r="F39">
        <v>1248783.6970229901</v>
      </c>
      <c r="I39">
        <v>931661280.83209896</v>
      </c>
      <c r="J39">
        <v>333800086.317186</v>
      </c>
      <c r="K39" s="1">
        <v>5.0206290325149902E-6</v>
      </c>
      <c r="L39" s="1">
        <v>-2.9447983251884601E-7</v>
      </c>
      <c r="M39">
        <v>966096.35621868202</v>
      </c>
      <c r="P39">
        <v>2057434136.25547</v>
      </c>
      <c r="Q39">
        <v>1136537836.72648</v>
      </c>
      <c r="R39" s="1">
        <v>-2.7483474696055101E-6</v>
      </c>
      <c r="S39" s="1">
        <v>2.2219319362193299E-6</v>
      </c>
      <c r="T39">
        <v>2504025.86987674</v>
      </c>
      <c r="W39">
        <v>1546878954.2523301</v>
      </c>
      <c r="X39">
        <v>708716709.68965197</v>
      </c>
      <c r="Y39" s="1">
        <v>5.9026497183367602E-6</v>
      </c>
      <c r="Z39" s="1">
        <v>-1.2291275197640099E-6</v>
      </c>
      <c r="AA39">
        <v>1757344.67048869</v>
      </c>
    </row>
    <row r="40" spans="2:27" x14ac:dyDescent="0.25">
      <c r="B40">
        <v>1176599420.03567</v>
      </c>
      <c r="C40">
        <v>539480146.69542599</v>
      </c>
      <c r="D40">
        <v>-4338783.3988285502</v>
      </c>
      <c r="E40">
        <v>151521.71907572</v>
      </c>
      <c r="F40">
        <v>1218831.7003856599</v>
      </c>
      <c r="I40">
        <v>909047783.63363695</v>
      </c>
      <c r="J40">
        <v>326957830.16149402</v>
      </c>
      <c r="K40">
        <v>-2973287.9448438999</v>
      </c>
      <c r="L40">
        <v>127322.685540188</v>
      </c>
      <c r="M40">
        <v>982165.50724889699</v>
      </c>
      <c r="P40">
        <v>2009776942.6929801</v>
      </c>
      <c r="Q40">
        <v>1112193597.8984301</v>
      </c>
      <c r="R40">
        <v>-6511438.9152844604</v>
      </c>
      <c r="S40">
        <v>220963.21202477001</v>
      </c>
      <c r="T40">
        <v>2420362.5432740301</v>
      </c>
      <c r="W40">
        <v>1512057354.6740799</v>
      </c>
      <c r="X40">
        <v>694982719.45142996</v>
      </c>
      <c r="Y40">
        <v>-6009787.35176099</v>
      </c>
      <c r="Z40">
        <v>224151.69326892</v>
      </c>
      <c r="AA40">
        <v>1720083.24021657</v>
      </c>
    </row>
    <row r="41" spans="2:27" x14ac:dyDescent="0.25">
      <c r="B41">
        <v>1079183961.97524</v>
      </c>
      <c r="C41">
        <v>498702566.22814101</v>
      </c>
      <c r="D41">
        <v>-1883049.7027481401</v>
      </c>
      <c r="E41">
        <v>73687.205476491494</v>
      </c>
      <c r="F41">
        <v>1040234.8367307</v>
      </c>
      <c r="I41">
        <v>832570540.52469504</v>
      </c>
      <c r="J41">
        <v>302442722.95929098</v>
      </c>
      <c r="K41">
        <v>-265540.57730383403</v>
      </c>
      <c r="L41">
        <v>62764.861083046402</v>
      </c>
      <c r="M41">
        <v>942156.99996039702</v>
      </c>
      <c r="P41">
        <v>1844916562.0977399</v>
      </c>
      <c r="Q41">
        <v>1025890500.80743</v>
      </c>
      <c r="R41">
        <v>-2572004.0210289098</v>
      </c>
      <c r="S41">
        <v>94657.662088718804</v>
      </c>
      <c r="T41">
        <v>2057415.26575194</v>
      </c>
      <c r="W41">
        <v>1390367942.47825</v>
      </c>
      <c r="X41">
        <v>644519270.34635997</v>
      </c>
      <c r="Y41">
        <v>-2827211.7943814001</v>
      </c>
      <c r="Z41">
        <v>151908.46135313399</v>
      </c>
      <c r="AA41">
        <v>1480113.82251709</v>
      </c>
    </row>
    <row r="42" spans="2:27" x14ac:dyDescent="0.25">
      <c r="B42">
        <v>875489706.71019495</v>
      </c>
      <c r="C42">
        <v>409498732.08823901</v>
      </c>
      <c r="D42">
        <v>10704280.1368162</v>
      </c>
      <c r="E42">
        <v>-308829.47405553801</v>
      </c>
      <c r="F42">
        <v>389230.75045598397</v>
      </c>
      <c r="I42">
        <v>674547597.98608994</v>
      </c>
      <c r="J42">
        <v>248414060.98706299</v>
      </c>
      <c r="K42">
        <v>10774388.5413916</v>
      </c>
      <c r="L42">
        <v>-198936.215746036</v>
      </c>
      <c r="M42">
        <v>305461.05806622602</v>
      </c>
      <c r="P42">
        <v>1497917090.31481</v>
      </c>
      <c r="Q42">
        <v>839490615.429425</v>
      </c>
      <c r="R42">
        <v>17043548.817260601</v>
      </c>
      <c r="S42">
        <v>-531707.12083791103</v>
      </c>
      <c r="T42">
        <v>980931.53344302997</v>
      </c>
      <c r="W42">
        <v>1130401656.3538101</v>
      </c>
      <c r="X42">
        <v>530817531.792862</v>
      </c>
      <c r="Y42">
        <v>13887445.1383093</v>
      </c>
      <c r="Z42">
        <v>-331229.24389557599</v>
      </c>
      <c r="AA42">
        <v>617312.16360700305</v>
      </c>
    </row>
    <row r="43" spans="2:27" x14ac:dyDescent="0.25">
      <c r="B43">
        <v>512098315.17305398</v>
      </c>
      <c r="C43">
        <v>245995909.00720701</v>
      </c>
      <c r="D43">
        <v>30194532.337282501</v>
      </c>
      <c r="E43">
        <v>-867046.48617193406</v>
      </c>
      <c r="F43">
        <v>-128089.245876456</v>
      </c>
      <c r="I43">
        <v>392919242.240879</v>
      </c>
      <c r="J43">
        <v>148290467.165741</v>
      </c>
      <c r="K43">
        <v>27196020.584203798</v>
      </c>
      <c r="L43">
        <v>-568008.39910131705</v>
      </c>
      <c r="M43">
        <v>-141677.28247795699</v>
      </c>
      <c r="P43">
        <v>876708839.34730303</v>
      </c>
      <c r="Q43">
        <v>500705633.18678701</v>
      </c>
      <c r="R43">
        <v>47251157.046882503</v>
      </c>
      <c r="S43">
        <v>-1437220.14256788</v>
      </c>
      <c r="T43">
        <v>3149.91828187087</v>
      </c>
      <c r="W43">
        <v>660974983.47478795</v>
      </c>
      <c r="X43">
        <v>318727021.61020601</v>
      </c>
      <c r="Y43">
        <v>39399424.238875702</v>
      </c>
      <c r="Z43">
        <v>-1051790.43078672</v>
      </c>
      <c r="AA43">
        <v>-112098.25094901701</v>
      </c>
    </row>
    <row r="44" spans="2:27" x14ac:dyDescent="0.25">
      <c r="B44">
        <v>17216529.360212199</v>
      </c>
      <c r="C44">
        <v>21314896.422143299</v>
      </c>
      <c r="D44">
        <v>39633873.015330702</v>
      </c>
      <c r="E44">
        <v>-1190688.8167457101</v>
      </c>
      <c r="F44">
        <v>461583.54450052697</v>
      </c>
      <c r="I44">
        <v>9864293.0135658998</v>
      </c>
      <c r="J44">
        <v>10148657.300904401</v>
      </c>
      <c r="K44">
        <v>35201008.262007803</v>
      </c>
      <c r="L44">
        <v>-825100.98824652703</v>
      </c>
      <c r="M44">
        <v>552317.99802360998</v>
      </c>
      <c r="P44">
        <v>32354061.2981872</v>
      </c>
      <c r="Q44">
        <v>38050934.404443197</v>
      </c>
      <c r="R44">
        <v>61579338.226609901</v>
      </c>
      <c r="S44">
        <v>-1946968.3466898799</v>
      </c>
      <c r="T44">
        <v>597035.57798665005</v>
      </c>
      <c r="W44">
        <v>21863415.732390199</v>
      </c>
      <c r="X44">
        <v>26588366.968715899</v>
      </c>
      <c r="Y44">
        <v>51408245.465769701</v>
      </c>
      <c r="Z44">
        <v>-1461165.16375713</v>
      </c>
      <c r="AA44">
        <v>582741.77192888001</v>
      </c>
    </row>
    <row r="45" spans="2:27" x14ac:dyDescent="0.25">
      <c r="B45">
        <v>12697198.5522053</v>
      </c>
      <c r="C45">
        <v>19324528.207654402</v>
      </c>
      <c r="D45">
        <v>-17304397.553973898</v>
      </c>
      <c r="E45">
        <v>1144801.5879865901</v>
      </c>
      <c r="F45">
        <v>72114.809368080401</v>
      </c>
      <c r="I45">
        <v>6187655.0075506801</v>
      </c>
      <c r="J45">
        <v>8827262.0968110207</v>
      </c>
      <c r="K45">
        <v>-14879215.9571574</v>
      </c>
      <c r="L45">
        <v>800690.42667954997</v>
      </c>
      <c r="M45">
        <v>97973.391245811697</v>
      </c>
      <c r="P45">
        <v>24751934.529245801</v>
      </c>
      <c r="Q45">
        <v>34006982.893638298</v>
      </c>
      <c r="R45">
        <v>-27261101.459029298</v>
      </c>
      <c r="S45">
        <v>1919992.4713703301</v>
      </c>
      <c r="T45">
        <v>74767.102970674896</v>
      </c>
      <c r="W45">
        <v>16028268.3128326</v>
      </c>
      <c r="X45">
        <v>23991580.726797201</v>
      </c>
      <c r="Y45">
        <v>-22454476.6309673</v>
      </c>
      <c r="Z45">
        <v>1413904.8418783001</v>
      </c>
      <c r="AA45">
        <v>89632.863133694496</v>
      </c>
    </row>
    <row r="46" spans="2:27" x14ac:dyDescent="0.25">
      <c r="B46">
        <v>466877838.09422398</v>
      </c>
      <c r="C46">
        <v>228294179.091901</v>
      </c>
      <c r="D46">
        <v>-13891069.078201501</v>
      </c>
      <c r="E46">
        <v>921716.71878386103</v>
      </c>
      <c r="F46">
        <v>-98666.787870238099</v>
      </c>
      <c r="I46">
        <v>355709411.36233002</v>
      </c>
      <c r="J46">
        <v>138066288.222184</v>
      </c>
      <c r="K46">
        <v>-12129126.477654399</v>
      </c>
      <c r="L46">
        <v>640549.93362747203</v>
      </c>
      <c r="M46">
        <v>-127080.515031127</v>
      </c>
      <c r="P46">
        <v>803219692.90890801</v>
      </c>
      <c r="Q46">
        <v>464690986.826006</v>
      </c>
      <c r="R46">
        <v>-22025420.5014599</v>
      </c>
      <c r="S46">
        <v>1561521.3725620201</v>
      </c>
      <c r="T46">
        <v>-63812.5241627375</v>
      </c>
      <c r="W46">
        <v>602652722.34112895</v>
      </c>
      <c r="X46">
        <v>295769439.41285002</v>
      </c>
      <c r="Y46">
        <v>-18131968.0030558</v>
      </c>
      <c r="Z46">
        <v>1129499.51924355</v>
      </c>
      <c r="AA46">
        <v>-111015.288713842</v>
      </c>
    </row>
    <row r="47" spans="2:27" x14ac:dyDescent="0.25">
      <c r="B47">
        <v>836974864.27902102</v>
      </c>
      <c r="C47">
        <v>396371409.51321399</v>
      </c>
      <c r="D47">
        <v>-6257112.7162013296</v>
      </c>
      <c r="E47">
        <v>436365.56831772899</v>
      </c>
      <c r="F47">
        <v>29341.503192242999</v>
      </c>
      <c r="I47">
        <v>641155224.47757804</v>
      </c>
      <c r="J47">
        <v>241386050.85367101</v>
      </c>
      <c r="K47">
        <v>-5804618.3177316999</v>
      </c>
      <c r="L47">
        <v>290995.91346953099</v>
      </c>
      <c r="M47">
        <v>-15393.463069711001</v>
      </c>
      <c r="P47">
        <v>1438831616.7430699</v>
      </c>
      <c r="Q47">
        <v>813732338.49638498</v>
      </c>
      <c r="R47">
        <v>-10170053.948435601</v>
      </c>
      <c r="S47">
        <v>775355.479418098</v>
      </c>
      <c r="T47">
        <v>202646.43987205901</v>
      </c>
      <c r="W47">
        <v>1081618775.87307</v>
      </c>
      <c r="X47">
        <v>514415371.25485301</v>
      </c>
      <c r="Y47">
        <v>-8229500.2823538696</v>
      </c>
      <c r="Z47">
        <v>507365.89847055299</v>
      </c>
      <c r="AA47">
        <v>68252.829624660604</v>
      </c>
    </row>
    <row r="48" spans="2:27" x14ac:dyDescent="0.25">
      <c r="B48">
        <v>1082217481.3281901</v>
      </c>
      <c r="C48">
        <v>504562810.42924899</v>
      </c>
      <c r="D48">
        <v>-248973.643354764</v>
      </c>
      <c r="E48">
        <v>30293.146202414398</v>
      </c>
      <c r="F48">
        <v>257886.87520072499</v>
      </c>
      <c r="I48">
        <v>830424730.42171204</v>
      </c>
      <c r="J48">
        <v>306905101.99123001</v>
      </c>
      <c r="K48">
        <v>-635993.20781550498</v>
      </c>
      <c r="L48">
        <v>-22229.643119777898</v>
      </c>
      <c r="M48">
        <v>134531.50440417201</v>
      </c>
      <c r="P48">
        <v>1860677489.0516801</v>
      </c>
      <c r="Q48">
        <v>1041512124.6737</v>
      </c>
      <c r="R48">
        <v>-738813.03382336895</v>
      </c>
      <c r="S48">
        <v>115164.676083962</v>
      </c>
      <c r="T48">
        <v>620709.98922909901</v>
      </c>
      <c r="W48">
        <v>1398619689.92397</v>
      </c>
      <c r="X48">
        <v>654534942.41704094</v>
      </c>
      <c r="Y48">
        <v>-265966.63067199499</v>
      </c>
      <c r="Z48">
        <v>-4460.3158391791403</v>
      </c>
      <c r="AA48">
        <v>383253.989320822</v>
      </c>
    </row>
    <row r="49" spans="2:27" x14ac:dyDescent="0.25">
      <c r="B49">
        <v>1214075559.85219</v>
      </c>
      <c r="C49">
        <v>560559715.26674402</v>
      </c>
      <c r="D49">
        <v>1446497.57892116</v>
      </c>
      <c r="E49">
        <v>-88613.665328718605</v>
      </c>
      <c r="F49">
        <v>422933.40321892098</v>
      </c>
      <c r="I49">
        <v>932543863.57318199</v>
      </c>
      <c r="J49">
        <v>340267822.78235501</v>
      </c>
      <c r="K49">
        <v>968406.10661197698</v>
      </c>
      <c r="L49">
        <v>-90698.211753985801</v>
      </c>
      <c r="M49">
        <v>228594.95199492699</v>
      </c>
      <c r="P49">
        <v>2087347649.0011599</v>
      </c>
      <c r="Q49">
        <v>1161235383.7104399</v>
      </c>
      <c r="R49">
        <v>2071383.3964563699</v>
      </c>
      <c r="S49">
        <v>-104250.597886533</v>
      </c>
      <c r="T49">
        <v>928054.46755079797</v>
      </c>
      <c r="W49">
        <v>1567947661.9753599</v>
      </c>
      <c r="X49">
        <v>726278443.84252906</v>
      </c>
      <c r="Y49">
        <v>2004568.66162163</v>
      </c>
      <c r="Z49">
        <v>-139659.59033906701</v>
      </c>
      <c r="AA49">
        <v>604667.52374428499</v>
      </c>
    </row>
    <row r="50" spans="2:27" x14ac:dyDescent="0.25">
      <c r="B50">
        <v>1254607087.66312</v>
      </c>
      <c r="C50">
        <v>577280308.60344803</v>
      </c>
      <c r="D50" s="1">
        <v>-3.2023672247305502E-7</v>
      </c>
      <c r="E50" s="1">
        <v>-1.19843389256857E-6</v>
      </c>
      <c r="F50">
        <v>494609.14292192401</v>
      </c>
      <c r="I50">
        <v>963912074.48579502</v>
      </c>
      <c r="J50">
        <v>350070662.61275297</v>
      </c>
      <c r="K50" s="1">
        <v>2.4202818167395898E-6</v>
      </c>
      <c r="L50" s="1">
        <v>-1.3622666301671401E-6</v>
      </c>
      <c r="M50">
        <v>299192.94816685503</v>
      </c>
      <c r="P50">
        <v>2156964451.0478601</v>
      </c>
      <c r="Q50">
        <v>1197399294.8204801</v>
      </c>
      <c r="R50" s="1">
        <v>2.5588087737560299E-7</v>
      </c>
      <c r="S50" s="1">
        <v>2.08538403967395E-6</v>
      </c>
      <c r="T50">
        <v>1045596.635945</v>
      </c>
      <c r="W50">
        <v>1619642399.5976801</v>
      </c>
      <c r="X50">
        <v>747474066.19749999</v>
      </c>
      <c r="Y50" s="1">
        <v>-3.3972974051721398E-6</v>
      </c>
      <c r="Z50" s="1">
        <v>-2.5796907721087299E-7</v>
      </c>
      <c r="AA50">
        <v>694744.41746039398</v>
      </c>
    </row>
    <row r="51" spans="2:27" x14ac:dyDescent="0.25">
      <c r="B51">
        <v>1214075559.8521099</v>
      </c>
      <c r="C51">
        <v>560559715.26669204</v>
      </c>
      <c r="D51">
        <v>-1446497.57892242</v>
      </c>
      <c r="E51">
        <v>88613.665328575502</v>
      </c>
      <c r="F51">
        <v>422933.403225002</v>
      </c>
      <c r="I51">
        <v>932543863.57305706</v>
      </c>
      <c r="J51">
        <v>340267822.78228003</v>
      </c>
      <c r="K51">
        <v>-968406.10661235498</v>
      </c>
      <c r="L51">
        <v>90698.211754280695</v>
      </c>
      <c r="M51">
        <v>228594.95199507699</v>
      </c>
      <c r="P51">
        <v>2087347649.00121</v>
      </c>
      <c r="Q51">
        <v>1161235383.7104599</v>
      </c>
      <c r="R51">
        <v>-2071383.3964619299</v>
      </c>
      <c r="S51">
        <v>104250.59788716699</v>
      </c>
      <c r="T51">
        <v>928054.46754800598</v>
      </c>
      <c r="W51">
        <v>1567947661.9751899</v>
      </c>
      <c r="X51">
        <v>726278443.84243</v>
      </c>
      <c r="Y51">
        <v>-2004568.6616202199</v>
      </c>
      <c r="Z51">
        <v>139659.59033933599</v>
      </c>
      <c r="AA51">
        <v>604667.52375010902</v>
      </c>
    </row>
    <row r="52" spans="2:27" x14ac:dyDescent="0.25">
      <c r="B52">
        <v>1082217481.32812</v>
      </c>
      <c r="C52">
        <v>504562810.42920798</v>
      </c>
      <c r="D52">
        <v>248973.643351212</v>
      </c>
      <c r="E52">
        <v>-30293.146201300398</v>
      </c>
      <c r="F52">
        <v>257886.87520121399</v>
      </c>
      <c r="I52">
        <v>830424730.42156005</v>
      </c>
      <c r="J52">
        <v>306905101.99114501</v>
      </c>
      <c r="K52">
        <v>635993.20781488204</v>
      </c>
      <c r="L52">
        <v>22229.643120096101</v>
      </c>
      <c r="M52">
        <v>134531.50440502001</v>
      </c>
      <c r="P52">
        <v>1860677489.05179</v>
      </c>
      <c r="Q52">
        <v>1041512124.67378</v>
      </c>
      <c r="R52">
        <v>738813.03382733895</v>
      </c>
      <c r="S52">
        <v>-115164.676086565</v>
      </c>
      <c r="T52">
        <v>620709.98923267005</v>
      </c>
      <c r="W52">
        <v>1398619689.9238701</v>
      </c>
      <c r="X52">
        <v>654534942.41698003</v>
      </c>
      <c r="Y52">
        <v>265966.63067638298</v>
      </c>
      <c r="Z52">
        <v>4460.3158382108204</v>
      </c>
      <c r="AA52">
        <v>383253.989330941</v>
      </c>
    </row>
    <row r="53" spans="2:27" x14ac:dyDescent="0.25">
      <c r="B53">
        <v>836974864.27903199</v>
      </c>
      <c r="C53">
        <v>396371409.51322699</v>
      </c>
      <c r="D53">
        <v>6257112.7162038498</v>
      </c>
      <c r="E53">
        <v>-436365.56831660401</v>
      </c>
      <c r="F53">
        <v>29341.5031937692</v>
      </c>
      <c r="I53">
        <v>641155224.477543</v>
      </c>
      <c r="J53">
        <v>241386050.85365701</v>
      </c>
      <c r="K53">
        <v>5804618.3177325903</v>
      </c>
      <c r="L53">
        <v>-290995.91346826998</v>
      </c>
      <c r="M53">
        <v>-15393.463070046701</v>
      </c>
      <c r="P53">
        <v>1438831616.7431901</v>
      </c>
      <c r="Q53">
        <v>813732338.49646401</v>
      </c>
      <c r="R53">
        <v>10170053.948442001</v>
      </c>
      <c r="S53">
        <v>-775355.47941459296</v>
      </c>
      <c r="T53">
        <v>202646.43987303501</v>
      </c>
      <c r="W53">
        <v>1081618775.87292</v>
      </c>
      <c r="X53">
        <v>514415371.25476998</v>
      </c>
      <c r="Y53">
        <v>8229500.2823527297</v>
      </c>
      <c r="Z53">
        <v>-507365.89846761199</v>
      </c>
      <c r="AA53">
        <v>68252.829622037098</v>
      </c>
    </row>
    <row r="54" spans="2:27" x14ac:dyDescent="0.25">
      <c r="B54">
        <v>466877838.09419799</v>
      </c>
      <c r="C54">
        <v>228294179.09188399</v>
      </c>
      <c r="D54">
        <v>13891069.0782065</v>
      </c>
      <c r="E54">
        <v>-921716.71878488106</v>
      </c>
      <c r="F54">
        <v>-98666.787871500594</v>
      </c>
      <c r="I54">
        <v>355709411.36230701</v>
      </c>
      <c r="J54">
        <v>138066288.22217199</v>
      </c>
      <c r="K54">
        <v>12129126.477653399</v>
      </c>
      <c r="L54">
        <v>-640549.93362781196</v>
      </c>
      <c r="M54">
        <v>-127080.515030839</v>
      </c>
      <c r="P54">
        <v>803219692.908952</v>
      </c>
      <c r="Q54">
        <v>464690986.82602602</v>
      </c>
      <c r="R54">
        <v>22025420.501458399</v>
      </c>
      <c r="S54">
        <v>-1561521.3725626599</v>
      </c>
      <c r="T54">
        <v>-63812.5241638144</v>
      </c>
      <c r="W54">
        <v>602652722.34109104</v>
      </c>
      <c r="X54">
        <v>295769439.41284198</v>
      </c>
      <c r="Y54">
        <v>18131968.003055502</v>
      </c>
      <c r="Z54">
        <v>-1129499.51924456</v>
      </c>
      <c r="AA54">
        <v>-111015.28871172199</v>
      </c>
    </row>
    <row r="55" spans="2:27" x14ac:dyDescent="0.25">
      <c r="B55">
        <v>12697198.552203599</v>
      </c>
      <c r="C55">
        <v>19324528.2076529</v>
      </c>
      <c r="D55">
        <v>17304397.553976201</v>
      </c>
      <c r="E55">
        <v>-1144801.58798412</v>
      </c>
      <c r="F55">
        <v>72114.809370018396</v>
      </c>
      <c r="I55">
        <v>6187655.0075499797</v>
      </c>
      <c r="J55">
        <v>8827262.0968101192</v>
      </c>
      <c r="K55">
        <v>14879215.957155099</v>
      </c>
      <c r="L55">
        <v>-800690.42667801306</v>
      </c>
      <c r="M55">
        <v>97973.391245407896</v>
      </c>
      <c r="P55">
        <v>24751934.529243499</v>
      </c>
      <c r="Q55">
        <v>34006982.8936373</v>
      </c>
      <c r="R55">
        <v>27261101.459025498</v>
      </c>
      <c r="S55">
        <v>-1919992.47136672</v>
      </c>
      <c r="T55">
        <v>74767.102967524101</v>
      </c>
      <c r="W55">
        <v>16028268.312832</v>
      </c>
      <c r="X55">
        <v>23991580.726797398</v>
      </c>
      <c r="Y55">
        <v>22454476.630968001</v>
      </c>
      <c r="Z55">
        <v>-1413904.8418765501</v>
      </c>
      <c r="AA55">
        <v>89632.863133443694</v>
      </c>
    </row>
    <row r="56" spans="2:27" s="2" customFormat="1" x14ac:dyDescent="0.25">
      <c r="B56" s="2">
        <v>11978903.8022239</v>
      </c>
      <c r="C56" s="2">
        <v>18921372.435798299</v>
      </c>
      <c r="D56" s="18">
        <v>6.3469633460044903E-7</v>
      </c>
      <c r="E56" s="2">
        <v>1122970.1922363599</v>
      </c>
      <c r="F56" s="18">
        <v>1.4870056475047001E-6</v>
      </c>
      <c r="I56" s="2">
        <v>5609452.3247230304</v>
      </c>
      <c r="J56" s="2">
        <v>8563194.4805248491</v>
      </c>
      <c r="K56" s="18">
        <v>4.0809391066431999E-7</v>
      </c>
      <c r="L56" s="2">
        <v>774556.01663266902</v>
      </c>
      <c r="M56" s="18">
        <v>4.6367495087906702E-7</v>
      </c>
      <c r="P56" s="2">
        <v>23513009.5223401</v>
      </c>
      <c r="Q56" s="2">
        <v>33197232.317353498</v>
      </c>
      <c r="R56" s="18">
        <v>-4.6626082621514797E-6</v>
      </c>
      <c r="S56" s="2">
        <v>1900600.3587034</v>
      </c>
      <c r="T56" s="18">
        <v>5.42733687325381E-6</v>
      </c>
      <c r="W56" s="2">
        <v>15084092.9545743</v>
      </c>
      <c r="X56" s="2">
        <v>23447410.6683353</v>
      </c>
      <c r="Y56" s="18">
        <v>1.6989361029118299E-6</v>
      </c>
      <c r="Z56" s="2">
        <v>1389966.49584118</v>
      </c>
      <c r="AA56" s="18">
        <v>1.7768470570445101E-6</v>
      </c>
    </row>
    <row r="57" spans="2:27" s="2" customFormat="1" x14ac:dyDescent="0.25">
      <c r="B57" s="2">
        <v>452536517.93026102</v>
      </c>
      <c r="C57" s="2">
        <v>222553689.43595299</v>
      </c>
      <c r="D57" s="18">
        <v>1.56554960994981E-6</v>
      </c>
      <c r="E57" s="2">
        <v>918715.15418302303</v>
      </c>
      <c r="F57" s="18">
        <v>4.2398460209369702E-7</v>
      </c>
      <c r="I57" s="2">
        <v>343352870.39273798</v>
      </c>
      <c r="J57" s="2">
        <v>134397793.90480301</v>
      </c>
      <c r="K57" s="18">
        <v>6.5979111241176703E-7</v>
      </c>
      <c r="L57" s="2">
        <v>633515.88979275199</v>
      </c>
      <c r="M57" s="18">
        <v>-8.5697683971375195E-7</v>
      </c>
      <c r="P57" s="2">
        <v>779903611.22444499</v>
      </c>
      <c r="Q57" s="2">
        <v>453145863.88847601</v>
      </c>
      <c r="R57" s="18">
        <v>-4.1966304706875201E-6</v>
      </c>
      <c r="S57" s="2">
        <v>1570675.99031652</v>
      </c>
      <c r="T57" s="18">
        <v>-3.8537837099283902E-7</v>
      </c>
      <c r="W57" s="2">
        <v>583861990.98768497</v>
      </c>
      <c r="X57" s="2">
        <v>288185595.529544</v>
      </c>
      <c r="Y57" s="18">
        <v>3.41436316375621E-6</v>
      </c>
      <c r="Z57" s="2">
        <v>1127560.38665377</v>
      </c>
      <c r="AA57" s="18">
        <v>-1.2817763490602399E-6</v>
      </c>
    </row>
    <row r="58" spans="2:27" s="2" customFormat="1" x14ac:dyDescent="0.25">
      <c r="B58" s="2">
        <v>822326775.39692998</v>
      </c>
      <c r="C58" s="2">
        <v>390957685.01716399</v>
      </c>
      <c r="D58" s="18">
        <v>4.3469590309541698E-6</v>
      </c>
      <c r="E58" s="2">
        <v>462880.96717429301</v>
      </c>
      <c r="F58" s="18">
        <v>-5.35408616997302E-7</v>
      </c>
      <c r="I58" s="2">
        <v>627450484.58791697</v>
      </c>
      <c r="J58" s="2">
        <v>237775052.328778</v>
      </c>
      <c r="K58" s="18">
        <v>5.9264275478199099E-6</v>
      </c>
      <c r="L58" s="2">
        <v>303791.44439300301</v>
      </c>
      <c r="M58" s="18">
        <v>9.3450944405049096E-7</v>
      </c>
      <c r="P58" s="2">
        <v>1415924393.11515</v>
      </c>
      <c r="Q58" s="2">
        <v>803156386.74841404</v>
      </c>
      <c r="R58" s="18">
        <v>1.46171805681661E-6</v>
      </c>
      <c r="S58" s="2">
        <v>832615.58798340696</v>
      </c>
      <c r="T58" s="18">
        <v>1.8311548046767701E-6</v>
      </c>
      <c r="W58" s="2">
        <v>1062408520.2119401</v>
      </c>
      <c r="X58" s="2">
        <v>507304668.51959699</v>
      </c>
      <c r="Y58" s="18">
        <v>6.0879683587700103E-6</v>
      </c>
      <c r="Z58" s="2">
        <v>544430.14973665099</v>
      </c>
      <c r="AA58" s="18">
        <v>-5.8411387726664497E-8</v>
      </c>
    </row>
    <row r="59" spans="2:27" s="2" customFormat="1" x14ac:dyDescent="0.25">
      <c r="B59" s="2">
        <v>1078715386.5330901</v>
      </c>
      <c r="C59" s="2">
        <v>504364719.57328099</v>
      </c>
      <c r="D59" s="18">
        <v>2.5214358174707698E-6</v>
      </c>
      <c r="E59" s="2">
        <v>74076.434302805501</v>
      </c>
      <c r="F59" s="18">
        <v>-5.2729155868291897E-6</v>
      </c>
      <c r="I59" s="2">
        <v>824739754.84920001</v>
      </c>
      <c r="J59" s="2">
        <v>306367444.80421001</v>
      </c>
      <c r="K59" s="18">
        <v>1.4868510334054E-6</v>
      </c>
      <c r="L59" s="2">
        <v>9251.9708971763994</v>
      </c>
      <c r="M59" s="18">
        <v>7.1189060690812798E-7</v>
      </c>
      <c r="P59" s="2">
        <v>1857817754.7676401</v>
      </c>
      <c r="Q59" s="2">
        <v>1042202561.78227</v>
      </c>
      <c r="R59" s="18">
        <v>2.0658699213527101E-6</v>
      </c>
      <c r="S59" s="2">
        <v>195515.68390340201</v>
      </c>
      <c r="T59" s="18">
        <v>-8.0889731179922798E-7</v>
      </c>
      <c r="W59" s="2">
        <v>1394557083.3375499</v>
      </c>
      <c r="X59" s="2">
        <v>654611139.99491298</v>
      </c>
      <c r="Y59" s="18">
        <v>1.7271304386667901E-6</v>
      </c>
      <c r="Z59" s="2">
        <v>54149.004302362599</v>
      </c>
      <c r="AA59" s="18">
        <v>-6.1445825849659699E-6</v>
      </c>
    </row>
    <row r="60" spans="2:27" s="2" customFormat="1" x14ac:dyDescent="0.25">
      <c r="B60" s="2">
        <v>1221715381.27846</v>
      </c>
      <c r="C60" s="2">
        <v>565383668.88671005</v>
      </c>
      <c r="D60" s="18">
        <v>-4.5539381972048398E-6</v>
      </c>
      <c r="E60" s="2">
        <v>-58773.930353897602</v>
      </c>
      <c r="F60" s="18">
        <v>-4.9723109896149296E-7</v>
      </c>
      <c r="I60" s="2">
        <v>934910838.03438497</v>
      </c>
      <c r="J60" s="2">
        <v>342579871.536524</v>
      </c>
      <c r="K60" s="18">
        <v>-2.4618821043986802E-6</v>
      </c>
      <c r="L60" s="2">
        <v>-66308.301020149796</v>
      </c>
      <c r="M60" s="18">
        <v>-2.0224308627803099E-6</v>
      </c>
      <c r="P60" s="2">
        <v>2104464871.2030699</v>
      </c>
      <c r="Q60" s="2">
        <v>1172879053.1168101</v>
      </c>
      <c r="R60" s="18">
        <v>2.2444364731200001E-6</v>
      </c>
      <c r="S60" s="2">
        <v>-52964.886705798097</v>
      </c>
      <c r="T60" s="18">
        <v>-3.1708611913927598E-7</v>
      </c>
      <c r="W60" s="2">
        <v>1579261693.59286</v>
      </c>
      <c r="X60" s="2">
        <v>733363460.89171004</v>
      </c>
      <c r="Y60" s="18">
        <v>5.1928109314758297E-6</v>
      </c>
      <c r="Z60" s="2">
        <v>-100394.42092302701</v>
      </c>
      <c r="AA60" s="18">
        <v>-4.1263228922616701E-7</v>
      </c>
    </row>
    <row r="61" spans="2:27" s="2" customFormat="1" x14ac:dyDescent="0.25">
      <c r="B61" s="2">
        <v>1266657597.5630801</v>
      </c>
      <c r="C61" s="2">
        <v>584055533.90210402</v>
      </c>
      <c r="D61" s="18">
        <v>-2.9381728836597202E-6</v>
      </c>
      <c r="E61" s="18">
        <v>-6.2111939769238202E-7</v>
      </c>
      <c r="F61" s="18">
        <v>7.8555058280471702E-7</v>
      </c>
      <c r="I61" s="2">
        <v>969495561.323282</v>
      </c>
      <c r="J61" s="2">
        <v>353477329.94816202</v>
      </c>
      <c r="K61" s="18">
        <v>-5.5207269724633096E-6</v>
      </c>
      <c r="L61" s="18">
        <v>-2.3527954908786299E-6</v>
      </c>
      <c r="M61" s="18">
        <v>3.7607951526297299E-6</v>
      </c>
      <c r="P61" s="2">
        <v>2182030479.9537301</v>
      </c>
      <c r="Q61" s="2">
        <v>1213351113.92153</v>
      </c>
      <c r="R61" s="18">
        <v>2.7549731385079199E-8</v>
      </c>
      <c r="S61" s="18">
        <v>-1.63147706189193E-6</v>
      </c>
      <c r="T61" s="18">
        <v>1.35697518999223E-6</v>
      </c>
      <c r="W61" s="2">
        <v>1637090759.9110999</v>
      </c>
      <c r="X61" s="2">
        <v>757301167.26725996</v>
      </c>
      <c r="Y61" s="18">
        <v>2.5485512651357601E-6</v>
      </c>
      <c r="Z61" s="18">
        <v>-7.6559445005841596E-7</v>
      </c>
      <c r="AA61" s="18">
        <v>-1.2909040378872301E-6</v>
      </c>
    </row>
    <row r="62" spans="2:27" s="2" customFormat="1" x14ac:dyDescent="0.25">
      <c r="B62" s="2">
        <v>1221715381.27841</v>
      </c>
      <c r="C62" s="2">
        <v>565383668.88667703</v>
      </c>
      <c r="D62" s="18">
        <v>3.9287897379836101E-6</v>
      </c>
      <c r="E62" s="2">
        <v>58773.930353338699</v>
      </c>
      <c r="F62" s="18">
        <v>-3.95472306990996E-6</v>
      </c>
      <c r="I62" s="2">
        <v>934910838.03432906</v>
      </c>
      <c r="J62" s="2">
        <v>342579871.53648102</v>
      </c>
      <c r="K62" s="18">
        <v>-2.8322392608970399E-6</v>
      </c>
      <c r="L62" s="2">
        <v>66308.301019888298</v>
      </c>
      <c r="M62" s="18">
        <v>6.3835432229097901E-7</v>
      </c>
      <c r="P62" s="2">
        <v>2104464871.20312</v>
      </c>
      <c r="Q62" s="2">
        <v>1172879053.1168499</v>
      </c>
      <c r="R62" s="18">
        <v>-3.5664379538502502E-6</v>
      </c>
      <c r="S62" s="2">
        <v>52964.886709384999</v>
      </c>
      <c r="T62" s="18">
        <v>-4.5330234570428704E-6</v>
      </c>
      <c r="W62" s="2">
        <v>1579261693.59305</v>
      </c>
      <c r="X62" s="2">
        <v>733363460.89181697</v>
      </c>
      <c r="Y62" s="18">
        <v>-6.1290702433325401E-6</v>
      </c>
      <c r="Z62" s="2">
        <v>100394.420922291</v>
      </c>
      <c r="AA62" s="18">
        <v>-3.61715865437873E-6</v>
      </c>
    </row>
    <row r="63" spans="2:27" s="2" customFormat="1" x14ac:dyDescent="0.25">
      <c r="B63" s="2">
        <v>1078715386.5331399</v>
      </c>
      <c r="C63" s="2">
        <v>504364719.573304</v>
      </c>
      <c r="D63" s="18">
        <v>2.14590181712993E-6</v>
      </c>
      <c r="E63" s="2">
        <v>-74076.434300360401</v>
      </c>
      <c r="F63" s="18">
        <v>-1.1497177183628099E-6</v>
      </c>
      <c r="I63" s="2">
        <v>824739754.84910202</v>
      </c>
      <c r="J63" s="2">
        <v>306367444.80415499</v>
      </c>
      <c r="K63" s="18">
        <v>4.0180952964874501E-6</v>
      </c>
      <c r="L63" s="2">
        <v>-9251.9708962631103</v>
      </c>
      <c r="M63" s="18">
        <v>1.2681266525760299E-6</v>
      </c>
      <c r="P63" s="2">
        <v>1857817754.76774</v>
      </c>
      <c r="Q63" s="2">
        <v>1042202561.7823499</v>
      </c>
      <c r="R63" s="18">
        <v>2.1106097847223299E-6</v>
      </c>
      <c r="S63" s="2">
        <v>-195515.68390549801</v>
      </c>
      <c r="T63" s="18">
        <v>2.2415770217776301E-7</v>
      </c>
      <c r="W63" s="2">
        <v>1394557083.3375199</v>
      </c>
      <c r="X63" s="2">
        <v>654611139.99488294</v>
      </c>
      <c r="Y63" s="18">
        <v>-9.3048693088349006E-6</v>
      </c>
      <c r="Z63" s="2">
        <v>-54149.004303958398</v>
      </c>
      <c r="AA63" s="18">
        <v>1.94027961697429E-6</v>
      </c>
    </row>
    <row r="64" spans="2:27" s="2" customFormat="1" x14ac:dyDescent="0.25">
      <c r="B64" s="2">
        <v>822326775.39699197</v>
      </c>
      <c r="C64" s="2">
        <v>390957685.01720202</v>
      </c>
      <c r="D64" s="18">
        <v>-2.9842976800864601E-6</v>
      </c>
      <c r="E64" s="2">
        <v>-462880.96717462299</v>
      </c>
      <c r="F64" s="18">
        <v>-3.1360541470348801E-6</v>
      </c>
      <c r="I64" s="2">
        <v>627450484.58783305</v>
      </c>
      <c r="J64" s="2">
        <v>237775052.32873899</v>
      </c>
      <c r="K64" s="18">
        <v>-3.08136804960668E-9</v>
      </c>
      <c r="L64" s="2">
        <v>-303791.44439272297</v>
      </c>
      <c r="M64" s="18">
        <v>-2.1576124709099499E-7</v>
      </c>
      <c r="P64" s="2">
        <v>1415924393.1151099</v>
      </c>
      <c r="Q64" s="2">
        <v>803156386.74837804</v>
      </c>
      <c r="R64" s="18">
        <v>9.3752350949216602E-7</v>
      </c>
      <c r="S64" s="2">
        <v>-832615.58798549196</v>
      </c>
      <c r="T64" s="18">
        <v>-3.3843680284917401E-6</v>
      </c>
      <c r="W64" s="2">
        <v>1062408520.21201</v>
      </c>
      <c r="X64" s="2">
        <v>507304668.51963502</v>
      </c>
      <c r="Y64" s="18">
        <v>-2.6078123482875501E-6</v>
      </c>
      <c r="Z64" s="2">
        <v>-544430.14973526401</v>
      </c>
      <c r="AA64" s="18">
        <v>2.5030458346009301E-6</v>
      </c>
    </row>
    <row r="65" spans="2:27" s="2" customFormat="1" x14ac:dyDescent="0.25">
      <c r="B65" s="2">
        <v>452536517.93030798</v>
      </c>
      <c r="C65" s="2">
        <v>222553689.43598101</v>
      </c>
      <c r="D65" s="18">
        <v>-2.8795329853892301E-6</v>
      </c>
      <c r="E65" s="2">
        <v>-918715.15418482502</v>
      </c>
      <c r="F65" s="18">
        <v>-2.0328952814452401E-6</v>
      </c>
      <c r="I65" s="2">
        <v>343352870.392694</v>
      </c>
      <c r="J65" s="2">
        <v>134397793.90478</v>
      </c>
      <c r="K65" s="18">
        <v>-2.01120565179735E-6</v>
      </c>
      <c r="L65" s="2">
        <v>-633515.88979356096</v>
      </c>
      <c r="M65" s="18">
        <v>-1.74731394508854E-6</v>
      </c>
      <c r="P65" s="2">
        <v>779903611.22440398</v>
      </c>
      <c r="Q65" s="2">
        <v>453145863.88844597</v>
      </c>
      <c r="R65" s="18">
        <v>7.6106516644358595E-8</v>
      </c>
      <c r="S65" s="2">
        <v>-1570675.99031772</v>
      </c>
      <c r="T65" s="18">
        <v>-1.33928551804274E-6</v>
      </c>
      <c r="W65" s="2">
        <v>583861990.98775804</v>
      </c>
      <c r="X65" s="2">
        <v>288185595.52959198</v>
      </c>
      <c r="Y65" s="18">
        <v>1.95366737898439E-6</v>
      </c>
      <c r="Z65" s="2">
        <v>-1127560.38665557</v>
      </c>
      <c r="AA65" s="18">
        <v>3.9177393773570703E-8</v>
      </c>
    </row>
    <row r="66" spans="2:27" s="2" customFormat="1" x14ac:dyDescent="0.25">
      <c r="B66" s="2">
        <v>11978903.802222401</v>
      </c>
      <c r="C66" s="2">
        <v>18921372.435798001</v>
      </c>
      <c r="D66" s="18">
        <v>-1.8986174836754801E-6</v>
      </c>
      <c r="E66" s="2">
        <v>-1122970.1922339699</v>
      </c>
      <c r="F66" s="18">
        <v>4.8336332838516699E-6</v>
      </c>
      <c r="I66" s="2">
        <v>5609452.3247226598</v>
      </c>
      <c r="J66" s="2">
        <v>8563194.4805253893</v>
      </c>
      <c r="K66" s="18">
        <v>-4.0278246160596601E-6</v>
      </c>
      <c r="L66" s="2">
        <v>-774556.01663003606</v>
      </c>
      <c r="M66" s="18">
        <v>1.7049096641130701E-6</v>
      </c>
      <c r="P66" s="2">
        <v>23513009.5223388</v>
      </c>
      <c r="Q66" s="2">
        <v>33197232.317353401</v>
      </c>
      <c r="R66" s="18">
        <v>4.2346073314547502E-7</v>
      </c>
      <c r="S66" s="2">
        <v>-1900600.3586995599</v>
      </c>
      <c r="T66" s="18">
        <v>3.08335802401416E-6</v>
      </c>
      <c r="W66" s="2">
        <v>15084092.954572201</v>
      </c>
      <c r="X66" s="2">
        <v>23447410.668328401</v>
      </c>
      <c r="Y66" s="18">
        <v>-3.2766256481409098E-6</v>
      </c>
      <c r="Z66" s="2">
        <v>-1389966.4958379201</v>
      </c>
      <c r="AA66" s="18">
        <v>2.14284227695316E-7</v>
      </c>
    </row>
    <row r="67" spans="2:27" x14ac:dyDescent="0.25">
      <c r="B67">
        <v>12697198.5522043</v>
      </c>
      <c r="C67">
        <v>19324528.2076535</v>
      </c>
      <c r="D67">
        <v>17304397.5539755</v>
      </c>
      <c r="E67">
        <v>1144801.58798666</v>
      </c>
      <c r="F67">
        <v>-72114.809368349903</v>
      </c>
      <c r="I67">
        <v>6187655.0075502302</v>
      </c>
      <c r="J67">
        <v>8827262.0968097504</v>
      </c>
      <c r="K67">
        <v>14879215.957158299</v>
      </c>
      <c r="L67">
        <v>800690.42667969898</v>
      </c>
      <c r="M67">
        <v>-97973.391246513303</v>
      </c>
      <c r="P67">
        <v>24751934.529242001</v>
      </c>
      <c r="Q67">
        <v>34006982.893636197</v>
      </c>
      <c r="R67">
        <v>27261101.4590239</v>
      </c>
      <c r="S67">
        <v>1919992.47137089</v>
      </c>
      <c r="T67">
        <v>-74767.102969923799</v>
      </c>
      <c r="W67">
        <v>16028268.3128318</v>
      </c>
      <c r="X67">
        <v>23991580.726796299</v>
      </c>
      <c r="Y67">
        <v>22454476.6309678</v>
      </c>
      <c r="Z67">
        <v>1413904.84187941</v>
      </c>
      <c r="AA67">
        <v>-89632.863130636004</v>
      </c>
    </row>
    <row r="68" spans="2:27" x14ac:dyDescent="0.25">
      <c r="B68">
        <v>466877838.09421003</v>
      </c>
      <c r="C68">
        <v>228294179.09189099</v>
      </c>
      <c r="D68">
        <v>13891069.078203199</v>
      </c>
      <c r="E68">
        <v>921716.71878374205</v>
      </c>
      <c r="F68">
        <v>98666.787870521803</v>
      </c>
      <c r="I68">
        <v>355709411.36235303</v>
      </c>
      <c r="J68">
        <v>138066288.22219601</v>
      </c>
      <c r="K68">
        <v>12129126.477655601</v>
      </c>
      <c r="L68">
        <v>640549.93362751906</v>
      </c>
      <c r="M68">
        <v>127080.51503140399</v>
      </c>
      <c r="P68">
        <v>803219692.90902603</v>
      </c>
      <c r="Q68">
        <v>464690986.82608098</v>
      </c>
      <c r="R68">
        <v>22025420.501455899</v>
      </c>
      <c r="S68">
        <v>1561521.3725625901</v>
      </c>
      <c r="T68">
        <v>63812.524163312803</v>
      </c>
      <c r="W68">
        <v>602652722.34115803</v>
      </c>
      <c r="X68">
        <v>295769439.41287202</v>
      </c>
      <c r="Y68">
        <v>18131968.003055699</v>
      </c>
      <c r="Z68">
        <v>1129499.5192434001</v>
      </c>
      <c r="AA68">
        <v>111015.288714396</v>
      </c>
    </row>
    <row r="69" spans="2:27" x14ac:dyDescent="0.25">
      <c r="B69">
        <v>836974864.278934</v>
      </c>
      <c r="C69">
        <v>396371409.51317102</v>
      </c>
      <c r="D69">
        <v>6257112.7162046498</v>
      </c>
      <c r="E69">
        <v>436365.56831609702</v>
      </c>
      <c r="F69">
        <v>-29341.503190474101</v>
      </c>
      <c r="I69">
        <v>641155224.47753203</v>
      </c>
      <c r="J69">
        <v>241386050.85365501</v>
      </c>
      <c r="K69">
        <v>5804618.3177365502</v>
      </c>
      <c r="L69">
        <v>290995.91346801299</v>
      </c>
      <c r="M69">
        <v>15393.4630719245</v>
      </c>
      <c r="P69">
        <v>1438831616.7432201</v>
      </c>
      <c r="Q69">
        <v>813732338.49648595</v>
      </c>
      <c r="R69">
        <v>10170053.9484368</v>
      </c>
      <c r="S69">
        <v>775355.47941640799</v>
      </c>
      <c r="T69">
        <v>-202646.439875829</v>
      </c>
      <c r="W69">
        <v>1081618775.8729701</v>
      </c>
      <c r="X69">
        <v>514415371.25480902</v>
      </c>
      <c r="Y69">
        <v>8229500.2823583595</v>
      </c>
      <c r="Z69">
        <v>507365.89846964699</v>
      </c>
      <c r="AA69">
        <v>-68252.829618602103</v>
      </c>
    </row>
    <row r="70" spans="2:27" x14ac:dyDescent="0.25">
      <c r="B70">
        <v>1082217481.3280301</v>
      </c>
      <c r="C70">
        <v>504562810.42915797</v>
      </c>
      <c r="D70">
        <v>248973.64335878799</v>
      </c>
      <c r="E70">
        <v>30293.1462024912</v>
      </c>
      <c r="F70">
        <v>-257886.87519595301</v>
      </c>
      <c r="I70">
        <v>830424730.42158699</v>
      </c>
      <c r="J70">
        <v>306905101.99116898</v>
      </c>
      <c r="K70">
        <v>635993.20782106498</v>
      </c>
      <c r="L70">
        <v>-22229.6431198313</v>
      </c>
      <c r="M70">
        <v>-134531.50440696499</v>
      </c>
      <c r="P70">
        <v>1860677489.05182</v>
      </c>
      <c r="Q70">
        <v>1041512124.67378</v>
      </c>
      <c r="R70">
        <v>738813.03382219304</v>
      </c>
      <c r="S70">
        <v>115164.67608259901</v>
      </c>
      <c r="T70">
        <v>-620709.98922659503</v>
      </c>
      <c r="W70">
        <v>1398619689.92383</v>
      </c>
      <c r="X70">
        <v>654534942.41696894</v>
      </c>
      <c r="Y70">
        <v>265966.63067993498</v>
      </c>
      <c r="Z70">
        <v>-4460.3158397246398</v>
      </c>
      <c r="AA70">
        <v>-383253.98932012601</v>
      </c>
    </row>
    <row r="71" spans="2:27" x14ac:dyDescent="0.25">
      <c r="B71">
        <v>1214075559.8520501</v>
      </c>
      <c r="C71">
        <v>560559715.26665902</v>
      </c>
      <c r="D71">
        <v>-1446497.57892242</v>
      </c>
      <c r="E71">
        <v>-88613.665326283604</v>
      </c>
      <c r="F71">
        <v>-422933.40322374302</v>
      </c>
      <c r="I71">
        <v>932543863.57317305</v>
      </c>
      <c r="J71">
        <v>340267822.78235197</v>
      </c>
      <c r="K71">
        <v>-968406.10661276395</v>
      </c>
      <c r="L71">
        <v>-90698.211753481795</v>
      </c>
      <c r="M71">
        <v>-228594.95199981899</v>
      </c>
      <c r="P71">
        <v>2087347649.0011899</v>
      </c>
      <c r="Q71">
        <v>1161235383.7104499</v>
      </c>
      <c r="R71">
        <v>-2071383.3964656501</v>
      </c>
      <c r="S71">
        <v>-104250.597885586</v>
      </c>
      <c r="T71">
        <v>-928054.46755593596</v>
      </c>
      <c r="W71">
        <v>1567947661.9751699</v>
      </c>
      <c r="X71">
        <v>726278443.84243703</v>
      </c>
      <c r="Y71">
        <v>-2004568.6616125701</v>
      </c>
      <c r="Z71">
        <v>-139659.59033881099</v>
      </c>
      <c r="AA71">
        <v>-604667.52374950598</v>
      </c>
    </row>
    <row r="72" spans="2:27" x14ac:dyDescent="0.25">
      <c r="B72">
        <v>1254607087.6631401</v>
      </c>
      <c r="C72">
        <v>577280308.60347199</v>
      </c>
      <c r="D72" s="1">
        <v>-5.7106917665805702E-6</v>
      </c>
      <c r="E72" s="1">
        <v>1.81201903615147E-6</v>
      </c>
      <c r="F72">
        <v>-494609.14292355598</v>
      </c>
      <c r="I72">
        <v>963912074.485762</v>
      </c>
      <c r="J72">
        <v>350070662.61273903</v>
      </c>
      <c r="K72" s="1">
        <v>-9.6532567113172297E-6</v>
      </c>
      <c r="L72" s="1">
        <v>7.0900568971410404E-7</v>
      </c>
      <c r="M72">
        <v>-299192.94817194401</v>
      </c>
      <c r="P72">
        <v>2156964451.04774</v>
      </c>
      <c r="Q72">
        <v>1197399294.8204</v>
      </c>
      <c r="R72" s="1">
        <v>-2.4023756850510802E-6</v>
      </c>
      <c r="S72" s="1">
        <v>7.0071837399154902E-7</v>
      </c>
      <c r="T72">
        <v>-1045596.63594093</v>
      </c>
      <c r="W72">
        <v>1619642399.5975001</v>
      </c>
      <c r="X72">
        <v>747474066.19739497</v>
      </c>
      <c r="Y72" s="1">
        <v>4.8301226343028298E-6</v>
      </c>
      <c r="Z72" s="1">
        <v>-1.0266230674460501E-6</v>
      </c>
      <c r="AA72">
        <v>-694744.41745932505</v>
      </c>
    </row>
    <row r="73" spans="2:27" x14ac:dyDescent="0.25">
      <c r="B73">
        <v>1214075559.8520801</v>
      </c>
      <c r="C73">
        <v>560559715.26668</v>
      </c>
      <c r="D73">
        <v>1446497.57892117</v>
      </c>
      <c r="E73">
        <v>88613.6653271916</v>
      </c>
      <c r="F73">
        <v>-422933.403219131</v>
      </c>
      <c r="I73">
        <v>932543863.57312596</v>
      </c>
      <c r="J73">
        <v>340267822.782323</v>
      </c>
      <c r="K73">
        <v>968406.10660843097</v>
      </c>
      <c r="L73">
        <v>90698.211754698394</v>
      </c>
      <c r="M73">
        <v>-228594.95199428999</v>
      </c>
      <c r="P73">
        <v>2087347649.0011599</v>
      </c>
      <c r="Q73">
        <v>1161235383.7104399</v>
      </c>
      <c r="R73">
        <v>2071383.39646623</v>
      </c>
      <c r="S73">
        <v>104250.59788881001</v>
      </c>
      <c r="T73">
        <v>-928054.46754782705</v>
      </c>
      <c r="W73">
        <v>1567947661.97505</v>
      </c>
      <c r="X73">
        <v>726278443.84235895</v>
      </c>
      <c r="Y73">
        <v>2004568.66161474</v>
      </c>
      <c r="Z73">
        <v>139659.590341073</v>
      </c>
      <c r="AA73">
        <v>-604667.52375710499</v>
      </c>
    </row>
    <row r="74" spans="2:27" x14ac:dyDescent="0.25">
      <c r="B74">
        <v>1082217481.3280699</v>
      </c>
      <c r="C74">
        <v>504562810.42918098</v>
      </c>
      <c r="D74">
        <v>-248973.64335096499</v>
      </c>
      <c r="E74">
        <v>-30293.146202063999</v>
      </c>
      <c r="F74">
        <v>-257886.87519880099</v>
      </c>
      <c r="I74">
        <v>830424730.42161906</v>
      </c>
      <c r="J74">
        <v>306905101.99117601</v>
      </c>
      <c r="K74">
        <v>-635993.20781350206</v>
      </c>
      <c r="L74">
        <v>22229.643118730099</v>
      </c>
      <c r="M74">
        <v>-134531.50440539501</v>
      </c>
      <c r="P74">
        <v>1860677489.05178</v>
      </c>
      <c r="Q74">
        <v>1041512124.67377</v>
      </c>
      <c r="R74">
        <v>-738813.03382329806</v>
      </c>
      <c r="S74">
        <v>-115164.676085314</v>
      </c>
      <c r="T74">
        <v>-620709.989231852</v>
      </c>
      <c r="W74">
        <v>1398619689.9238999</v>
      </c>
      <c r="X74">
        <v>654534942.41700101</v>
      </c>
      <c r="Y74">
        <v>-265966.63068193698</v>
      </c>
      <c r="Z74">
        <v>4460.3158411388804</v>
      </c>
      <c r="AA74">
        <v>-383253.98932502902</v>
      </c>
    </row>
    <row r="75" spans="2:27" x14ac:dyDescent="0.25">
      <c r="B75">
        <v>836974864.27892196</v>
      </c>
      <c r="C75">
        <v>396371409.513165</v>
      </c>
      <c r="D75">
        <v>-6257112.7162044104</v>
      </c>
      <c r="E75">
        <v>-436365.56831533101</v>
      </c>
      <c r="F75">
        <v>-29341.5031901115</v>
      </c>
      <c r="I75">
        <v>641155224.47753096</v>
      </c>
      <c r="J75">
        <v>241386050.85364899</v>
      </c>
      <c r="K75">
        <v>-5804618.3177350899</v>
      </c>
      <c r="L75">
        <v>-290995.913468357</v>
      </c>
      <c r="M75">
        <v>15393.4630715288</v>
      </c>
      <c r="P75">
        <v>1438831616.74313</v>
      </c>
      <c r="Q75">
        <v>813732338.49641502</v>
      </c>
      <c r="R75">
        <v>-10170053.948444299</v>
      </c>
      <c r="S75">
        <v>-775355.47941560706</v>
      </c>
      <c r="T75">
        <v>-202646.439875407</v>
      </c>
      <c r="W75">
        <v>1081618775.87307</v>
      </c>
      <c r="X75">
        <v>514415371.25486499</v>
      </c>
      <c r="Y75">
        <v>-8229500.2823548596</v>
      </c>
      <c r="Z75">
        <v>-507365.898468795</v>
      </c>
      <c r="AA75">
        <v>-68252.829623236496</v>
      </c>
    </row>
    <row r="76" spans="2:27" x14ac:dyDescent="0.25">
      <c r="B76">
        <v>466877838.09419501</v>
      </c>
      <c r="C76">
        <v>228294179.09188801</v>
      </c>
      <c r="D76">
        <v>-13891069.0782033</v>
      </c>
      <c r="E76">
        <v>-921716.71878500795</v>
      </c>
      <c r="F76">
        <v>98666.787870543398</v>
      </c>
      <c r="I76">
        <v>355709411.36231798</v>
      </c>
      <c r="J76">
        <v>138066288.222177</v>
      </c>
      <c r="K76">
        <v>-12129126.4776551</v>
      </c>
      <c r="L76">
        <v>-640549.93362845201</v>
      </c>
      <c r="M76">
        <v>127080.51503271</v>
      </c>
      <c r="P76">
        <v>803219692.90895605</v>
      </c>
      <c r="Q76">
        <v>464690986.82603699</v>
      </c>
      <c r="R76">
        <v>-22025420.501455698</v>
      </c>
      <c r="S76">
        <v>-1561521.3725640599</v>
      </c>
      <c r="T76">
        <v>63812.524166681702</v>
      </c>
      <c r="W76">
        <v>602652722.34117603</v>
      </c>
      <c r="X76">
        <v>295769439.41288602</v>
      </c>
      <c r="Y76">
        <v>-18131968.003056899</v>
      </c>
      <c r="Z76">
        <v>-1129499.51924536</v>
      </c>
      <c r="AA76">
        <v>111015.28871374299</v>
      </c>
    </row>
    <row r="77" spans="2:27" x14ac:dyDescent="0.25">
      <c r="B77">
        <v>12697198.552204501</v>
      </c>
      <c r="C77">
        <v>19324528.2076534</v>
      </c>
      <c r="D77">
        <v>-17304397.553974401</v>
      </c>
      <c r="E77">
        <v>-1144801.5879841801</v>
      </c>
      <c r="F77">
        <v>-72114.809372026502</v>
      </c>
      <c r="I77">
        <v>6187655.0075511402</v>
      </c>
      <c r="J77">
        <v>8827262.0968108308</v>
      </c>
      <c r="K77">
        <v>-14879215.957157901</v>
      </c>
      <c r="L77">
        <v>-800690.42667769105</v>
      </c>
      <c r="M77">
        <v>-97973.391249427907</v>
      </c>
      <c r="P77">
        <v>24751934.529242799</v>
      </c>
      <c r="Q77">
        <v>34006982.893633902</v>
      </c>
      <c r="R77">
        <v>-27261101.459022701</v>
      </c>
      <c r="S77">
        <v>-1919992.4713663401</v>
      </c>
      <c r="T77">
        <v>-74767.102973202404</v>
      </c>
      <c r="W77">
        <v>16028268.312834701</v>
      </c>
      <c r="X77">
        <v>23991580.726800401</v>
      </c>
      <c r="Y77">
        <v>-22454476.630975001</v>
      </c>
      <c r="Z77">
        <v>-1413904.84187642</v>
      </c>
      <c r="AA77">
        <v>-89632.863128444398</v>
      </c>
    </row>
    <row r="78" spans="2:27" x14ac:dyDescent="0.25">
      <c r="B78">
        <v>17216529.360212602</v>
      </c>
      <c r="C78">
        <v>21314896.4221441</v>
      </c>
      <c r="D78">
        <v>39633873.0153341</v>
      </c>
      <c r="E78">
        <v>1190688.8167486</v>
      </c>
      <c r="F78">
        <v>-461583.54449864803</v>
      </c>
      <c r="I78">
        <v>9864293.01356907</v>
      </c>
      <c r="J78">
        <v>10148657.3009081</v>
      </c>
      <c r="K78">
        <v>35201008.262010202</v>
      </c>
      <c r="L78">
        <v>825100.98824920703</v>
      </c>
      <c r="M78">
        <v>-552317.998024381</v>
      </c>
      <c r="P78">
        <v>32354061.298192501</v>
      </c>
      <c r="Q78">
        <v>38050934.404447697</v>
      </c>
      <c r="R78">
        <v>61579338.2266104</v>
      </c>
      <c r="S78">
        <v>1946968.3466932699</v>
      </c>
      <c r="T78">
        <v>-597035.57798897196</v>
      </c>
      <c r="W78">
        <v>21863415.732391998</v>
      </c>
      <c r="X78">
        <v>26588366.968716599</v>
      </c>
      <c r="Y78">
        <v>51408245.465773404</v>
      </c>
      <c r="Z78">
        <v>1461165.1637601</v>
      </c>
      <c r="AA78">
        <v>-582741.77192403399</v>
      </c>
    </row>
    <row r="79" spans="2:27" x14ac:dyDescent="0.25">
      <c r="B79">
        <v>512098315.17304498</v>
      </c>
      <c r="C79">
        <v>245995909.00719899</v>
      </c>
      <c r="D79">
        <v>30194532.337280199</v>
      </c>
      <c r="E79">
        <v>867046.48617133498</v>
      </c>
      <c r="F79">
        <v>128089.245873387</v>
      </c>
      <c r="I79">
        <v>392919242.24090099</v>
      </c>
      <c r="J79">
        <v>148290467.16575199</v>
      </c>
      <c r="K79">
        <v>27196020.5842047</v>
      </c>
      <c r="L79">
        <v>568008.39910102298</v>
      </c>
      <c r="M79">
        <v>141677.28247704901</v>
      </c>
      <c r="P79">
        <v>876708839.347278</v>
      </c>
      <c r="Q79">
        <v>500705633.186773</v>
      </c>
      <c r="R79">
        <v>47251157.046880797</v>
      </c>
      <c r="S79">
        <v>1437220.14256611</v>
      </c>
      <c r="T79">
        <v>-3149.9182853217399</v>
      </c>
      <c r="W79">
        <v>660974983.47483802</v>
      </c>
      <c r="X79">
        <v>318727021.61023003</v>
      </c>
      <c r="Y79">
        <v>39399424.2388786</v>
      </c>
      <c r="Z79">
        <v>1051790.4307859</v>
      </c>
      <c r="AA79">
        <v>112098.25094517101</v>
      </c>
    </row>
    <row r="80" spans="2:27" x14ac:dyDescent="0.25">
      <c r="B80">
        <v>875489706.71026194</v>
      </c>
      <c r="C80">
        <v>409498732.088278</v>
      </c>
      <c r="D80">
        <v>10704280.136815701</v>
      </c>
      <c r="E80">
        <v>308829.47405611002</v>
      </c>
      <c r="F80">
        <v>-389230.750456143</v>
      </c>
      <c r="I80">
        <v>674547597.98618102</v>
      </c>
      <c r="J80">
        <v>248414060.98710701</v>
      </c>
      <c r="K80">
        <v>10774388.5413909</v>
      </c>
      <c r="L80">
        <v>198936.215746703</v>
      </c>
      <c r="M80">
        <v>-305461.05806676799</v>
      </c>
      <c r="P80">
        <v>1497917090.31478</v>
      </c>
      <c r="Q80">
        <v>839490615.42940903</v>
      </c>
      <c r="R80">
        <v>17043548.817253299</v>
      </c>
      <c r="S80">
        <v>531707.12083772698</v>
      </c>
      <c r="T80">
        <v>-980931.53344097105</v>
      </c>
      <c r="W80">
        <v>1130401656.35395</v>
      </c>
      <c r="X80">
        <v>530817531.79294199</v>
      </c>
      <c r="Y80">
        <v>13887445.138312001</v>
      </c>
      <c r="Z80">
        <v>331229.24389684899</v>
      </c>
      <c r="AA80">
        <v>-617312.16360792704</v>
      </c>
    </row>
    <row r="81" spans="2:27" x14ac:dyDescent="0.25">
      <c r="B81">
        <v>1079183961.97527</v>
      </c>
      <c r="C81">
        <v>498702566.228154</v>
      </c>
      <c r="D81">
        <v>-1883049.7027406599</v>
      </c>
      <c r="E81">
        <v>-73687.205479614699</v>
      </c>
      <c r="F81">
        <v>-1040234.83673422</v>
      </c>
      <c r="I81">
        <v>832570540.52477705</v>
      </c>
      <c r="J81">
        <v>302442722.95933801</v>
      </c>
      <c r="K81">
        <v>-265540.57730039197</v>
      </c>
      <c r="L81">
        <v>-62764.861084210002</v>
      </c>
      <c r="M81">
        <v>-942156.99995909596</v>
      </c>
      <c r="P81">
        <v>1844916562.0976701</v>
      </c>
      <c r="Q81">
        <v>1025890500.8073699</v>
      </c>
      <c r="R81">
        <v>-2572004.02103718</v>
      </c>
      <c r="S81">
        <v>-94657.662089172401</v>
      </c>
      <c r="T81">
        <v>-2057415.26575253</v>
      </c>
      <c r="W81">
        <v>1390367942.4784</v>
      </c>
      <c r="X81">
        <v>644519270.34645104</v>
      </c>
      <c r="Y81">
        <v>-2827211.7943806602</v>
      </c>
      <c r="Z81">
        <v>-151908.46135325899</v>
      </c>
      <c r="AA81">
        <v>-1480113.8225208099</v>
      </c>
    </row>
    <row r="82" spans="2:27" x14ac:dyDescent="0.25">
      <c r="B82">
        <v>1176599420.0356801</v>
      </c>
      <c r="C82">
        <v>539480146.69542003</v>
      </c>
      <c r="D82">
        <v>-4338783.3988241898</v>
      </c>
      <c r="E82">
        <v>-151521.719076248</v>
      </c>
      <c r="F82">
        <v>-1218831.7003885501</v>
      </c>
      <c r="I82">
        <v>909047783.63365805</v>
      </c>
      <c r="J82">
        <v>326957830.16151202</v>
      </c>
      <c r="K82">
        <v>-2973287.9448500699</v>
      </c>
      <c r="L82">
        <v>-127322.68554106601</v>
      </c>
      <c r="M82">
        <v>-982165.50724850898</v>
      </c>
      <c r="P82">
        <v>2009776942.69291</v>
      </c>
      <c r="Q82">
        <v>1112193597.8983901</v>
      </c>
      <c r="R82">
        <v>-6511438.9152878001</v>
      </c>
      <c r="S82">
        <v>-220963.212026522</v>
      </c>
      <c r="T82">
        <v>-2420362.5432736399</v>
      </c>
      <c r="W82">
        <v>1512057354.67418</v>
      </c>
      <c r="X82">
        <v>694982719.45150602</v>
      </c>
      <c r="Y82">
        <v>-6009787.3517637895</v>
      </c>
      <c r="Z82">
        <v>-224151.69326932699</v>
      </c>
      <c r="AA82">
        <v>-1720083.24021719</v>
      </c>
    </row>
    <row r="83" spans="2:27" x14ac:dyDescent="0.25">
      <c r="B83">
        <v>1204885119.09902</v>
      </c>
      <c r="C83">
        <v>550840029.49781895</v>
      </c>
      <c r="D83" s="1">
        <v>-3.47317836713046E-6</v>
      </c>
      <c r="E83" s="1">
        <v>1.6705598682165101E-7</v>
      </c>
      <c r="F83">
        <v>-1248783.6970222001</v>
      </c>
      <c r="I83">
        <v>931661280.83214104</v>
      </c>
      <c r="J83">
        <v>333800086.31721002</v>
      </c>
      <c r="K83" s="1">
        <v>-3.5578559618443301E-6</v>
      </c>
      <c r="L83" s="1">
        <v>-8.5730425780639095E-7</v>
      </c>
      <c r="M83">
        <v>-966096.35621867899</v>
      </c>
      <c r="P83">
        <v>2057434136.2555201</v>
      </c>
      <c r="Q83">
        <v>1136537836.72651</v>
      </c>
      <c r="R83" s="1">
        <v>1.6252015484497E-6</v>
      </c>
      <c r="S83" s="1">
        <v>-1.1699594324454699E-6</v>
      </c>
      <c r="T83">
        <v>-2504025.86987647</v>
      </c>
      <c r="W83">
        <v>1546878954.2523501</v>
      </c>
      <c r="X83">
        <v>708716709.68965101</v>
      </c>
      <c r="Y83" s="1">
        <v>-3.9374572224915001E-7</v>
      </c>
      <c r="Z83" s="1">
        <v>-2.0156294340267799E-6</v>
      </c>
      <c r="AA83">
        <v>-1757344.67049101</v>
      </c>
    </row>
    <row r="84" spans="2:27" x14ac:dyDescent="0.25">
      <c r="B84">
        <v>1176599420.0357599</v>
      </c>
      <c r="C84">
        <v>539480146.69548202</v>
      </c>
      <c r="D84">
        <v>4338783.3988242699</v>
      </c>
      <c r="E84">
        <v>151521.719075784</v>
      </c>
      <c r="F84">
        <v>-1218831.7003895601</v>
      </c>
      <c r="I84">
        <v>909047783.63376498</v>
      </c>
      <c r="J84">
        <v>326957830.16156697</v>
      </c>
      <c r="K84">
        <v>2973287.9448464299</v>
      </c>
      <c r="L84">
        <v>127322.68553991101</v>
      </c>
      <c r="M84">
        <v>-982165.50724897196</v>
      </c>
      <c r="P84">
        <v>2009776942.69296</v>
      </c>
      <c r="Q84">
        <v>1112193597.8984201</v>
      </c>
      <c r="R84">
        <v>6511438.9152886197</v>
      </c>
      <c r="S84">
        <v>220963.21202516201</v>
      </c>
      <c r="T84">
        <v>-2420362.5432782401</v>
      </c>
      <c r="W84">
        <v>1512057354.67415</v>
      </c>
      <c r="X84">
        <v>694982719.45147502</v>
      </c>
      <c r="Y84">
        <v>6009787.3517677002</v>
      </c>
      <c r="Z84">
        <v>224151.693266869</v>
      </c>
      <c r="AA84">
        <v>-1720083.24021617</v>
      </c>
    </row>
    <row r="85" spans="2:27" x14ac:dyDescent="0.25">
      <c r="B85">
        <v>1079183961.9753001</v>
      </c>
      <c r="C85">
        <v>498702566.22817302</v>
      </c>
      <c r="D85">
        <v>1883049.70274429</v>
      </c>
      <c r="E85">
        <v>73687.205476719304</v>
      </c>
      <c r="F85">
        <v>-1040234.83673</v>
      </c>
      <c r="I85">
        <v>832570540.52474999</v>
      </c>
      <c r="J85">
        <v>302442722.95932001</v>
      </c>
      <c r="K85">
        <v>265540.57730119198</v>
      </c>
      <c r="L85">
        <v>62764.861083106101</v>
      </c>
      <c r="M85">
        <v>-942156.99996174301</v>
      </c>
      <c r="P85">
        <v>1844916562.0976601</v>
      </c>
      <c r="Q85">
        <v>1025890500.80738</v>
      </c>
      <c r="R85">
        <v>2572004.0210312498</v>
      </c>
      <c r="S85">
        <v>94657.662086303899</v>
      </c>
      <c r="T85">
        <v>-2057415.2657508701</v>
      </c>
      <c r="W85">
        <v>1390367942.4783499</v>
      </c>
      <c r="X85">
        <v>644519270.34641802</v>
      </c>
      <c r="Y85">
        <v>2827211.7943875398</v>
      </c>
      <c r="Z85">
        <v>151908.461353088</v>
      </c>
      <c r="AA85">
        <v>-1480113.8225199799</v>
      </c>
    </row>
    <row r="86" spans="2:27" x14ac:dyDescent="0.25">
      <c r="B86">
        <v>875489706.71031106</v>
      </c>
      <c r="C86">
        <v>409498732.08830702</v>
      </c>
      <c r="D86">
        <v>-10704280.1368156</v>
      </c>
      <c r="E86">
        <v>-308829.474054828</v>
      </c>
      <c r="F86">
        <v>-389230.75045592099</v>
      </c>
      <c r="I86">
        <v>674547597.98614204</v>
      </c>
      <c r="J86">
        <v>248414060.987086</v>
      </c>
      <c r="K86">
        <v>-10774388.541389599</v>
      </c>
      <c r="L86">
        <v>-198936.215747043</v>
      </c>
      <c r="M86">
        <v>-305461.05806543003</v>
      </c>
      <c r="P86">
        <v>1497917090.31479</v>
      </c>
      <c r="Q86">
        <v>839490615.429407</v>
      </c>
      <c r="R86">
        <v>-17043548.8172599</v>
      </c>
      <c r="S86">
        <v>-531707.12083709601</v>
      </c>
      <c r="T86">
        <v>-980931.53344805096</v>
      </c>
      <c r="W86">
        <v>1130401656.35391</v>
      </c>
      <c r="X86">
        <v>530817531.79292899</v>
      </c>
      <c r="Y86">
        <v>-13887445.138308199</v>
      </c>
      <c r="Z86">
        <v>-331229.24389732798</v>
      </c>
      <c r="AA86">
        <v>-617312.16361135</v>
      </c>
    </row>
    <row r="87" spans="2:27" x14ac:dyDescent="0.25">
      <c r="B87">
        <v>512098315.17308903</v>
      </c>
      <c r="C87">
        <v>245995909.007227</v>
      </c>
      <c r="D87">
        <v>-30194532.337279599</v>
      </c>
      <c r="E87">
        <v>-867046.486173018</v>
      </c>
      <c r="F87">
        <v>128089.245875739</v>
      </c>
      <c r="I87">
        <v>392919242.24091202</v>
      </c>
      <c r="J87">
        <v>148290467.16575599</v>
      </c>
      <c r="K87">
        <v>-27196020.5842034</v>
      </c>
      <c r="L87">
        <v>-568008.39910184301</v>
      </c>
      <c r="M87">
        <v>141677.28247647101</v>
      </c>
      <c r="P87">
        <v>876708839.34728098</v>
      </c>
      <c r="Q87">
        <v>500705633.186773</v>
      </c>
      <c r="R87">
        <v>-47251157.046882696</v>
      </c>
      <c r="S87">
        <v>-1437220.1425681</v>
      </c>
      <c r="T87">
        <v>-3149.9182843372701</v>
      </c>
      <c r="W87">
        <v>660974983.47481096</v>
      </c>
      <c r="X87">
        <v>318727021.61021602</v>
      </c>
      <c r="Y87">
        <v>-39399424.238881998</v>
      </c>
      <c r="Z87">
        <v>-1051790.43078809</v>
      </c>
      <c r="AA87">
        <v>112098.250945131</v>
      </c>
    </row>
    <row r="88" spans="2:27" x14ac:dyDescent="0.25">
      <c r="B88">
        <v>17216529.3602168</v>
      </c>
      <c r="C88">
        <v>21314896.422146499</v>
      </c>
      <c r="D88">
        <v>-39633873.0153303</v>
      </c>
      <c r="E88">
        <v>-1190688.8167467699</v>
      </c>
      <c r="F88">
        <v>-461583.54449788103</v>
      </c>
      <c r="I88">
        <v>9864293.0135691091</v>
      </c>
      <c r="J88">
        <v>10148657.300905701</v>
      </c>
      <c r="K88">
        <v>-35201008.262009799</v>
      </c>
      <c r="L88">
        <v>-825100.98824716196</v>
      </c>
      <c r="M88">
        <v>-552317.99802156701</v>
      </c>
      <c r="P88">
        <v>32354061.298195999</v>
      </c>
      <c r="Q88">
        <v>38050934.404450499</v>
      </c>
      <c r="R88">
        <v>-61579338.226610698</v>
      </c>
      <c r="S88">
        <v>-1946968.3466902401</v>
      </c>
      <c r="T88">
        <v>-597035.57798190496</v>
      </c>
      <c r="W88">
        <v>21863415.732391801</v>
      </c>
      <c r="X88">
        <v>26588366.9687161</v>
      </c>
      <c r="Y88">
        <v>-51408245.465776101</v>
      </c>
      <c r="Z88">
        <v>-1461165.16375707</v>
      </c>
      <c r="AA88">
        <v>-582741.77192501596</v>
      </c>
    </row>
    <row r="89" spans="2:27" x14ac:dyDescent="0.25">
      <c r="B89">
        <v>21745148.708724301</v>
      </c>
      <c r="C89">
        <v>22865863.5585902</v>
      </c>
      <c r="D89">
        <v>73486657.3809641</v>
      </c>
      <c r="E89">
        <v>1468900.4675819799</v>
      </c>
      <c r="F89">
        <v>340864.52217074402</v>
      </c>
      <c r="I89">
        <v>12643388.077940799</v>
      </c>
      <c r="J89">
        <v>10206509.218735101</v>
      </c>
      <c r="K89">
        <v>67469396.096562207</v>
      </c>
      <c r="L89">
        <v>1218715.47104595</v>
      </c>
      <c r="M89">
        <v>765860.93932752695</v>
      </c>
      <c r="P89">
        <v>40357379.081305198</v>
      </c>
      <c r="Q89">
        <v>41875135.6633249</v>
      </c>
      <c r="R89">
        <v>111471033.865721</v>
      </c>
      <c r="S89">
        <v>2215528.7642863402</v>
      </c>
      <c r="T89">
        <v>438559.03218260698</v>
      </c>
      <c r="W89">
        <v>27869414.237357698</v>
      </c>
      <c r="X89">
        <v>28750356.848030601</v>
      </c>
      <c r="Y89">
        <v>94609171.680492803</v>
      </c>
      <c r="Z89">
        <v>1769567.01322844</v>
      </c>
      <c r="AA89">
        <v>399994.44728807203</v>
      </c>
    </row>
    <row r="90" spans="2:27" x14ac:dyDescent="0.25">
      <c r="B90">
        <v>599559097.50440097</v>
      </c>
      <c r="C90">
        <v>278190894.61993998</v>
      </c>
      <c r="D90">
        <v>49168172.803331599</v>
      </c>
      <c r="E90">
        <v>709001.03015785303</v>
      </c>
      <c r="F90">
        <v>-1070087.7553655701</v>
      </c>
      <c r="I90">
        <v>455312103.94440103</v>
      </c>
      <c r="J90">
        <v>161949554.94804001</v>
      </c>
      <c r="K90">
        <v>45864400.317640901</v>
      </c>
      <c r="L90">
        <v>438461.86034988699</v>
      </c>
      <c r="M90">
        <v>-1692971.46563633</v>
      </c>
      <c r="P90">
        <v>1022361957.75015</v>
      </c>
      <c r="Q90">
        <v>570012384.11496401</v>
      </c>
      <c r="R90">
        <v>74860369.838596806</v>
      </c>
      <c r="S90">
        <v>1073561.8294031399</v>
      </c>
      <c r="T90">
        <v>-1771286.3295630701</v>
      </c>
      <c r="W90">
        <v>771614675.75833905</v>
      </c>
      <c r="X90">
        <v>359528540.332102</v>
      </c>
      <c r="Y90">
        <v>63415337.9204612</v>
      </c>
      <c r="Z90">
        <v>801575.76343490102</v>
      </c>
      <c r="AA90">
        <v>-1441391.9954268101</v>
      </c>
    </row>
    <row r="91" spans="2:27" x14ac:dyDescent="0.25">
      <c r="B91">
        <v>908787227.43871403</v>
      </c>
      <c r="C91">
        <v>416758388.70485198</v>
      </c>
      <c r="D91">
        <v>6908098.8053246802</v>
      </c>
      <c r="E91">
        <v>-159523.25657538901</v>
      </c>
      <c r="F91">
        <v>-1657347.13941392</v>
      </c>
      <c r="I91">
        <v>687715448.253317</v>
      </c>
      <c r="J91">
        <v>243037398.409098</v>
      </c>
      <c r="K91">
        <v>9304130.4831252508</v>
      </c>
      <c r="L91">
        <v>-359901.01549958298</v>
      </c>
      <c r="M91">
        <v>-1820917.62245248</v>
      </c>
      <c r="P91">
        <v>1546010217.28005</v>
      </c>
      <c r="Q91">
        <v>854880430.40642798</v>
      </c>
      <c r="R91">
        <v>10030864.2764148</v>
      </c>
      <c r="S91">
        <v>-210796.96683306</v>
      </c>
      <c r="T91">
        <v>-2982465.2309183199</v>
      </c>
      <c r="W91">
        <v>1165216302.3298399</v>
      </c>
      <c r="X91">
        <v>536105025.92253703</v>
      </c>
      <c r="Y91">
        <v>7937905.1082794396</v>
      </c>
      <c r="Z91">
        <v>-279001.43102688401</v>
      </c>
      <c r="AA91">
        <v>-2356478.0214406401</v>
      </c>
    </row>
    <row r="92" spans="2:27" x14ac:dyDescent="0.25">
      <c r="B92">
        <v>1022046831.76756</v>
      </c>
      <c r="C92">
        <v>466209522.35799998</v>
      </c>
      <c r="D92">
        <v>-9898197.9546240997</v>
      </c>
      <c r="E92">
        <v>-288465.49405379698</v>
      </c>
      <c r="F92">
        <v>-2189871.0372605999</v>
      </c>
      <c r="I92">
        <v>776675219.128093</v>
      </c>
      <c r="J92">
        <v>273181699.68473601</v>
      </c>
      <c r="K92">
        <v>-5633717.5331900697</v>
      </c>
      <c r="L92">
        <v>-253645.26067125399</v>
      </c>
      <c r="M92">
        <v>-2225087.2918944401</v>
      </c>
      <c r="P92">
        <v>1729156246.60267</v>
      </c>
      <c r="Q92">
        <v>953224297.57894599</v>
      </c>
      <c r="R92">
        <v>-15649903.622210899</v>
      </c>
      <c r="S92">
        <v>-453481.44214232097</v>
      </c>
      <c r="T92">
        <v>-3958781.2030194602</v>
      </c>
      <c r="W92">
        <v>1299605921.2706201</v>
      </c>
      <c r="X92">
        <v>594008619.53421605</v>
      </c>
      <c r="Y92">
        <v>-14175113.1232723</v>
      </c>
      <c r="Z92">
        <v>-430657.68409043399</v>
      </c>
      <c r="AA92">
        <v>-3042779.0187367299</v>
      </c>
    </row>
    <row r="93" spans="2:27" x14ac:dyDescent="0.25">
      <c r="B93">
        <v>1067263165.66711</v>
      </c>
      <c r="C93">
        <v>484526850.98165101</v>
      </c>
      <c r="D93">
        <v>-9539588.4695985205</v>
      </c>
      <c r="E93">
        <v>-191911.36836865201</v>
      </c>
      <c r="F93">
        <v>-2408214.3353209901</v>
      </c>
      <c r="I93">
        <v>812618323.169958</v>
      </c>
      <c r="J93">
        <v>284278316.48733902</v>
      </c>
      <c r="K93">
        <v>-6597063.1100752205</v>
      </c>
      <c r="L93">
        <v>-143290.273821601</v>
      </c>
      <c r="M93">
        <v>-2546259.2103986898</v>
      </c>
      <c r="P93">
        <v>1801561610.8238699</v>
      </c>
      <c r="Q93">
        <v>990340386.62786806</v>
      </c>
      <c r="R93">
        <v>-14754154.400037</v>
      </c>
      <c r="S93">
        <v>-305284.67246843502</v>
      </c>
      <c r="T93">
        <v>-4301857.8049647799</v>
      </c>
      <c r="W93">
        <v>1350206604.2298</v>
      </c>
      <c r="X93">
        <v>613561038.62665403</v>
      </c>
      <c r="Y93">
        <v>-13199734.849427</v>
      </c>
      <c r="Z93">
        <v>-275137.50203774602</v>
      </c>
      <c r="AA93">
        <v>-3284201.2248484599</v>
      </c>
    </row>
    <row r="94" spans="2:27" x14ac:dyDescent="0.25">
      <c r="B94">
        <v>1078998033.1191399</v>
      </c>
      <c r="C94">
        <v>488847479.99386603</v>
      </c>
      <c r="D94" s="1">
        <v>3.21863626595587E-6</v>
      </c>
      <c r="E94" s="1">
        <v>2.12101440411061E-7</v>
      </c>
      <c r="F94">
        <v>-2401874.3838558602</v>
      </c>
      <c r="I94">
        <v>822685334.642102</v>
      </c>
      <c r="J94">
        <v>287074548.74848002</v>
      </c>
      <c r="K94" s="1">
        <v>7.6343712862581004E-7</v>
      </c>
      <c r="L94" s="1">
        <v>-2.14284227695316E-7</v>
      </c>
      <c r="M94">
        <v>-2545451.1662838501</v>
      </c>
      <c r="P94">
        <v>1820211716.89291</v>
      </c>
      <c r="Q94">
        <v>999333749.899786</v>
      </c>
      <c r="R94" s="1">
        <v>1.2042874004691799E-6</v>
      </c>
      <c r="S94" s="1">
        <v>-9.6698204288259191E-7</v>
      </c>
      <c r="T94">
        <v>-4299049.3367079403</v>
      </c>
      <c r="W94">
        <v>1362780042.1570499</v>
      </c>
      <c r="X94">
        <v>617751428.96717298</v>
      </c>
      <c r="Y94" s="1">
        <v>-1.06377410702407E-6</v>
      </c>
      <c r="Z94" s="1">
        <v>-8.3506893133744597E-7</v>
      </c>
      <c r="AA94">
        <v>-3267863.8594891401</v>
      </c>
    </row>
    <row r="95" spans="2:27" x14ac:dyDescent="0.25">
      <c r="B95">
        <v>1067263165.66721</v>
      </c>
      <c r="C95">
        <v>484526850.981718</v>
      </c>
      <c r="D95">
        <v>9539588.4695982896</v>
      </c>
      <c r="E95">
        <v>191911.368368639</v>
      </c>
      <c r="F95">
        <v>-2408214.33531956</v>
      </c>
      <c r="I95">
        <v>812618323.16996503</v>
      </c>
      <c r="J95">
        <v>284278316.487342</v>
      </c>
      <c r="K95">
        <v>6597063.1100717504</v>
      </c>
      <c r="L95">
        <v>143290.27382133499</v>
      </c>
      <c r="M95">
        <v>-2546259.21040079</v>
      </c>
      <c r="P95">
        <v>1801561610.8238299</v>
      </c>
      <c r="Q95">
        <v>990340386.627846</v>
      </c>
      <c r="R95">
        <v>14754154.4000389</v>
      </c>
      <c r="S95">
        <v>305284.67246869497</v>
      </c>
      <c r="T95">
        <v>-4301857.8049668698</v>
      </c>
      <c r="W95">
        <v>1350206604.2297599</v>
      </c>
      <c r="X95">
        <v>613561038.62661803</v>
      </c>
      <c r="Y95">
        <v>13199734.849429799</v>
      </c>
      <c r="Z95">
        <v>275137.50203651702</v>
      </c>
      <c r="AA95">
        <v>-3284201.2248479198</v>
      </c>
    </row>
    <row r="96" spans="2:27" x14ac:dyDescent="0.25">
      <c r="B96">
        <v>1022046831.76766</v>
      </c>
      <c r="C96">
        <v>466209522.35805303</v>
      </c>
      <c r="D96">
        <v>9898197.9546210896</v>
      </c>
      <c r="E96">
        <v>288465.49405207997</v>
      </c>
      <c r="F96">
        <v>-2189871.03726186</v>
      </c>
      <c r="I96">
        <v>776675219.12817705</v>
      </c>
      <c r="J96">
        <v>273181699.68477702</v>
      </c>
      <c r="K96">
        <v>5633717.5331844296</v>
      </c>
      <c r="L96">
        <v>253645.260670346</v>
      </c>
      <c r="M96">
        <v>-2225087.2918917099</v>
      </c>
      <c r="P96">
        <v>1729156246.6027</v>
      </c>
      <c r="Q96">
        <v>953224297.57897198</v>
      </c>
      <c r="R96">
        <v>15649903.622205099</v>
      </c>
      <c r="S96">
        <v>453481.44214118598</v>
      </c>
      <c r="T96">
        <v>-3958781.2030218402</v>
      </c>
      <c r="W96">
        <v>1299605921.2705901</v>
      </c>
      <c r="X96">
        <v>594008619.53420103</v>
      </c>
      <c r="Y96">
        <v>14175113.1232784</v>
      </c>
      <c r="Z96">
        <v>430657.684089627</v>
      </c>
      <c r="AA96">
        <v>-3042779.0187343801</v>
      </c>
    </row>
    <row r="97" spans="2:27" x14ac:dyDescent="0.25">
      <c r="B97">
        <v>908787227.438761</v>
      </c>
      <c r="C97">
        <v>416758388.70487899</v>
      </c>
      <c r="D97">
        <v>-6908098.80532372</v>
      </c>
      <c r="E97">
        <v>159523.25657506401</v>
      </c>
      <c r="F97">
        <v>-1657347.13941396</v>
      </c>
      <c r="I97">
        <v>687715448.25334299</v>
      </c>
      <c r="J97">
        <v>243037398.409105</v>
      </c>
      <c r="K97">
        <v>-9304130.4831234403</v>
      </c>
      <c r="L97">
        <v>359901.015499092</v>
      </c>
      <c r="M97">
        <v>-1820917.6224511601</v>
      </c>
      <c r="P97">
        <v>1546010217.28005</v>
      </c>
      <c r="Q97">
        <v>854880430.40641904</v>
      </c>
      <c r="R97">
        <v>-10030864.2764192</v>
      </c>
      <c r="S97">
        <v>210796.96683244599</v>
      </c>
      <c r="T97">
        <v>-2982465.2309149601</v>
      </c>
      <c r="W97">
        <v>1165216302.3297701</v>
      </c>
      <c r="X97">
        <v>536105025.922499</v>
      </c>
      <c r="Y97">
        <v>-7937905.1082769101</v>
      </c>
      <c r="Z97">
        <v>279001.43102689402</v>
      </c>
      <c r="AA97">
        <v>-2356478.02144195</v>
      </c>
    </row>
    <row r="98" spans="2:27" x14ac:dyDescent="0.25">
      <c r="B98">
        <v>599559097.50442803</v>
      </c>
      <c r="C98">
        <v>278190894.61996001</v>
      </c>
      <c r="D98">
        <v>-49168172.8033318</v>
      </c>
      <c r="E98">
        <v>-709001.03015891497</v>
      </c>
      <c r="F98">
        <v>-1070087.7553660499</v>
      </c>
      <c r="I98">
        <v>455312103.94437999</v>
      </c>
      <c r="J98">
        <v>161949554.948028</v>
      </c>
      <c r="K98">
        <v>-45864400.317637503</v>
      </c>
      <c r="L98">
        <v>-438461.86035011901</v>
      </c>
      <c r="M98">
        <v>-1692971.46563521</v>
      </c>
      <c r="P98">
        <v>1022361957.75018</v>
      </c>
      <c r="Q98">
        <v>570012384.114977</v>
      </c>
      <c r="R98">
        <v>-74860369.838599503</v>
      </c>
      <c r="S98">
        <v>-1073561.82940421</v>
      </c>
      <c r="T98">
        <v>-1771286.3295629199</v>
      </c>
      <c r="W98">
        <v>771614675.75829601</v>
      </c>
      <c r="X98">
        <v>359528540.33207798</v>
      </c>
      <c r="Y98">
        <v>-63415337.920461297</v>
      </c>
      <c r="Z98">
        <v>-801575.76343584806</v>
      </c>
      <c r="AA98">
        <v>-1441391.9954251</v>
      </c>
    </row>
    <row r="99" spans="2:27" x14ac:dyDescent="0.25">
      <c r="B99">
        <v>21745148.708725899</v>
      </c>
      <c r="C99">
        <v>22865863.5585902</v>
      </c>
      <c r="D99">
        <v>-73486657.380965099</v>
      </c>
      <c r="E99">
        <v>-1468900.4675811699</v>
      </c>
      <c r="F99">
        <v>340864.52217021299</v>
      </c>
      <c r="I99">
        <v>12643388.077941401</v>
      </c>
      <c r="J99">
        <v>10206509.218735401</v>
      </c>
      <c r="K99">
        <v>-67469396.096558407</v>
      </c>
      <c r="L99">
        <v>-1218715.47104477</v>
      </c>
      <c r="M99">
        <v>765860.93932632403</v>
      </c>
      <c r="P99">
        <v>40357379.081306301</v>
      </c>
      <c r="Q99">
        <v>41875135.663324699</v>
      </c>
      <c r="R99">
        <v>-111471033.865722</v>
      </c>
      <c r="S99">
        <v>-2215528.76428433</v>
      </c>
      <c r="T99">
        <v>438559.03218190401</v>
      </c>
      <c r="W99">
        <v>27869414.237357799</v>
      </c>
      <c r="X99">
        <v>28750356.848029599</v>
      </c>
      <c r="Y99">
        <v>-94609171.680491105</v>
      </c>
      <c r="Z99">
        <v>-1769567.0132261701</v>
      </c>
      <c r="AA99">
        <v>399994.44728952501</v>
      </c>
    </row>
    <row r="100" spans="2:27" x14ac:dyDescent="0.25">
      <c r="B100">
        <v>131489442.619358</v>
      </c>
      <c r="C100">
        <v>68770336.481832907</v>
      </c>
      <c r="D100">
        <v>128151700.76681601</v>
      </c>
      <c r="E100">
        <v>61589.212603855398</v>
      </c>
      <c r="F100">
        <v>2478865.6314848098</v>
      </c>
      <c r="I100">
        <v>91751814.772024095</v>
      </c>
      <c r="J100">
        <v>34576927.199627101</v>
      </c>
      <c r="K100">
        <v>113821806.96017601</v>
      </c>
      <c r="L100">
        <v>-1624429.8201287801</v>
      </c>
      <c r="M100">
        <v>5666703.9698415697</v>
      </c>
      <c r="P100">
        <v>231665812.13363799</v>
      </c>
      <c r="Q100">
        <v>141335133.533557</v>
      </c>
      <c r="R100">
        <v>191927447.59201801</v>
      </c>
      <c r="S100">
        <v>343825.17968815198</v>
      </c>
      <c r="T100">
        <v>2788514.76292725</v>
      </c>
      <c r="W100">
        <v>170766842.50099799</v>
      </c>
      <c r="X100">
        <v>88976955.726444796</v>
      </c>
      <c r="Y100">
        <v>163543443.015937</v>
      </c>
      <c r="Z100">
        <v>-1158.5213597130501</v>
      </c>
      <c r="AA100">
        <v>2813398.5416172799</v>
      </c>
    </row>
    <row r="101" spans="2:27" x14ac:dyDescent="0.25">
      <c r="B101">
        <v>768107342.29234505</v>
      </c>
      <c r="C101">
        <v>339061123.50841802</v>
      </c>
      <c r="D101">
        <v>47557151.607114598</v>
      </c>
      <c r="E101">
        <v>43159.7759042576</v>
      </c>
      <c r="F101">
        <v>-2050650.4055315801</v>
      </c>
      <c r="I101">
        <v>549190856.48388898</v>
      </c>
      <c r="J101">
        <v>177157813.09401</v>
      </c>
      <c r="K101">
        <v>47005110.954412803</v>
      </c>
      <c r="L101">
        <v>-229274.18052832299</v>
      </c>
      <c r="M101">
        <v>-3054325.4973040102</v>
      </c>
      <c r="P101">
        <v>1322098156.02988</v>
      </c>
      <c r="Q101">
        <v>713969036.94831002</v>
      </c>
      <c r="R101">
        <v>66177273.109699599</v>
      </c>
      <c r="S101">
        <v>-17054.2545097047</v>
      </c>
      <c r="T101">
        <v>-3066101.6557874298</v>
      </c>
      <c r="W101">
        <v>985604862.60774601</v>
      </c>
      <c r="X101">
        <v>437416421.05289501</v>
      </c>
      <c r="Y101">
        <v>56680921.227770798</v>
      </c>
      <c r="Z101">
        <v>-96291.781308742196</v>
      </c>
      <c r="AA101">
        <v>-2704968.7531294799</v>
      </c>
    </row>
    <row r="102" spans="2:27" x14ac:dyDescent="0.25">
      <c r="B102">
        <v>835367863.05302298</v>
      </c>
      <c r="C102">
        <v>378952582.74560601</v>
      </c>
      <c r="D102">
        <v>-10714238.985457901</v>
      </c>
      <c r="E102">
        <v>-57965.608680401201</v>
      </c>
      <c r="F102">
        <v>-3737420.0535053001</v>
      </c>
      <c r="I102">
        <v>565096989.32272303</v>
      </c>
      <c r="J102">
        <v>189545410.77430901</v>
      </c>
      <c r="K102">
        <v>-3816849.3171727401</v>
      </c>
      <c r="L102">
        <v>172511.88979939901</v>
      </c>
      <c r="M102">
        <v>-5262389.37136593</v>
      </c>
      <c r="P102">
        <v>1412705393.3752699</v>
      </c>
      <c r="Q102">
        <v>778549903.59992301</v>
      </c>
      <c r="R102">
        <v>-20326712.3974308</v>
      </c>
      <c r="S102">
        <v>-252456.95635799199</v>
      </c>
      <c r="T102">
        <v>-5481139.3782109404</v>
      </c>
      <c r="W102">
        <v>1041588134.3588901</v>
      </c>
      <c r="X102">
        <v>474317067.46938998</v>
      </c>
      <c r="Y102">
        <v>-17970807.560325999</v>
      </c>
      <c r="Z102">
        <v>-196449.18937489099</v>
      </c>
      <c r="AA102">
        <v>-4702387.3919684999</v>
      </c>
    </row>
    <row r="103" spans="2:27" x14ac:dyDescent="0.25">
      <c r="B103">
        <v>842681475.95113695</v>
      </c>
      <c r="C103">
        <v>383657542.92502302</v>
      </c>
      <c r="D103">
        <v>-23374423.451024801</v>
      </c>
      <c r="E103">
        <v>-199683.37674377501</v>
      </c>
      <c r="F103">
        <v>-3232905.7099227598</v>
      </c>
      <c r="I103">
        <v>568823385.72490096</v>
      </c>
      <c r="J103">
        <v>192479932.157305</v>
      </c>
      <c r="K103">
        <v>-15917558.0947794</v>
      </c>
      <c r="L103">
        <v>-91750.5183828101</v>
      </c>
      <c r="M103">
        <v>-4460658.1310045496</v>
      </c>
      <c r="P103">
        <v>1413877815.23119</v>
      </c>
      <c r="Q103">
        <v>781406148.58322406</v>
      </c>
      <c r="R103">
        <v>-37338207.873072997</v>
      </c>
      <c r="S103">
        <v>-355069.04176094598</v>
      </c>
      <c r="T103">
        <v>-4741139.1070035603</v>
      </c>
      <c r="W103">
        <v>1036183803.5175</v>
      </c>
      <c r="X103">
        <v>472718325.99795699</v>
      </c>
      <c r="Y103">
        <v>-32933802.2513794</v>
      </c>
      <c r="Z103">
        <v>-293351.09163043997</v>
      </c>
      <c r="AA103">
        <v>-3998303.3701921599</v>
      </c>
    </row>
    <row r="104" spans="2:27" x14ac:dyDescent="0.25">
      <c r="B104">
        <v>847527730.33470702</v>
      </c>
      <c r="C104">
        <v>385193110.19248998</v>
      </c>
      <c r="D104">
        <v>-15814522.592099899</v>
      </c>
      <c r="E104">
        <v>-104653.27048352</v>
      </c>
      <c r="F104">
        <v>-2870251.5756296902</v>
      </c>
      <c r="I104">
        <v>574818462.68183994</v>
      </c>
      <c r="J104">
        <v>194141461.13878101</v>
      </c>
      <c r="K104">
        <v>-11245839.7272279</v>
      </c>
      <c r="L104">
        <v>-57927.348382311102</v>
      </c>
      <c r="M104">
        <v>-4140475.0655096201</v>
      </c>
      <c r="P104">
        <v>1416410875.44736</v>
      </c>
      <c r="Q104">
        <v>782082490.04261804</v>
      </c>
      <c r="R104">
        <v>-24630508.971860498</v>
      </c>
      <c r="S104">
        <v>-181745.388736086</v>
      </c>
      <c r="T104">
        <v>-4179600.3638648</v>
      </c>
      <c r="W104">
        <v>1034913071.60957</v>
      </c>
      <c r="X104">
        <v>470748991.51612902</v>
      </c>
      <c r="Y104">
        <v>-21768880.595454</v>
      </c>
      <c r="Z104">
        <v>-147166.35082064199</v>
      </c>
      <c r="AA104">
        <v>-3474806.0558944899</v>
      </c>
    </row>
    <row r="105" spans="2:27" x14ac:dyDescent="0.25">
      <c r="B105">
        <v>848351200.34222198</v>
      </c>
      <c r="C105">
        <v>385114873.49720198</v>
      </c>
      <c r="D105" s="1">
        <v>2.8374779503792499E-6</v>
      </c>
      <c r="E105" s="1">
        <v>9.6378789748996496E-7</v>
      </c>
      <c r="F105">
        <v>-2759746.3491892498</v>
      </c>
      <c r="I105">
        <v>576497541.18024004</v>
      </c>
      <c r="J105">
        <v>194386340.03083199</v>
      </c>
      <c r="K105" s="1">
        <v>-7.2459806688129902E-7</v>
      </c>
      <c r="L105" s="1">
        <v>4.5962224248796701E-7</v>
      </c>
      <c r="M105">
        <v>-4084862.0054400498</v>
      </c>
      <c r="P105">
        <v>1416506359.6624501</v>
      </c>
      <c r="Q105">
        <v>781572367.79947197</v>
      </c>
      <c r="R105" s="1">
        <v>7.1479007601737997E-7</v>
      </c>
      <c r="S105" s="1">
        <v>9.9948374554514906E-7</v>
      </c>
      <c r="T105">
        <v>-3996372.8465993302</v>
      </c>
      <c r="W105">
        <v>1033963455.83597</v>
      </c>
      <c r="X105">
        <v>469554180.212502</v>
      </c>
      <c r="Y105" s="1">
        <v>-1.54113513417542E-6</v>
      </c>
      <c r="Z105" s="1">
        <v>5.4259726312011502E-7</v>
      </c>
      <c r="AA105">
        <v>-3311389.1429432798</v>
      </c>
    </row>
    <row r="106" spans="2:27" x14ac:dyDescent="0.25">
      <c r="B106">
        <v>847527730.33468199</v>
      </c>
      <c r="C106">
        <v>385193110.19248098</v>
      </c>
      <c r="D106">
        <v>15814522.592101499</v>
      </c>
      <c r="E106">
        <v>104653.27048507999</v>
      </c>
      <c r="F106">
        <v>-2870251.5756317899</v>
      </c>
      <c r="I106">
        <v>574818462.68184197</v>
      </c>
      <c r="J106">
        <v>194141461.13877901</v>
      </c>
      <c r="K106">
        <v>11245839.727227001</v>
      </c>
      <c r="L106">
        <v>57927.3483835273</v>
      </c>
      <c r="M106">
        <v>-4140475.0655099498</v>
      </c>
      <c r="P106">
        <v>1416410875.4473701</v>
      </c>
      <c r="Q106">
        <v>782082490.04262304</v>
      </c>
      <c r="R106">
        <v>24630508.971861899</v>
      </c>
      <c r="S106">
        <v>181745.38873805499</v>
      </c>
      <c r="T106">
        <v>-4179600.3638646798</v>
      </c>
      <c r="W106">
        <v>1034913071.60957</v>
      </c>
      <c r="X106">
        <v>470748991.51612002</v>
      </c>
      <c r="Y106">
        <v>21768880.595455699</v>
      </c>
      <c r="Z106">
        <v>147166.35082226299</v>
      </c>
      <c r="AA106">
        <v>-3474806.0558936498</v>
      </c>
    </row>
    <row r="107" spans="2:27" x14ac:dyDescent="0.25">
      <c r="B107">
        <v>842681475.951141</v>
      </c>
      <c r="C107">
        <v>383657542.92502999</v>
      </c>
      <c r="D107">
        <v>23374423.4510209</v>
      </c>
      <c r="E107">
        <v>199683.37674524201</v>
      </c>
      <c r="F107">
        <v>-3232905.7099226201</v>
      </c>
      <c r="I107">
        <v>568823385.72489095</v>
      </c>
      <c r="J107">
        <v>192479932.157305</v>
      </c>
      <c r="K107">
        <v>15917558.094775399</v>
      </c>
      <c r="L107">
        <v>91750.518384028997</v>
      </c>
      <c r="M107">
        <v>-4460658.1310044797</v>
      </c>
      <c r="P107">
        <v>1413877815.23118</v>
      </c>
      <c r="Q107">
        <v>781406148.58322001</v>
      </c>
      <c r="R107">
        <v>37338207.873067699</v>
      </c>
      <c r="S107">
        <v>355069.041762779</v>
      </c>
      <c r="T107">
        <v>-4741139.1070043398</v>
      </c>
      <c r="W107">
        <v>1036183803.51748</v>
      </c>
      <c r="X107">
        <v>472718325.99794799</v>
      </c>
      <c r="Y107">
        <v>32933802.251385599</v>
      </c>
      <c r="Z107">
        <v>293351.091631955</v>
      </c>
      <c r="AA107">
        <v>-3998303.3701908798</v>
      </c>
    </row>
    <row r="108" spans="2:27" x14ac:dyDescent="0.25">
      <c r="B108">
        <v>835367863.05304503</v>
      </c>
      <c r="C108">
        <v>378952582.74561799</v>
      </c>
      <c r="D108">
        <v>10714238.9854567</v>
      </c>
      <c r="E108">
        <v>57965.608681227401</v>
      </c>
      <c r="F108">
        <v>-3737420.05350467</v>
      </c>
      <c r="I108">
        <v>565096989.32272196</v>
      </c>
      <c r="J108">
        <v>189545410.774308</v>
      </c>
      <c r="K108">
        <v>3816849.3171701799</v>
      </c>
      <c r="L108">
        <v>-172511.88979894301</v>
      </c>
      <c r="M108">
        <v>-5262389.3713659998</v>
      </c>
      <c r="P108">
        <v>1412705393.3752799</v>
      </c>
      <c r="Q108">
        <v>778549903.59992194</v>
      </c>
      <c r="R108">
        <v>20326712.3974264</v>
      </c>
      <c r="S108">
        <v>252456.95635977099</v>
      </c>
      <c r="T108">
        <v>-5481139.3782116901</v>
      </c>
      <c r="W108">
        <v>1041588134.3589</v>
      </c>
      <c r="X108">
        <v>474317067.46939802</v>
      </c>
      <c r="Y108">
        <v>17970807.560328599</v>
      </c>
      <c r="Z108">
        <v>196449.18937655599</v>
      </c>
      <c r="AA108">
        <v>-4702387.39196839</v>
      </c>
    </row>
    <row r="109" spans="2:27" x14ac:dyDescent="0.25">
      <c r="B109">
        <v>768107342.29235601</v>
      </c>
      <c r="C109">
        <v>339061123.50842398</v>
      </c>
      <c r="D109">
        <v>-47557151.6071155</v>
      </c>
      <c r="E109">
        <v>-43159.7759035868</v>
      </c>
      <c r="F109">
        <v>-2050650.4055312001</v>
      </c>
      <c r="I109">
        <v>549190856.48389399</v>
      </c>
      <c r="J109">
        <v>177157813.09400901</v>
      </c>
      <c r="K109">
        <v>-47005110.954411499</v>
      </c>
      <c r="L109">
        <v>229274.180528717</v>
      </c>
      <c r="M109">
        <v>-3054325.4973031101</v>
      </c>
      <c r="P109">
        <v>1322098156.02985</v>
      </c>
      <c r="Q109">
        <v>713969036.94829094</v>
      </c>
      <c r="R109">
        <v>-66177273.109704301</v>
      </c>
      <c r="S109">
        <v>17054.254510343799</v>
      </c>
      <c r="T109">
        <v>-3066101.6557857301</v>
      </c>
      <c r="W109">
        <v>985604862.60775495</v>
      </c>
      <c r="X109">
        <v>437416421.05289602</v>
      </c>
      <c r="Y109">
        <v>-56680921.227770701</v>
      </c>
      <c r="Z109">
        <v>96291.7813093187</v>
      </c>
      <c r="AA109">
        <v>-2704968.7531273901</v>
      </c>
    </row>
    <row r="110" spans="2:27" x14ac:dyDescent="0.25">
      <c r="B110">
        <v>131489442.619357</v>
      </c>
      <c r="C110">
        <v>68770336.481831998</v>
      </c>
      <c r="D110">
        <v>-128151700.766818</v>
      </c>
      <c r="E110">
        <v>-61589.212603487897</v>
      </c>
      <c r="F110">
        <v>2478865.6314852098</v>
      </c>
      <c r="I110">
        <v>91751814.772023693</v>
      </c>
      <c r="J110">
        <v>34576927.199625999</v>
      </c>
      <c r="K110">
        <v>-113821806.960171</v>
      </c>
      <c r="L110">
        <v>1624429.8201289601</v>
      </c>
      <c r="M110">
        <v>5666703.9698428102</v>
      </c>
      <c r="P110">
        <v>231665812.13363701</v>
      </c>
      <c r="Q110">
        <v>141335133.53355399</v>
      </c>
      <c r="R110">
        <v>-191927447.59202099</v>
      </c>
      <c r="S110">
        <v>-343825.17968732503</v>
      </c>
      <c r="T110">
        <v>2788514.7629295699</v>
      </c>
      <c r="W110">
        <v>170766842.50099701</v>
      </c>
      <c r="X110">
        <v>88976955.726442605</v>
      </c>
      <c r="Y110">
        <v>-163543443.01593599</v>
      </c>
      <c r="Z110">
        <v>1158.5213600658999</v>
      </c>
      <c r="AA110">
        <v>2813398.5416176398</v>
      </c>
    </row>
    <row r="111" spans="2:27" x14ac:dyDescent="0.25">
      <c r="B111">
        <v>235194990.480591</v>
      </c>
      <c r="C111">
        <v>103918202.122531</v>
      </c>
      <c r="D111">
        <v>184621808.33989701</v>
      </c>
      <c r="E111">
        <v>1767786.5941977601</v>
      </c>
      <c r="F111">
        <v>-6409628.8447851902</v>
      </c>
      <c r="I111">
        <v>169864935.54764199</v>
      </c>
      <c r="J111">
        <v>56611848.305390902</v>
      </c>
      <c r="K111">
        <v>137278406.87377399</v>
      </c>
      <c r="L111">
        <v>1686385.4623113</v>
      </c>
      <c r="M111">
        <v>-19050878.676758599</v>
      </c>
      <c r="P111">
        <v>411142600.89499998</v>
      </c>
      <c r="Q111">
        <v>222934281.613415</v>
      </c>
      <c r="R111">
        <v>260222676.032704</v>
      </c>
      <c r="S111">
        <v>2626740.46160253</v>
      </c>
      <c r="T111">
        <v>-6132785.7408620697</v>
      </c>
      <c r="W111">
        <v>306332042.41003197</v>
      </c>
      <c r="X111">
        <v>136684596.25642601</v>
      </c>
      <c r="Y111">
        <v>218561647.33943301</v>
      </c>
      <c r="Z111">
        <v>2044613.40741437</v>
      </c>
      <c r="AA111">
        <v>-7021717.5482235197</v>
      </c>
    </row>
    <row r="112" spans="2:27" x14ac:dyDescent="0.25">
      <c r="B112">
        <v>822357882.32750201</v>
      </c>
      <c r="C112">
        <v>396075128.10053599</v>
      </c>
      <c r="D112">
        <v>-27608400.7812737</v>
      </c>
      <c r="E112">
        <v>-529584.14783210901</v>
      </c>
      <c r="F112">
        <v>-1753097.6945527899</v>
      </c>
      <c r="I112">
        <v>394617289.39821702</v>
      </c>
      <c r="J112">
        <v>146845206.98051801</v>
      </c>
      <c r="K112">
        <v>-25296601.7827144</v>
      </c>
      <c r="L112">
        <v>-906997.37709926604</v>
      </c>
      <c r="M112">
        <v>-4819466.3248514496</v>
      </c>
      <c r="P112">
        <v>1421034219.5130899</v>
      </c>
      <c r="Q112">
        <v>824829471.18731904</v>
      </c>
      <c r="R112">
        <v>-52764548.829502396</v>
      </c>
      <c r="S112">
        <v>-755202.14025920106</v>
      </c>
      <c r="T112">
        <v>-592682.38959947205</v>
      </c>
      <c r="W112">
        <v>1018746779.23667</v>
      </c>
      <c r="X112">
        <v>498461297.60320699</v>
      </c>
      <c r="Y112">
        <v>-46053931.258080497</v>
      </c>
      <c r="Z112">
        <v>-585119.83021260996</v>
      </c>
      <c r="AA112">
        <v>-1042196.98117295</v>
      </c>
    </row>
    <row r="113" spans="2:27" x14ac:dyDescent="0.25">
      <c r="B113">
        <v>641910163.60416198</v>
      </c>
      <c r="C113">
        <v>312446858.34069198</v>
      </c>
      <c r="D113">
        <v>-30248748.331225701</v>
      </c>
      <c r="E113">
        <v>-660785.67335050204</v>
      </c>
      <c r="F113">
        <v>408429.92651263601</v>
      </c>
      <c r="I113">
        <v>274912843.02500099</v>
      </c>
      <c r="J113">
        <v>103990108.99919701</v>
      </c>
      <c r="K113">
        <v>-20162858.580071598</v>
      </c>
      <c r="L113">
        <v>-1371353.9317848401</v>
      </c>
      <c r="M113">
        <v>-2007365.60254966</v>
      </c>
      <c r="P113">
        <v>1110804269.06236</v>
      </c>
      <c r="Q113">
        <v>650483458.50938904</v>
      </c>
      <c r="R113">
        <v>-51851002.344609998</v>
      </c>
      <c r="S113">
        <v>-784258.27407902805</v>
      </c>
      <c r="T113">
        <v>2904965.73893777</v>
      </c>
      <c r="W113">
        <v>787247020.49777699</v>
      </c>
      <c r="X113">
        <v>389824553.11027998</v>
      </c>
      <c r="Y113">
        <v>-45316844.313263804</v>
      </c>
      <c r="Z113">
        <v>-764316.05083061499</v>
      </c>
      <c r="AA113">
        <v>2120822.2305121701</v>
      </c>
    </row>
    <row r="114" spans="2:27" x14ac:dyDescent="0.25">
      <c r="B114">
        <v>652065994.82766402</v>
      </c>
      <c r="C114">
        <v>318730485.34127998</v>
      </c>
      <c r="D114">
        <v>-30943942.567784801</v>
      </c>
      <c r="E114">
        <v>-78700.973485404495</v>
      </c>
      <c r="F114">
        <v>860155.85872527503</v>
      </c>
      <c r="I114">
        <v>278412511.501876</v>
      </c>
      <c r="J114">
        <v>106740449.70076101</v>
      </c>
      <c r="K114">
        <v>-20996958.4325477</v>
      </c>
      <c r="L114">
        <v>-191318.69256249</v>
      </c>
      <c r="M114">
        <v>-2322091.4531343598</v>
      </c>
      <c r="P114">
        <v>1125026881.2453799</v>
      </c>
      <c r="Q114">
        <v>660842562.70478499</v>
      </c>
      <c r="R114">
        <v>-49580829.134195</v>
      </c>
      <c r="S114">
        <v>-106503.148965509</v>
      </c>
      <c r="T114">
        <v>3912852.7063189601</v>
      </c>
      <c r="W114">
        <v>796441215.52161396</v>
      </c>
      <c r="X114">
        <v>396118993.14782602</v>
      </c>
      <c r="Y114">
        <v>-43386095.766695</v>
      </c>
      <c r="Z114">
        <v>-125567.18401918199</v>
      </c>
      <c r="AA114">
        <v>2946213.39424153</v>
      </c>
    </row>
    <row r="115" spans="2:27" x14ac:dyDescent="0.25">
      <c r="B115">
        <v>644970300.93228805</v>
      </c>
      <c r="C115">
        <v>315384320.70787197</v>
      </c>
      <c r="D115">
        <v>-18678311.0681407</v>
      </c>
      <c r="E115">
        <v>-25193.186243070999</v>
      </c>
      <c r="F115">
        <v>1360055.8604069001</v>
      </c>
      <c r="I115">
        <v>276113726.79753298</v>
      </c>
      <c r="J115">
        <v>105977037.34597801</v>
      </c>
      <c r="K115">
        <v>-13113415.5729276</v>
      </c>
      <c r="L115">
        <v>-12436.0499174463</v>
      </c>
      <c r="M115">
        <v>-1942247.49243944</v>
      </c>
      <c r="P115">
        <v>1112494212.3914499</v>
      </c>
      <c r="Q115">
        <v>653700072.632213</v>
      </c>
      <c r="R115">
        <v>-29215943.275309801</v>
      </c>
      <c r="S115">
        <v>-45727.710393415597</v>
      </c>
      <c r="T115">
        <v>4782408.35690678</v>
      </c>
      <c r="W115">
        <v>787469574.89505994</v>
      </c>
      <c r="X115">
        <v>391838810.74633598</v>
      </c>
      <c r="Y115">
        <v>-25647030.801592998</v>
      </c>
      <c r="Z115">
        <v>-44986.967213061798</v>
      </c>
      <c r="AA115">
        <v>3641616.7893760898</v>
      </c>
    </row>
    <row r="116" spans="2:27" x14ac:dyDescent="0.25">
      <c r="B116">
        <v>645913062.35990298</v>
      </c>
      <c r="C116">
        <v>315930952.70474303</v>
      </c>
      <c r="D116" s="1">
        <v>3.4612457966432002E-7</v>
      </c>
      <c r="E116" s="1">
        <v>7.4651325121522003E-8</v>
      </c>
      <c r="F116">
        <v>1541104.0540491301</v>
      </c>
      <c r="I116">
        <v>276645822.384197</v>
      </c>
      <c r="J116">
        <v>106251023.945971</v>
      </c>
      <c r="K116" s="1">
        <v>-2.4075852707028402E-6</v>
      </c>
      <c r="L116" s="1">
        <v>3.99784767068923E-7</v>
      </c>
      <c r="M116">
        <v>-1783436.7411055299</v>
      </c>
      <c r="P116">
        <v>1113722363.6427701</v>
      </c>
      <c r="Q116">
        <v>654554537.31933606</v>
      </c>
      <c r="R116" s="1">
        <v>-2.0854786271229399E-6</v>
      </c>
      <c r="S116" s="1">
        <v>-3.8629514165222602E-7</v>
      </c>
      <c r="T116">
        <v>5086363.9546770696</v>
      </c>
      <c r="W116">
        <v>788439321.77335703</v>
      </c>
      <c r="X116">
        <v>392434228.87853098</v>
      </c>
      <c r="Y116" s="1">
        <v>-2.1773375920020001E-6</v>
      </c>
      <c r="Z116" s="1">
        <v>6.0835736803710503E-7</v>
      </c>
      <c r="AA116">
        <v>3890259.5925505501</v>
      </c>
    </row>
    <row r="117" spans="2:27" x14ac:dyDescent="0.25">
      <c r="B117">
        <v>644970300.93229306</v>
      </c>
      <c r="C117">
        <v>315384320.70787501</v>
      </c>
      <c r="D117">
        <v>18678311.068139601</v>
      </c>
      <c r="E117">
        <v>25193.186241708801</v>
      </c>
      <c r="F117">
        <v>1360055.86040824</v>
      </c>
      <c r="I117">
        <v>276113726.79753101</v>
      </c>
      <c r="J117">
        <v>105977037.34597699</v>
      </c>
      <c r="K117">
        <v>13113415.572925599</v>
      </c>
      <c r="L117">
        <v>12436.049917075799</v>
      </c>
      <c r="M117">
        <v>-1942247.4924385899</v>
      </c>
      <c r="P117">
        <v>1112494212.3914599</v>
      </c>
      <c r="Q117">
        <v>653700072.63222003</v>
      </c>
      <c r="R117">
        <v>29215943.275309298</v>
      </c>
      <c r="S117">
        <v>45727.710391532499</v>
      </c>
      <c r="T117">
        <v>4782408.3569065202</v>
      </c>
      <c r="W117">
        <v>787469574.89507496</v>
      </c>
      <c r="X117">
        <v>391838810.74634397</v>
      </c>
      <c r="Y117">
        <v>25647030.801596299</v>
      </c>
      <c r="Z117">
        <v>44986.967212280397</v>
      </c>
      <c r="AA117">
        <v>3641616.7893769499</v>
      </c>
    </row>
    <row r="118" spans="2:27" x14ac:dyDescent="0.25">
      <c r="B118">
        <v>652065994.82765698</v>
      </c>
      <c r="C118">
        <v>318730485.34127599</v>
      </c>
      <c r="D118">
        <v>30943942.567779802</v>
      </c>
      <c r="E118">
        <v>78700.973484358896</v>
      </c>
      <c r="F118">
        <v>860155.85872504604</v>
      </c>
      <c r="I118">
        <v>278412511.501876</v>
      </c>
      <c r="J118">
        <v>106740449.70076101</v>
      </c>
      <c r="K118">
        <v>20996958.432544999</v>
      </c>
      <c r="L118">
        <v>191318.69256291099</v>
      </c>
      <c r="M118">
        <v>-2322091.45313536</v>
      </c>
      <c r="P118">
        <v>1125026881.2453799</v>
      </c>
      <c r="Q118">
        <v>660842562.70478594</v>
      </c>
      <c r="R118">
        <v>49580829.1341893</v>
      </c>
      <c r="S118">
        <v>106503.148965938</v>
      </c>
      <c r="T118">
        <v>3912852.7063195799</v>
      </c>
      <c r="W118">
        <v>796441215.52160895</v>
      </c>
      <c r="X118">
        <v>396118993.147825</v>
      </c>
      <c r="Y118">
        <v>43386095.766700298</v>
      </c>
      <c r="Z118">
        <v>125567.184018906</v>
      </c>
      <c r="AA118">
        <v>2946213.3942407998</v>
      </c>
    </row>
    <row r="119" spans="2:27" x14ac:dyDescent="0.25">
      <c r="B119">
        <v>641910163.60416305</v>
      </c>
      <c r="C119">
        <v>312446858.34069401</v>
      </c>
      <c r="D119">
        <v>30248748.331222702</v>
      </c>
      <c r="E119">
        <v>660785.67335087899</v>
      </c>
      <c r="F119">
        <v>408429.92651231802</v>
      </c>
      <c r="I119">
        <v>274912843.02500498</v>
      </c>
      <c r="J119">
        <v>103990108.999199</v>
      </c>
      <c r="K119">
        <v>20162858.580068201</v>
      </c>
      <c r="L119">
        <v>1371353.9317855099</v>
      </c>
      <c r="M119">
        <v>-2007365.6025495401</v>
      </c>
      <c r="P119">
        <v>1110804269.06235</v>
      </c>
      <c r="Q119">
        <v>650483458.50938594</v>
      </c>
      <c r="R119">
        <v>51851002.3446059</v>
      </c>
      <c r="S119">
        <v>784258.27407888998</v>
      </c>
      <c r="T119">
        <v>2904965.7389381402</v>
      </c>
      <c r="W119">
        <v>787247020.49777496</v>
      </c>
      <c r="X119">
        <v>389824553.11027998</v>
      </c>
      <c r="Y119">
        <v>45316844.313265398</v>
      </c>
      <c r="Z119">
        <v>764316.05083064502</v>
      </c>
      <c r="AA119">
        <v>2120822.2305127401</v>
      </c>
    </row>
    <row r="120" spans="2:27" x14ac:dyDescent="0.25">
      <c r="B120">
        <v>822357882.32751</v>
      </c>
      <c r="C120">
        <v>396075128.100541</v>
      </c>
      <c r="D120">
        <v>27608400.781274799</v>
      </c>
      <c r="E120">
        <v>529584.14783213905</v>
      </c>
      <c r="F120">
        <v>-1753097.6945519</v>
      </c>
      <c r="I120">
        <v>394617289.39822</v>
      </c>
      <c r="J120">
        <v>146845206.98052001</v>
      </c>
      <c r="K120">
        <v>25296601.7827162</v>
      </c>
      <c r="L120">
        <v>906997.377099009</v>
      </c>
      <c r="M120">
        <v>-4819466.3248508601</v>
      </c>
      <c r="P120">
        <v>1421034219.5131099</v>
      </c>
      <c r="Q120">
        <v>824829471.18733001</v>
      </c>
      <c r="R120">
        <v>52764548.829502098</v>
      </c>
      <c r="S120">
        <v>755202.14025907603</v>
      </c>
      <c r="T120">
        <v>-592682.38959782105</v>
      </c>
      <c r="W120">
        <v>1018746779.23669</v>
      </c>
      <c r="X120">
        <v>498461297.60321599</v>
      </c>
      <c r="Y120">
        <v>46053931.258078299</v>
      </c>
      <c r="Z120">
        <v>585119.83021276398</v>
      </c>
      <c r="AA120">
        <v>-1042196.98117214</v>
      </c>
    </row>
    <row r="121" spans="2:27" x14ac:dyDescent="0.25">
      <c r="B121">
        <v>235194990.480589</v>
      </c>
      <c r="C121">
        <v>103918202.122531</v>
      </c>
      <c r="D121">
        <v>-184621808.339894</v>
      </c>
      <c r="E121">
        <v>-1767786.5941977501</v>
      </c>
      <c r="F121">
        <v>-6409628.8447860004</v>
      </c>
      <c r="I121">
        <v>169864935.54764199</v>
      </c>
      <c r="J121">
        <v>56611848.305391401</v>
      </c>
      <c r="K121">
        <v>-137278406.87376601</v>
      </c>
      <c r="L121">
        <v>-1686385.4623113801</v>
      </c>
      <c r="M121">
        <v>-19050878.6767602</v>
      </c>
      <c r="P121">
        <v>411142600.89500099</v>
      </c>
      <c r="Q121">
        <v>222934281.613417</v>
      </c>
      <c r="R121">
        <v>-260222676.0327</v>
      </c>
      <c r="S121">
        <v>-2626740.4616032499</v>
      </c>
      <c r="T121">
        <v>-6132785.7408626499</v>
      </c>
      <c r="W121">
        <v>306332042.41003197</v>
      </c>
      <c r="X121">
        <v>136684596.25642699</v>
      </c>
      <c r="Y121">
        <v>-218561647.33943099</v>
      </c>
      <c r="Z121">
        <v>-2044613.4074140501</v>
      </c>
      <c r="AA121">
        <v>-7021717.5482241502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21"/>
  <sheetViews>
    <sheetView topLeftCell="A57" workbookViewId="0">
      <selection activeCell="X56" sqref="X56:X66"/>
    </sheetView>
  </sheetViews>
  <sheetFormatPr defaultRowHeight="14" x14ac:dyDescent="0.25"/>
  <cols>
    <col min="4" max="4" width="10.08984375" customWidth="1"/>
    <col min="5" max="5" width="10.7265625" customWidth="1"/>
    <col min="6" max="6" width="11.26953125" customWidth="1"/>
    <col min="11" max="11" width="9.81640625" customWidth="1"/>
    <col min="12" max="12" width="11.08984375" customWidth="1"/>
    <col min="13" max="13" width="8.7265625" customWidth="1"/>
    <col min="18" max="18" width="8.7265625" customWidth="1"/>
    <col min="19" max="19" width="10.7265625" customWidth="1"/>
    <col min="20" max="20" width="8.7265625" customWidth="1"/>
    <col min="25" max="25" width="10" customWidth="1"/>
    <col min="26" max="26" width="10.453125" customWidth="1"/>
    <col min="27" max="27" width="8.7265625" customWidth="1"/>
  </cols>
  <sheetData>
    <row r="1" spans="1:27" x14ac:dyDescent="0.25">
      <c r="A1" s="2" t="s">
        <v>210</v>
      </c>
      <c r="B1">
        <v>133100528.80440199</v>
      </c>
      <c r="C1">
        <v>60375934.101022899</v>
      </c>
      <c r="D1">
        <v>-118647366.446118</v>
      </c>
      <c r="E1">
        <v>-1822996.13176022</v>
      </c>
      <c r="F1">
        <v>-19744747.6747058</v>
      </c>
      <c r="H1" s="2" t="s">
        <v>211</v>
      </c>
      <c r="I1">
        <v>77701733.161688998</v>
      </c>
      <c r="J1">
        <v>27355897.344651699</v>
      </c>
      <c r="K1">
        <v>-78553937.572668299</v>
      </c>
      <c r="L1">
        <v>-1300458.69837332</v>
      </c>
      <c r="M1">
        <v>-9060874.5825983603</v>
      </c>
      <c r="O1" s="2" t="s">
        <v>212</v>
      </c>
      <c r="P1">
        <v>238140379.81847</v>
      </c>
      <c r="Q1">
        <v>131695611.67136399</v>
      </c>
      <c r="R1">
        <v>-170301135.24799901</v>
      </c>
      <c r="S1">
        <v>-2404208.2613552101</v>
      </c>
      <c r="T1">
        <v>-36651534.244017199</v>
      </c>
      <c r="V1" s="2" t="s">
        <v>213</v>
      </c>
      <c r="W1">
        <v>171013128.92856899</v>
      </c>
      <c r="X1">
        <v>78130720.490874693</v>
      </c>
      <c r="Y1">
        <v>-139025257.054497</v>
      </c>
      <c r="Z1">
        <v>-1946495.67241523</v>
      </c>
      <c r="AA1">
        <v>-21691963.769378699</v>
      </c>
    </row>
    <row r="2" spans="1:27" x14ac:dyDescent="0.25">
      <c r="B2">
        <v>811046780.54744303</v>
      </c>
      <c r="C2">
        <v>397417873.26862699</v>
      </c>
      <c r="D2">
        <v>12605407.412969001</v>
      </c>
      <c r="E2">
        <v>846703.74029644602</v>
      </c>
      <c r="F2">
        <v>-4061575.8651255402</v>
      </c>
      <c r="I2">
        <v>456181842.76890302</v>
      </c>
      <c r="J2">
        <v>178561979.65827799</v>
      </c>
      <c r="K2">
        <v>6399090.7240600502</v>
      </c>
      <c r="L2">
        <v>438365.14695413603</v>
      </c>
      <c r="M2">
        <v>-1566274.5942792301</v>
      </c>
      <c r="P2">
        <v>1424817505.2527201</v>
      </c>
      <c r="Q2">
        <v>837764015.828246</v>
      </c>
      <c r="R2">
        <v>27590347.572124299</v>
      </c>
      <c r="S2">
        <v>1698884.6742786299</v>
      </c>
      <c r="T2">
        <v>-8499317.9945372101</v>
      </c>
      <c r="W2">
        <v>962809172.65251696</v>
      </c>
      <c r="X2">
        <v>479274095.880871</v>
      </c>
      <c r="Y2">
        <v>21625543.910954401</v>
      </c>
      <c r="Z2">
        <v>929875.91873450601</v>
      </c>
      <c r="AA2">
        <v>-4900670.2739243601</v>
      </c>
    </row>
    <row r="3" spans="1:27" x14ac:dyDescent="0.25">
      <c r="B3">
        <v>687528691.45552504</v>
      </c>
      <c r="C3">
        <v>339142113.05536097</v>
      </c>
      <c r="D3">
        <v>26141918.9623967</v>
      </c>
      <c r="E3">
        <v>1401334.1115842999</v>
      </c>
      <c r="F3">
        <v>-4261025.9724663198</v>
      </c>
      <c r="I3">
        <v>385332658.65911698</v>
      </c>
      <c r="J3">
        <v>152201927.20488399</v>
      </c>
      <c r="K3">
        <v>15698303.5635959</v>
      </c>
      <c r="L3">
        <v>710830.35921500705</v>
      </c>
      <c r="M3">
        <v>-2004393.63950417</v>
      </c>
      <c r="P3">
        <v>1202406810.6150501</v>
      </c>
      <c r="Q3">
        <v>710820252.65891802</v>
      </c>
      <c r="R3">
        <v>44838178.5914004</v>
      </c>
      <c r="S3">
        <v>2253611.2492204499</v>
      </c>
      <c r="T3">
        <v>-8725535.9334140904</v>
      </c>
      <c r="W3">
        <v>809323523.68447697</v>
      </c>
      <c r="X3">
        <v>405981800.35500997</v>
      </c>
      <c r="Y3">
        <v>34896630.873287499</v>
      </c>
      <c r="Z3">
        <v>1533769.97935029</v>
      </c>
      <c r="AA3">
        <v>-5518788.2720098598</v>
      </c>
    </row>
    <row r="4" spans="1:27" x14ac:dyDescent="0.25">
      <c r="B4">
        <v>698492407.127653</v>
      </c>
      <c r="C4">
        <v>344770672.74405199</v>
      </c>
      <c r="D4">
        <v>25541172.2546096</v>
      </c>
      <c r="E4">
        <v>144514.754536297</v>
      </c>
      <c r="F4">
        <v>-6040154.6017957097</v>
      </c>
      <c r="I4">
        <v>391392154.093189</v>
      </c>
      <c r="J4">
        <v>154747990.12322399</v>
      </c>
      <c r="K4">
        <v>15939322.9238925</v>
      </c>
      <c r="L4">
        <v>64258.096635583803</v>
      </c>
      <c r="M4">
        <v>-3006413.4278455498</v>
      </c>
      <c r="P4">
        <v>1221257704.3441501</v>
      </c>
      <c r="Q4">
        <v>722357997.10142696</v>
      </c>
      <c r="R4">
        <v>41489870.636108801</v>
      </c>
      <c r="S4">
        <v>193400.885037267</v>
      </c>
      <c r="T4">
        <v>-11829008.350478301</v>
      </c>
      <c r="W4">
        <v>820558717.92339098</v>
      </c>
      <c r="X4">
        <v>411998216.19388598</v>
      </c>
      <c r="Y4">
        <v>32901669.856984802</v>
      </c>
      <c r="Z4">
        <v>146672.588514273</v>
      </c>
      <c r="AA4">
        <v>-7642043.7491622102</v>
      </c>
    </row>
    <row r="5" spans="1:27" x14ac:dyDescent="0.25">
      <c r="B5">
        <v>689222140.55553997</v>
      </c>
      <c r="C5">
        <v>340273198.00377399</v>
      </c>
      <c r="D5">
        <v>14662376.1551229</v>
      </c>
      <c r="E5">
        <v>-24288.6888406451</v>
      </c>
      <c r="F5">
        <v>-6446703.3000621703</v>
      </c>
      <c r="I5">
        <v>386231304.90565902</v>
      </c>
      <c r="J5">
        <v>152752637.91631699</v>
      </c>
      <c r="K5">
        <v>9309102.0159636904</v>
      </c>
      <c r="L5">
        <v>-9722.7921057150106</v>
      </c>
      <c r="M5">
        <v>-3279117.1372782202</v>
      </c>
      <c r="P5">
        <v>1205408363.9382801</v>
      </c>
      <c r="Q5">
        <v>713144833.79629195</v>
      </c>
      <c r="R5">
        <v>23435064.9784895</v>
      </c>
      <c r="S5">
        <v>-45634.3508971228</v>
      </c>
      <c r="T5">
        <v>-12472984.0450131</v>
      </c>
      <c r="W5">
        <v>809549829.64911306</v>
      </c>
      <c r="X5">
        <v>406578637.42365497</v>
      </c>
      <c r="Y5">
        <v>18750392.061714701</v>
      </c>
      <c r="Z5">
        <v>-34778.444640281297</v>
      </c>
      <c r="AA5">
        <v>-8170031.9280195497</v>
      </c>
    </row>
    <row r="6" spans="1:27" x14ac:dyDescent="0.25">
      <c r="B6">
        <v>690037705.71746397</v>
      </c>
      <c r="C6">
        <v>340727499.87350798</v>
      </c>
      <c r="D6" s="1">
        <v>2.97208316624165E-7</v>
      </c>
      <c r="E6" s="1">
        <v>1.95956090465188E-7</v>
      </c>
      <c r="F6">
        <v>-6563054.6105701504</v>
      </c>
      <c r="I6">
        <v>386705263.78087997</v>
      </c>
      <c r="J6">
        <v>152971424.792795</v>
      </c>
      <c r="K6" s="1">
        <v>1.8647697288543001E-6</v>
      </c>
      <c r="L6" s="1">
        <v>-1.11453118734062E-7</v>
      </c>
      <c r="M6">
        <v>-3364145.92018602</v>
      </c>
      <c r="P6">
        <v>1206986131.48368</v>
      </c>
      <c r="Q6">
        <v>714163966.38606906</v>
      </c>
      <c r="R6" s="1">
        <v>7.6345168054103904E-7</v>
      </c>
      <c r="S6" s="1">
        <v>-9.4270217232406097E-7</v>
      </c>
      <c r="T6">
        <v>-12673279.0983088</v>
      </c>
      <c r="W6">
        <v>810404269.36897099</v>
      </c>
      <c r="X6">
        <v>407073946.55822098</v>
      </c>
      <c r="Y6" s="1">
        <v>-2.21072696149349E-6</v>
      </c>
      <c r="Z6" s="1">
        <v>-1.80443748831749E-8</v>
      </c>
      <c r="AA6">
        <v>-8324938.0620736601</v>
      </c>
    </row>
    <row r="7" spans="1:27" x14ac:dyDescent="0.25">
      <c r="B7">
        <v>689222140.55554199</v>
      </c>
      <c r="C7">
        <v>340273198.00377399</v>
      </c>
      <c r="D7">
        <v>-14662376.155123601</v>
      </c>
      <c r="E7">
        <v>24288.688839529899</v>
      </c>
      <c r="F7">
        <v>-6446703.3000630699</v>
      </c>
      <c r="I7">
        <v>386231304.90566599</v>
      </c>
      <c r="J7">
        <v>152752637.91632</v>
      </c>
      <c r="K7">
        <v>-9309102.0159610193</v>
      </c>
      <c r="L7">
        <v>9722.7921054052404</v>
      </c>
      <c r="M7">
        <v>-3279117.1372779501</v>
      </c>
      <c r="P7">
        <v>1205408363.9382801</v>
      </c>
      <c r="Q7">
        <v>713144833.79629302</v>
      </c>
      <c r="R7">
        <v>-23435064.9784908</v>
      </c>
      <c r="S7">
        <v>45634.3508959807</v>
      </c>
      <c r="T7">
        <v>-12472984.045013299</v>
      </c>
      <c r="W7">
        <v>809549829.64910197</v>
      </c>
      <c r="X7">
        <v>406578637.42365003</v>
      </c>
      <c r="Y7">
        <v>-18750392.061718199</v>
      </c>
      <c r="Z7">
        <v>34778.4446404833</v>
      </c>
      <c r="AA7">
        <v>-8170031.9280179702</v>
      </c>
    </row>
    <row r="8" spans="1:27" x14ac:dyDescent="0.25">
      <c r="B8">
        <v>698492407.12765205</v>
      </c>
      <c r="C8">
        <v>344770672.74405098</v>
      </c>
      <c r="D8">
        <v>-25541172.254609</v>
      </c>
      <c r="E8">
        <v>-144514.75453604801</v>
      </c>
      <c r="F8">
        <v>-6040154.60179538</v>
      </c>
      <c r="I8">
        <v>391392154.09319502</v>
      </c>
      <c r="J8">
        <v>154747990.12322599</v>
      </c>
      <c r="K8">
        <v>-15939322.9238915</v>
      </c>
      <c r="L8">
        <v>-64258.0966355649</v>
      </c>
      <c r="M8">
        <v>-3006413.4278458301</v>
      </c>
      <c r="P8">
        <v>1221257704.3441501</v>
      </c>
      <c r="Q8">
        <v>722357997.10142899</v>
      </c>
      <c r="R8">
        <v>-41489870.6361081</v>
      </c>
      <c r="S8">
        <v>-193400.88503791901</v>
      </c>
      <c r="T8">
        <v>-11829008.350478601</v>
      </c>
      <c r="W8">
        <v>820558717.92339599</v>
      </c>
      <c r="X8">
        <v>411998216.19388902</v>
      </c>
      <c r="Y8">
        <v>-32901669.856987</v>
      </c>
      <c r="Z8">
        <v>-146672.58851487</v>
      </c>
      <c r="AA8">
        <v>-7642043.7491611</v>
      </c>
    </row>
    <row r="9" spans="1:27" x14ac:dyDescent="0.25">
      <c r="B9">
        <v>687528691.45552897</v>
      </c>
      <c r="C9">
        <v>339142113.055363</v>
      </c>
      <c r="D9">
        <v>-26141918.962396801</v>
      </c>
      <c r="E9">
        <v>-1401334.1115842101</v>
      </c>
      <c r="F9">
        <v>-4261025.9724672204</v>
      </c>
      <c r="I9">
        <v>385332658.659118</v>
      </c>
      <c r="J9">
        <v>152201927.20488399</v>
      </c>
      <c r="K9">
        <v>-15698303.5635965</v>
      </c>
      <c r="L9">
        <v>-710830.35921433102</v>
      </c>
      <c r="M9">
        <v>-2004393.6395049701</v>
      </c>
      <c r="P9">
        <v>1202406810.6150701</v>
      </c>
      <c r="Q9">
        <v>710820252.65892804</v>
      </c>
      <c r="R9">
        <v>-44838178.591399901</v>
      </c>
      <c r="S9">
        <v>-2253611.2492193799</v>
      </c>
      <c r="T9">
        <v>-8725535.9334131908</v>
      </c>
      <c r="W9">
        <v>809323523.68449295</v>
      </c>
      <c r="X9">
        <v>405981800.35501701</v>
      </c>
      <c r="Y9">
        <v>-34896630.8732896</v>
      </c>
      <c r="Z9">
        <v>-1533769.9793498199</v>
      </c>
      <c r="AA9">
        <v>-5518788.2720086304</v>
      </c>
    </row>
    <row r="10" spans="1:27" x14ac:dyDescent="0.25">
      <c r="B10">
        <v>811046780.54744601</v>
      </c>
      <c r="C10">
        <v>397417873.26862901</v>
      </c>
      <c r="D10">
        <v>-12605407.412969399</v>
      </c>
      <c r="E10">
        <v>-846703.74029607</v>
      </c>
      <c r="F10">
        <v>-4061575.8651274298</v>
      </c>
      <c r="I10">
        <v>456181842.76890498</v>
      </c>
      <c r="J10">
        <v>178561979.658279</v>
      </c>
      <c r="K10">
        <v>-6399090.7240611399</v>
      </c>
      <c r="L10">
        <v>-438365.14695461502</v>
      </c>
      <c r="M10">
        <v>-1566274.5942800599</v>
      </c>
      <c r="P10">
        <v>1424817505.2527299</v>
      </c>
      <c r="Q10">
        <v>837764015.82825005</v>
      </c>
      <c r="R10">
        <v>-27590347.5721213</v>
      </c>
      <c r="S10">
        <v>-1698884.6742792299</v>
      </c>
      <c r="T10">
        <v>-8499317.9945365004</v>
      </c>
      <c r="W10">
        <v>962809172.65253198</v>
      </c>
      <c r="X10">
        <v>479274095.88087797</v>
      </c>
      <c r="Y10">
        <v>-21625543.9109536</v>
      </c>
      <c r="Z10">
        <v>-929875.91873469297</v>
      </c>
      <c r="AA10">
        <v>-4900670.2739240797</v>
      </c>
    </row>
    <row r="11" spans="1:27" x14ac:dyDescent="0.25">
      <c r="B11">
        <v>133100528.804398</v>
      </c>
      <c r="C11">
        <v>60375934.101020999</v>
      </c>
      <c r="D11">
        <v>118647366.446115</v>
      </c>
      <c r="E11">
        <v>1822996.13175958</v>
      </c>
      <c r="F11">
        <v>-19744747.6747053</v>
      </c>
      <c r="I11">
        <v>77701733.161686897</v>
      </c>
      <c r="J11">
        <v>27355897.344650902</v>
      </c>
      <c r="K11">
        <v>78553937.572666496</v>
      </c>
      <c r="L11">
        <v>1300458.69837349</v>
      </c>
      <c r="M11">
        <v>-9060874.5825982708</v>
      </c>
      <c r="P11">
        <v>238140379.81846499</v>
      </c>
      <c r="Q11">
        <v>131695611.671361</v>
      </c>
      <c r="R11">
        <v>170301135.24800301</v>
      </c>
      <c r="S11">
        <v>2404208.2613557498</v>
      </c>
      <c r="T11">
        <v>-36651534.244018704</v>
      </c>
      <c r="W11">
        <v>171013128.92856601</v>
      </c>
      <c r="X11">
        <v>78130720.490872994</v>
      </c>
      <c r="Y11">
        <v>139025257.05449799</v>
      </c>
      <c r="Z11">
        <v>1946495.67241505</v>
      </c>
      <c r="AA11">
        <v>-21691963.769379701</v>
      </c>
    </row>
    <row r="12" spans="1:27" x14ac:dyDescent="0.25">
      <c r="B12">
        <v>80316923.541887805</v>
      </c>
      <c r="C12">
        <v>50442443.041065902</v>
      </c>
      <c r="D12">
        <v>-55214475.691601403</v>
      </c>
      <c r="E12">
        <v>2322075.94881682</v>
      </c>
      <c r="F12">
        <v>4836406.8916875301</v>
      </c>
      <c r="I12">
        <v>45843569.705056399</v>
      </c>
      <c r="J12">
        <v>24922922.35788</v>
      </c>
      <c r="K12">
        <v>-37859446.150022499</v>
      </c>
      <c r="L12">
        <v>1031660.21405634</v>
      </c>
      <c r="M12">
        <v>2147286.6046450599</v>
      </c>
      <c r="P12">
        <v>146033130.22013101</v>
      </c>
      <c r="Q12">
        <v>102013796.791453</v>
      </c>
      <c r="R12">
        <v>-81718474.858537406</v>
      </c>
      <c r="S12">
        <v>4164610.3780862698</v>
      </c>
      <c r="T12">
        <v>9261380.7688016407</v>
      </c>
      <c r="W12">
        <v>102145747.13907699</v>
      </c>
      <c r="X12">
        <v>62801859.295699701</v>
      </c>
      <c r="Y12">
        <v>-72187946.3641164</v>
      </c>
      <c r="Z12">
        <v>2501353.0880529098</v>
      </c>
      <c r="AA12">
        <v>5252689.1362358499</v>
      </c>
    </row>
    <row r="13" spans="1:27" x14ac:dyDescent="0.25">
      <c r="B13">
        <v>446104045.543109</v>
      </c>
      <c r="C13">
        <v>213035652.522039</v>
      </c>
      <c r="D13">
        <v>-13407373.2809071</v>
      </c>
      <c r="E13">
        <v>131508.25228266901</v>
      </c>
      <c r="F13">
        <v>-787504.85773838696</v>
      </c>
      <c r="I13">
        <v>263554532.924779</v>
      </c>
      <c r="J13">
        <v>99498049.341688201</v>
      </c>
      <c r="K13">
        <v>-10550374.053322099</v>
      </c>
      <c r="L13">
        <v>1997.1326114691301</v>
      </c>
      <c r="M13">
        <v>-155822.87252750999</v>
      </c>
      <c r="P13">
        <v>781290104.46137702</v>
      </c>
      <c r="Q13">
        <v>447141365.231502</v>
      </c>
      <c r="R13">
        <v>-16165353.477213399</v>
      </c>
      <c r="S13">
        <v>189669.518063603</v>
      </c>
      <c r="T13">
        <v>-1915925.5727627899</v>
      </c>
      <c r="W13">
        <v>561117837.052477</v>
      </c>
      <c r="X13">
        <v>267142859.67456499</v>
      </c>
      <c r="Y13">
        <v>-16845968.521527302</v>
      </c>
      <c r="Z13">
        <v>74387.967755462494</v>
      </c>
      <c r="AA13">
        <v>-596224.36614891898</v>
      </c>
    </row>
    <row r="14" spans="1:27" x14ac:dyDescent="0.25">
      <c r="B14">
        <v>527030962.17978102</v>
      </c>
      <c r="C14">
        <v>254986695.004435</v>
      </c>
      <c r="D14">
        <v>14287612.3784492</v>
      </c>
      <c r="E14">
        <v>-686524.98488708399</v>
      </c>
      <c r="F14">
        <v>-1727524.65817936</v>
      </c>
      <c r="I14">
        <v>308216187.25417298</v>
      </c>
      <c r="J14">
        <v>118218184.641773</v>
      </c>
      <c r="K14">
        <v>8195816.7374439901</v>
      </c>
      <c r="L14">
        <v>-401839.34902030998</v>
      </c>
      <c r="M14">
        <v>-599087.66894251702</v>
      </c>
      <c r="P14">
        <v>910930896.58482003</v>
      </c>
      <c r="Q14">
        <v>527676676.75042301</v>
      </c>
      <c r="R14">
        <v>25228838.795646399</v>
      </c>
      <c r="S14">
        <v>-1123432.32216078</v>
      </c>
      <c r="T14">
        <v>-3585574.6942932201</v>
      </c>
      <c r="W14">
        <v>640413867.43362904</v>
      </c>
      <c r="X14">
        <v>309845337.08269101</v>
      </c>
      <c r="Y14">
        <v>18964016.403826401</v>
      </c>
      <c r="Z14">
        <v>-824348.65999841399</v>
      </c>
      <c r="AA14">
        <v>-1585495.4700780499</v>
      </c>
    </row>
    <row r="15" spans="1:27" x14ac:dyDescent="0.25">
      <c r="B15">
        <v>524044308.502069</v>
      </c>
      <c r="C15">
        <v>252847007.62391001</v>
      </c>
      <c r="D15">
        <v>18899994.274301499</v>
      </c>
      <c r="E15">
        <v>-299565.89735366299</v>
      </c>
      <c r="F15">
        <v>-1434484.3190354099</v>
      </c>
      <c r="I15">
        <v>306141137.23003203</v>
      </c>
      <c r="J15">
        <v>116737087.04506899</v>
      </c>
      <c r="K15">
        <v>11754438.684989201</v>
      </c>
      <c r="L15">
        <v>-182478.952112928</v>
      </c>
      <c r="M15">
        <v>-531893.66085794405</v>
      </c>
      <c r="P15">
        <v>900044284.03152704</v>
      </c>
      <c r="Q15">
        <v>520900303.76993603</v>
      </c>
      <c r="R15">
        <v>30989700.646751001</v>
      </c>
      <c r="S15">
        <v>-499310.57818366803</v>
      </c>
      <c r="T15">
        <v>-2982183.7195052002</v>
      </c>
      <c r="W15">
        <v>629228126.66225696</v>
      </c>
      <c r="X15">
        <v>303407247.66654801</v>
      </c>
      <c r="Y15">
        <v>24525582.125350699</v>
      </c>
      <c r="Z15">
        <v>-367441.97412476601</v>
      </c>
      <c r="AA15">
        <v>-1353890.7949492601</v>
      </c>
    </row>
    <row r="16" spans="1:27" x14ac:dyDescent="0.25">
      <c r="B16">
        <v>517291748.42767698</v>
      </c>
      <c r="C16">
        <v>248717439.752078</v>
      </c>
      <c r="D16">
        <v>12066933.0606228</v>
      </c>
      <c r="E16">
        <v>-138265.45885029901</v>
      </c>
      <c r="F16">
        <v>-1667760.5794333001</v>
      </c>
      <c r="I16">
        <v>302096448.12997597</v>
      </c>
      <c r="J16">
        <v>114428317.822339</v>
      </c>
      <c r="K16">
        <v>7648148.7164761499</v>
      </c>
      <c r="L16">
        <v>-86819.337387526903</v>
      </c>
      <c r="M16">
        <v>-700754.77543705294</v>
      </c>
      <c r="P16">
        <v>886462073.45962596</v>
      </c>
      <c r="Q16">
        <v>512059849.90653199</v>
      </c>
      <c r="R16">
        <v>19389281.295568701</v>
      </c>
      <c r="S16">
        <v>-235192.77649738599</v>
      </c>
      <c r="T16">
        <v>-3433721.1560684</v>
      </c>
      <c r="W16">
        <v>617797661.99906194</v>
      </c>
      <c r="X16">
        <v>296578046.73882997</v>
      </c>
      <c r="Y16">
        <v>15529043.5875118</v>
      </c>
      <c r="Z16">
        <v>-168480.90383666899</v>
      </c>
      <c r="AA16">
        <v>-1669963.4768428099</v>
      </c>
    </row>
    <row r="17" spans="2:27" x14ac:dyDescent="0.25">
      <c r="B17">
        <v>514257731.72921997</v>
      </c>
      <c r="C17">
        <v>246847503.92382401</v>
      </c>
      <c r="D17" s="1">
        <v>-5.6641874834895102E-7</v>
      </c>
      <c r="E17" s="1">
        <v>-1.40551037475234E-7</v>
      </c>
      <c r="F17">
        <v>-1821227.5580834399</v>
      </c>
      <c r="I17">
        <v>300276152.48073399</v>
      </c>
      <c r="J17">
        <v>113397267.988423</v>
      </c>
      <c r="K17" s="1">
        <v>1.4835177353234001E-6</v>
      </c>
      <c r="L17" s="1">
        <v>1.1879512840096101E-7</v>
      </c>
      <c r="M17">
        <v>-795162.05824775703</v>
      </c>
      <c r="P17">
        <v>880777445.81554401</v>
      </c>
      <c r="Q17">
        <v>508257089.72824401</v>
      </c>
      <c r="R17" s="1">
        <v>1.3057506293989701E-6</v>
      </c>
      <c r="S17" s="1">
        <v>-8.7426315076299901E-7</v>
      </c>
      <c r="T17">
        <v>-3707280.6174644898</v>
      </c>
      <c r="W17">
        <v>613316690.57339394</v>
      </c>
      <c r="X17">
        <v>293820072.85945898</v>
      </c>
      <c r="Y17" s="1">
        <v>-9.1642323241103398E-7</v>
      </c>
      <c r="Z17" s="1">
        <v>2.3544998839497601E-7</v>
      </c>
      <c r="AA17">
        <v>-1858205.8084517899</v>
      </c>
    </row>
    <row r="18" spans="2:27" x14ac:dyDescent="0.25">
      <c r="B18">
        <v>517291748.42766201</v>
      </c>
      <c r="C18">
        <v>248717439.75207001</v>
      </c>
      <c r="D18">
        <v>-12066933.060622901</v>
      </c>
      <c r="E18">
        <v>138265.458850397</v>
      </c>
      <c r="F18">
        <v>-1667760.5794335001</v>
      </c>
      <c r="I18">
        <v>302096448.12996</v>
      </c>
      <c r="J18">
        <v>114428317.822331</v>
      </c>
      <c r="K18">
        <v>-7648148.7164736902</v>
      </c>
      <c r="L18">
        <v>86819.337387352294</v>
      </c>
      <c r="M18">
        <v>-700754.77543714596</v>
      </c>
      <c r="P18">
        <v>886462073.45961797</v>
      </c>
      <c r="Q18">
        <v>512059849.906528</v>
      </c>
      <c r="R18">
        <v>-19389281.295568801</v>
      </c>
      <c r="S18">
        <v>235192.77649868699</v>
      </c>
      <c r="T18">
        <v>-3433721.1560698901</v>
      </c>
      <c r="W18">
        <v>617797661.99909997</v>
      </c>
      <c r="X18">
        <v>296578046.73885101</v>
      </c>
      <c r="Y18">
        <v>-15529043.5875133</v>
      </c>
      <c r="Z18">
        <v>168480.90383631099</v>
      </c>
      <c r="AA18">
        <v>-1669963.47684405</v>
      </c>
    </row>
    <row r="19" spans="2:27" x14ac:dyDescent="0.25">
      <c r="B19">
        <v>524044308.502051</v>
      </c>
      <c r="C19">
        <v>252847007.62389901</v>
      </c>
      <c r="D19">
        <v>-18899994.274301499</v>
      </c>
      <c r="E19">
        <v>299565.89735373802</v>
      </c>
      <c r="F19">
        <v>-1434484.3190357999</v>
      </c>
      <c r="I19">
        <v>306141137.23001599</v>
      </c>
      <c r="J19">
        <v>116737087.04505999</v>
      </c>
      <c r="K19">
        <v>-11754438.684988899</v>
      </c>
      <c r="L19">
        <v>182478.952112831</v>
      </c>
      <c r="M19">
        <v>-531893.66085816303</v>
      </c>
      <c r="P19">
        <v>900044284.03151202</v>
      </c>
      <c r="Q19">
        <v>520900303.769925</v>
      </c>
      <c r="R19">
        <v>-30989700.646751098</v>
      </c>
      <c r="S19">
        <v>499310.57818405202</v>
      </c>
      <c r="T19">
        <v>-2982183.71950649</v>
      </c>
      <c r="W19">
        <v>629228126.66229105</v>
      </c>
      <c r="X19">
        <v>303407247.66656899</v>
      </c>
      <c r="Y19">
        <v>-24525582.125351999</v>
      </c>
      <c r="Z19">
        <v>367441.97412506503</v>
      </c>
      <c r="AA19">
        <v>-1353890.7949498999</v>
      </c>
    </row>
    <row r="20" spans="2:27" x14ac:dyDescent="0.25">
      <c r="B20">
        <v>527030962.179748</v>
      </c>
      <c r="C20">
        <v>254986695.004417</v>
      </c>
      <c r="D20">
        <v>-14287612.378448701</v>
      </c>
      <c r="E20">
        <v>686524.98488721298</v>
      </c>
      <c r="F20">
        <v>-1727524.6581805099</v>
      </c>
      <c r="I20">
        <v>308216187.254152</v>
      </c>
      <c r="J20">
        <v>118218184.641763</v>
      </c>
      <c r="K20">
        <v>-8195816.7374441801</v>
      </c>
      <c r="L20">
        <v>401839.34902009799</v>
      </c>
      <c r="M20">
        <v>-599087.66894293996</v>
      </c>
      <c r="P20">
        <v>910930896.58485496</v>
      </c>
      <c r="Q20">
        <v>527676676.75044799</v>
      </c>
      <c r="R20">
        <v>-25228838.795644801</v>
      </c>
      <c r="S20">
        <v>1123432.3221599399</v>
      </c>
      <c r="T20">
        <v>-3585574.6942921798</v>
      </c>
      <c r="W20">
        <v>640413867.43364406</v>
      </c>
      <c r="X20">
        <v>309845337.08270001</v>
      </c>
      <c r="Y20">
        <v>-18964016.403829198</v>
      </c>
      <c r="Z20">
        <v>824348.65999858698</v>
      </c>
      <c r="AA20">
        <v>-1585495.47007809</v>
      </c>
    </row>
    <row r="21" spans="2:27" x14ac:dyDescent="0.25">
      <c r="B21">
        <v>446104045.54309797</v>
      </c>
      <c r="C21">
        <v>213035652.52203199</v>
      </c>
      <c r="D21">
        <v>13407373.280907501</v>
      </c>
      <c r="E21">
        <v>-131508.25228313799</v>
      </c>
      <c r="F21">
        <v>-787504.85773925297</v>
      </c>
      <c r="I21">
        <v>263554532.92477101</v>
      </c>
      <c r="J21">
        <v>99498049.341684297</v>
      </c>
      <c r="K21">
        <v>10550374.053321701</v>
      </c>
      <c r="L21">
        <v>-1997.1326115632</v>
      </c>
      <c r="M21">
        <v>-155822.872527567</v>
      </c>
      <c r="P21">
        <v>781290104.46140301</v>
      </c>
      <c r="Q21">
        <v>447141365.23152101</v>
      </c>
      <c r="R21">
        <v>16165353.4772167</v>
      </c>
      <c r="S21">
        <v>-189669.51806427</v>
      </c>
      <c r="T21">
        <v>-1915925.5727615401</v>
      </c>
      <c r="W21">
        <v>561117837.05249298</v>
      </c>
      <c r="X21">
        <v>267142859.67457601</v>
      </c>
      <c r="Y21">
        <v>16845968.521526299</v>
      </c>
      <c r="Z21">
        <v>-74387.967756029699</v>
      </c>
      <c r="AA21">
        <v>-596224.36614877102</v>
      </c>
    </row>
    <row r="22" spans="2:27" x14ac:dyDescent="0.25">
      <c r="B22">
        <v>80316923.541885793</v>
      </c>
      <c r="C22">
        <v>50442443.041064903</v>
      </c>
      <c r="D22">
        <v>55214475.691599697</v>
      </c>
      <c r="E22">
        <v>-2322075.9488156401</v>
      </c>
      <c r="F22">
        <v>4836406.8916895697</v>
      </c>
      <c r="I22">
        <v>45843569.705055602</v>
      </c>
      <c r="J22">
        <v>24922922.357880101</v>
      </c>
      <c r="K22">
        <v>37859446.150021099</v>
      </c>
      <c r="L22">
        <v>-1031660.2140557599</v>
      </c>
      <c r="M22">
        <v>2147286.60464514</v>
      </c>
      <c r="P22">
        <v>146033130.22013101</v>
      </c>
      <c r="Q22">
        <v>102013796.791454</v>
      </c>
      <c r="R22">
        <v>81718474.858539805</v>
      </c>
      <c r="S22">
        <v>-4164610.3780849902</v>
      </c>
      <c r="T22">
        <v>9261380.7688010298</v>
      </c>
      <c r="W22">
        <v>102145747.139075</v>
      </c>
      <c r="X22">
        <v>62801859.295698799</v>
      </c>
      <c r="Y22">
        <v>72187946.364115104</v>
      </c>
      <c r="Z22">
        <v>-2501353.0880519398</v>
      </c>
      <c r="AA22">
        <v>5252689.1362368204</v>
      </c>
    </row>
    <row r="23" spans="2:27" x14ac:dyDescent="0.25">
      <c r="B23">
        <v>17225370.670626801</v>
      </c>
      <c r="C23">
        <v>22802975.9190014</v>
      </c>
      <c r="D23">
        <v>-29457921.821887001</v>
      </c>
      <c r="E23">
        <v>291768.98218371801</v>
      </c>
      <c r="F23">
        <v>1311398.0960881701</v>
      </c>
      <c r="I23">
        <v>8943654.5040191691</v>
      </c>
      <c r="J23">
        <v>12491872.2560634</v>
      </c>
      <c r="K23">
        <v>-20115225.333363999</v>
      </c>
      <c r="L23">
        <v>154230.260072834</v>
      </c>
      <c r="M23">
        <v>781233.35320532299</v>
      </c>
      <c r="P23">
        <v>33083422.616721801</v>
      </c>
      <c r="Q23">
        <v>40985152.024493702</v>
      </c>
      <c r="R23">
        <v>-44315992.913648397</v>
      </c>
      <c r="S23">
        <v>433693.05183872202</v>
      </c>
      <c r="T23">
        <v>1837459.27552405</v>
      </c>
      <c r="W23">
        <v>21290357.212015498</v>
      </c>
      <c r="X23">
        <v>27320325.2643921</v>
      </c>
      <c r="Y23">
        <v>-39413283.989017501</v>
      </c>
      <c r="Z23">
        <v>387886.36067677598</v>
      </c>
      <c r="AA23">
        <v>1455036.71542531</v>
      </c>
    </row>
    <row r="24" spans="2:27" x14ac:dyDescent="0.25">
      <c r="B24">
        <v>314148825.72986698</v>
      </c>
      <c r="C24">
        <v>155042610.50344199</v>
      </c>
      <c r="D24">
        <v>-19493207.796786301</v>
      </c>
      <c r="E24">
        <v>182277.155732315</v>
      </c>
      <c r="F24">
        <v>-1153412.4940089199</v>
      </c>
      <c r="I24">
        <v>187337177.400244</v>
      </c>
      <c r="J24">
        <v>74574731.410210803</v>
      </c>
      <c r="K24">
        <v>-13655990.3221677</v>
      </c>
      <c r="L24">
        <v>42962.969932692897</v>
      </c>
      <c r="M24">
        <v>-577115.567906752</v>
      </c>
      <c r="P24">
        <v>547482532.80716002</v>
      </c>
      <c r="Q24">
        <v>319653585.53181499</v>
      </c>
      <c r="R24">
        <v>-29086708.549160499</v>
      </c>
      <c r="S24">
        <v>313010.106146259</v>
      </c>
      <c r="T24">
        <v>-1986277.26443753</v>
      </c>
      <c r="W24">
        <v>401445479.87651199</v>
      </c>
      <c r="X24">
        <v>197279675.534325</v>
      </c>
      <c r="Y24">
        <v>-26183446.2267722</v>
      </c>
      <c r="Z24">
        <v>203303.85256866799</v>
      </c>
      <c r="AA24">
        <v>-1124385.88454</v>
      </c>
    </row>
    <row r="25" spans="2:27" x14ac:dyDescent="0.25">
      <c r="B25">
        <v>477448127.40283602</v>
      </c>
      <c r="C25">
        <v>226936340.79611099</v>
      </c>
      <c r="D25">
        <v>796583.89404428098</v>
      </c>
      <c r="E25">
        <v>88049.803169996696</v>
      </c>
      <c r="F25">
        <v>249826.62933618599</v>
      </c>
      <c r="I25">
        <v>284672728.21478599</v>
      </c>
      <c r="J25">
        <v>107421613.994294</v>
      </c>
      <c r="K25">
        <v>-252792.29654549499</v>
      </c>
      <c r="L25">
        <v>-25119.029436647601</v>
      </c>
      <c r="M25">
        <v>265185.33769607299</v>
      </c>
      <c r="P25">
        <v>828996828.07048202</v>
      </c>
      <c r="Q25">
        <v>471392037.50058198</v>
      </c>
      <c r="R25">
        <v>2554011.9425499202</v>
      </c>
      <c r="S25">
        <v>162162.99019480799</v>
      </c>
      <c r="T25">
        <v>388668.80197647202</v>
      </c>
      <c r="W25">
        <v>606981793.21345198</v>
      </c>
      <c r="X25">
        <v>287927274.44366401</v>
      </c>
      <c r="Y25">
        <v>745070.62864893698</v>
      </c>
      <c r="Z25">
        <v>43655.520442242101</v>
      </c>
      <c r="AA25">
        <v>561942.01052912697</v>
      </c>
    </row>
    <row r="26" spans="2:27" x14ac:dyDescent="0.25">
      <c r="B26">
        <v>525951101.75437802</v>
      </c>
      <c r="C26">
        <v>246096374.62086201</v>
      </c>
      <c r="D26">
        <v>9017923.1715541501</v>
      </c>
      <c r="E26">
        <v>-254691.33787546199</v>
      </c>
      <c r="F26">
        <v>538065.107392148</v>
      </c>
      <c r="I26">
        <v>313535615.097853</v>
      </c>
      <c r="J26">
        <v>115455509.790695</v>
      </c>
      <c r="K26">
        <v>5405141.3286956903</v>
      </c>
      <c r="L26">
        <v>-182176.63290329801</v>
      </c>
      <c r="M26">
        <v>436567.96727337397</v>
      </c>
      <c r="P26">
        <v>908715907.45482397</v>
      </c>
      <c r="Q26">
        <v>511442893.25010198</v>
      </c>
      <c r="R26">
        <v>14972665.949374201</v>
      </c>
      <c r="S26">
        <v>-442040.70258142799</v>
      </c>
      <c r="T26">
        <v>772493.34082370205</v>
      </c>
      <c r="W26">
        <v>663888054.98561394</v>
      </c>
      <c r="X26">
        <v>309919167.21890301</v>
      </c>
      <c r="Y26">
        <v>11660576.123609999</v>
      </c>
      <c r="Z26">
        <v>-336338.22873660398</v>
      </c>
      <c r="AA26">
        <v>939327.85254721402</v>
      </c>
    </row>
    <row r="27" spans="2:27" x14ac:dyDescent="0.25">
      <c r="B27">
        <v>542146901.75250196</v>
      </c>
      <c r="C27">
        <v>250909912.08181399</v>
      </c>
      <c r="D27">
        <v>7224122.1565220496</v>
      </c>
      <c r="E27">
        <v>-192855.72811719301</v>
      </c>
      <c r="F27">
        <v>310825.84408023499</v>
      </c>
      <c r="I27">
        <v>322964780.76432198</v>
      </c>
      <c r="J27">
        <v>116864605.02430201</v>
      </c>
      <c r="K27">
        <v>4504983.5668685799</v>
      </c>
      <c r="L27">
        <v>-127750.385860486</v>
      </c>
      <c r="M27">
        <v>318913.02836488403</v>
      </c>
      <c r="P27">
        <v>934510382.36417699</v>
      </c>
      <c r="Q27">
        <v>522235593.46415401</v>
      </c>
      <c r="R27">
        <v>11629800.704538001</v>
      </c>
      <c r="S27">
        <v>-321780.06923704699</v>
      </c>
      <c r="T27">
        <v>403433.25865580601</v>
      </c>
      <c r="W27">
        <v>681362952.75657701</v>
      </c>
      <c r="X27">
        <v>314426473.061046</v>
      </c>
      <c r="Y27">
        <v>9370204.1766801607</v>
      </c>
      <c r="Z27">
        <v>-243789.69557261001</v>
      </c>
      <c r="AA27">
        <v>685165.24496541603</v>
      </c>
    </row>
    <row r="28" spans="2:27" x14ac:dyDescent="0.25">
      <c r="B28">
        <v>544593435.62842405</v>
      </c>
      <c r="C28">
        <v>250988949.61874399</v>
      </c>
      <c r="D28" s="1">
        <v>1.9022263586521199E-7</v>
      </c>
      <c r="E28" s="1">
        <v>1.7286947695538399E-7</v>
      </c>
      <c r="F28">
        <v>284096.881249403</v>
      </c>
      <c r="I28">
        <v>324387736.56490701</v>
      </c>
      <c r="J28">
        <v>116590531.48703299</v>
      </c>
      <c r="K28" s="1">
        <v>3.2044627005234399E-6</v>
      </c>
      <c r="L28" s="1">
        <v>4.8712536226957997E-8</v>
      </c>
      <c r="M28">
        <v>300978.38000759599</v>
      </c>
      <c r="P28">
        <v>937996114.79703403</v>
      </c>
      <c r="Q28">
        <v>522754196.90436602</v>
      </c>
      <c r="R28" s="1">
        <v>-3.3470278140157499E-6</v>
      </c>
      <c r="S28" s="1">
        <v>-7.0416717790067196E-8</v>
      </c>
      <c r="T28">
        <v>386093.43540670699</v>
      </c>
      <c r="W28">
        <v>683620183.71924996</v>
      </c>
      <c r="X28">
        <v>314053133.02642202</v>
      </c>
      <c r="Y28" s="1">
        <v>-1.7846468836069101E-6</v>
      </c>
      <c r="Z28" s="1">
        <v>-3.2123352866619799E-8</v>
      </c>
      <c r="AA28">
        <v>647820.272440954</v>
      </c>
    </row>
    <row r="29" spans="2:27" x14ac:dyDescent="0.25">
      <c r="B29">
        <v>542146901.75252497</v>
      </c>
      <c r="C29">
        <v>250909912.081826</v>
      </c>
      <c r="D29">
        <v>-7224122.15652203</v>
      </c>
      <c r="E29">
        <v>192855.72811692799</v>
      </c>
      <c r="F29">
        <v>310825.84408261097</v>
      </c>
      <c r="I29">
        <v>322964780.764346</v>
      </c>
      <c r="J29">
        <v>116864605.024308</v>
      </c>
      <c r="K29">
        <v>-4504983.5668655997</v>
      </c>
      <c r="L29">
        <v>127750.385860362</v>
      </c>
      <c r="M29">
        <v>318913.02836506203</v>
      </c>
      <c r="P29">
        <v>934510382.364151</v>
      </c>
      <c r="Q29">
        <v>522235593.46413898</v>
      </c>
      <c r="R29">
        <v>-11629800.7045389</v>
      </c>
      <c r="S29">
        <v>321780.06923715299</v>
      </c>
      <c r="T29">
        <v>403433.258660683</v>
      </c>
      <c r="W29">
        <v>681362952.75656605</v>
      </c>
      <c r="X29">
        <v>314426473.06104302</v>
      </c>
      <c r="Y29">
        <v>-9370204.1766818091</v>
      </c>
      <c r="Z29">
        <v>243789.69557312</v>
      </c>
      <c r="AA29">
        <v>685165.24496726296</v>
      </c>
    </row>
    <row r="30" spans="2:27" x14ac:dyDescent="0.25">
      <c r="B30">
        <v>525951101.75436401</v>
      </c>
      <c r="C30">
        <v>246096374.62085101</v>
      </c>
      <c r="D30">
        <v>-9017923.1715553906</v>
      </c>
      <c r="E30">
        <v>254691.337875367</v>
      </c>
      <c r="F30">
        <v>538065.10739317397</v>
      </c>
      <c r="I30">
        <v>313535615.09785199</v>
      </c>
      <c r="J30">
        <v>115455509.79069</v>
      </c>
      <c r="K30">
        <v>-5405141.32869907</v>
      </c>
      <c r="L30">
        <v>182176.63290325701</v>
      </c>
      <c r="M30">
        <v>436567.96727298899</v>
      </c>
      <c r="P30">
        <v>908715907.45485902</v>
      </c>
      <c r="Q30">
        <v>511442893.250126</v>
      </c>
      <c r="R30">
        <v>-14972665.949369401</v>
      </c>
      <c r="S30">
        <v>442040.70258149598</v>
      </c>
      <c r="T30">
        <v>772493.340823723</v>
      </c>
      <c r="W30">
        <v>663888054.98561001</v>
      </c>
      <c r="X30">
        <v>309919167.21890301</v>
      </c>
      <c r="Y30">
        <v>-11660576.1236107</v>
      </c>
      <c r="Z30">
        <v>336338.22873572703</v>
      </c>
      <c r="AA30">
        <v>939327.85255006899</v>
      </c>
    </row>
    <row r="31" spans="2:27" x14ac:dyDescent="0.25">
      <c r="B31">
        <v>477448127.40281999</v>
      </c>
      <c r="C31">
        <v>226936340.796103</v>
      </c>
      <c r="D31">
        <v>-796583.89404517901</v>
      </c>
      <c r="E31">
        <v>-88049.803170104293</v>
      </c>
      <c r="F31">
        <v>249826.629332921</v>
      </c>
      <c r="I31">
        <v>284672728.21475399</v>
      </c>
      <c r="J31">
        <v>107421613.994279</v>
      </c>
      <c r="K31">
        <v>252792.296543915</v>
      </c>
      <c r="L31">
        <v>25119.0294365222</v>
      </c>
      <c r="M31">
        <v>265185.33769664099</v>
      </c>
      <c r="P31">
        <v>828996828.07051098</v>
      </c>
      <c r="Q31">
        <v>471392037.50060201</v>
      </c>
      <c r="R31">
        <v>-2554011.9425475202</v>
      </c>
      <c r="S31">
        <v>-162162.99019333901</v>
      </c>
      <c r="T31">
        <v>388668.80197562202</v>
      </c>
      <c r="W31">
        <v>606981793.21347404</v>
      </c>
      <c r="X31">
        <v>287927274.44367802</v>
      </c>
      <c r="Y31">
        <v>-745070.62865042698</v>
      </c>
      <c r="Z31">
        <v>-43655.520441604</v>
      </c>
      <c r="AA31">
        <v>561942.010529864</v>
      </c>
    </row>
    <row r="32" spans="2:27" x14ac:dyDescent="0.25">
      <c r="B32">
        <v>314148825.72982502</v>
      </c>
      <c r="C32">
        <v>155042610.50341699</v>
      </c>
      <c r="D32">
        <v>19493207.7967868</v>
      </c>
      <c r="E32">
        <v>-182277.155732741</v>
      </c>
      <c r="F32">
        <v>-1153412.4940085299</v>
      </c>
      <c r="I32">
        <v>187337177.40021601</v>
      </c>
      <c r="J32">
        <v>74574731.410197303</v>
      </c>
      <c r="K32">
        <v>13655990.322168199</v>
      </c>
      <c r="L32">
        <v>-42962.9699328715</v>
      </c>
      <c r="M32">
        <v>-577115.56790682895</v>
      </c>
      <c r="P32">
        <v>547482532.80720305</v>
      </c>
      <c r="Q32">
        <v>319653585.53184497</v>
      </c>
      <c r="R32">
        <v>29086708.549162801</v>
      </c>
      <c r="S32">
        <v>-313010.10614678898</v>
      </c>
      <c r="T32">
        <v>-1986277.2644388101</v>
      </c>
      <c r="W32">
        <v>401445479.87653702</v>
      </c>
      <c r="X32">
        <v>197279675.53434101</v>
      </c>
      <c r="Y32">
        <v>26183446.226772401</v>
      </c>
      <c r="Z32">
        <v>-203303.85256933799</v>
      </c>
      <c r="AA32">
        <v>-1124385.8845396501</v>
      </c>
    </row>
    <row r="33" spans="2:27" x14ac:dyDescent="0.25">
      <c r="B33">
        <v>17225370.670625102</v>
      </c>
      <c r="C33">
        <v>22802975.9190014</v>
      </c>
      <c r="D33">
        <v>29457921.821887199</v>
      </c>
      <c r="E33">
        <v>-291768.98218196502</v>
      </c>
      <c r="F33">
        <v>1311398.0960901601</v>
      </c>
      <c r="I33">
        <v>8943654.5040184092</v>
      </c>
      <c r="J33">
        <v>12491872.2560634</v>
      </c>
      <c r="K33">
        <v>20115225.333363298</v>
      </c>
      <c r="L33">
        <v>-154230.26007179401</v>
      </c>
      <c r="M33">
        <v>781233.35320476803</v>
      </c>
      <c r="P33">
        <v>33083422.6167215</v>
      </c>
      <c r="Q33">
        <v>40985152.024494097</v>
      </c>
      <c r="R33">
        <v>44315992.913647398</v>
      </c>
      <c r="S33">
        <v>-433693.05183722102</v>
      </c>
      <c r="T33">
        <v>1837459.2755263001</v>
      </c>
      <c r="W33">
        <v>21290357.2120145</v>
      </c>
      <c r="X33">
        <v>27320325.2643908</v>
      </c>
      <c r="Y33">
        <v>39413283.989014797</v>
      </c>
      <c r="Z33">
        <v>-387886.36067554401</v>
      </c>
      <c r="AA33">
        <v>1455036.71542353</v>
      </c>
    </row>
    <row r="34" spans="2:27" x14ac:dyDescent="0.25">
      <c r="B34">
        <v>13107947.595535999</v>
      </c>
      <c r="C34">
        <v>20356431.655108999</v>
      </c>
      <c r="D34">
        <v>-17809017.175963901</v>
      </c>
      <c r="E34">
        <v>479549.07798909699</v>
      </c>
      <c r="F34">
        <v>-172529.07589612799</v>
      </c>
      <c r="I34">
        <v>6478912.8176731998</v>
      </c>
      <c r="J34">
        <v>11274310.3306915</v>
      </c>
      <c r="K34">
        <v>-11905993.5814128</v>
      </c>
      <c r="L34">
        <v>228577.00506167</v>
      </c>
      <c r="M34">
        <v>-76010.672960521901</v>
      </c>
      <c r="P34">
        <v>25973556.0215296</v>
      </c>
      <c r="Q34">
        <v>36185459.2490623</v>
      </c>
      <c r="R34">
        <v>-27622085.398972899</v>
      </c>
      <c r="S34">
        <v>803503.85664547503</v>
      </c>
      <c r="T34">
        <v>-376315.22095403698</v>
      </c>
      <c r="W34">
        <v>16170508.3118334</v>
      </c>
      <c r="X34">
        <v>24324312.044774301</v>
      </c>
      <c r="Y34">
        <v>-23629174.875092998</v>
      </c>
      <c r="Z34">
        <v>602098.22139942297</v>
      </c>
      <c r="AA34">
        <v>-151655.65373843801</v>
      </c>
    </row>
    <row r="35" spans="2:27" x14ac:dyDescent="0.25">
      <c r="B35">
        <v>264997199.697218</v>
      </c>
      <c r="C35">
        <v>133430617.146281</v>
      </c>
      <c r="D35">
        <v>-13627435.8830126</v>
      </c>
      <c r="E35">
        <v>365551.66635379498</v>
      </c>
      <c r="F35">
        <v>-55376.375998604497</v>
      </c>
      <c r="I35">
        <v>157880810.45157501</v>
      </c>
      <c r="J35">
        <v>64816459.412182301</v>
      </c>
      <c r="K35">
        <v>-9302545.5016600508</v>
      </c>
      <c r="L35">
        <v>163750.762444336</v>
      </c>
      <c r="M35">
        <v>-44219.887877786801</v>
      </c>
      <c r="P35">
        <v>463528219.53595102</v>
      </c>
      <c r="Q35">
        <v>274151376.59219903</v>
      </c>
      <c r="R35">
        <v>-21051926.3868118</v>
      </c>
      <c r="S35">
        <v>609320.19470550399</v>
      </c>
      <c r="T35">
        <v>-16369.112736232501</v>
      </c>
      <c r="W35">
        <v>341005568.33164197</v>
      </c>
      <c r="X35">
        <v>171205991.46665201</v>
      </c>
      <c r="Y35">
        <v>-18195320.2042115</v>
      </c>
      <c r="Z35">
        <v>448986.559593616</v>
      </c>
      <c r="AA35">
        <v>-40195.370299567701</v>
      </c>
    </row>
    <row r="36" spans="2:27" x14ac:dyDescent="0.25">
      <c r="B36">
        <v>450209593.17554802</v>
      </c>
      <c r="C36">
        <v>214636705.786704</v>
      </c>
      <c r="D36">
        <v>-3873082.4969851901</v>
      </c>
      <c r="E36">
        <v>-12588.7856582327</v>
      </c>
      <c r="F36">
        <v>218079.46364219399</v>
      </c>
      <c r="I36">
        <v>269533969.581909</v>
      </c>
      <c r="J36">
        <v>102702934.52867199</v>
      </c>
      <c r="K36">
        <v>-2999428.3481577602</v>
      </c>
      <c r="L36">
        <v>-49886.292564288</v>
      </c>
      <c r="M36">
        <v>145014.19787912301</v>
      </c>
      <c r="P36">
        <v>785336208.110901</v>
      </c>
      <c r="Q36">
        <v>446627469.525307</v>
      </c>
      <c r="R36">
        <v>-5766550.9180822195</v>
      </c>
      <c r="S36">
        <v>-40402.431681010698</v>
      </c>
      <c r="T36">
        <v>409618.03623615298</v>
      </c>
      <c r="W36">
        <v>579627937.61628997</v>
      </c>
      <c r="X36">
        <v>276496899.74034101</v>
      </c>
      <c r="Y36">
        <v>-5341238.6712495098</v>
      </c>
      <c r="Z36">
        <v>-18687.234183536999</v>
      </c>
      <c r="AA36">
        <v>354423.86577537801</v>
      </c>
    </row>
    <row r="37" spans="2:27" x14ac:dyDescent="0.25">
      <c r="B37">
        <v>552053286.42650294</v>
      </c>
      <c r="C37">
        <v>256854460.45787299</v>
      </c>
      <c r="D37">
        <v>2373229.1093315701</v>
      </c>
      <c r="E37">
        <v>-229835.05354150099</v>
      </c>
      <c r="F37">
        <v>379938.10946016398</v>
      </c>
      <c r="I37">
        <v>330803825.71813202</v>
      </c>
      <c r="J37">
        <v>121585597.610976</v>
      </c>
      <c r="K37">
        <v>1209246.5164022299</v>
      </c>
      <c r="L37">
        <v>-168395.05076253999</v>
      </c>
      <c r="M37">
        <v>282092.67128089</v>
      </c>
      <c r="P37">
        <v>961754251.56090701</v>
      </c>
      <c r="Q37">
        <v>537952462.33256197</v>
      </c>
      <c r="R37">
        <v>3932994.9678710802</v>
      </c>
      <c r="S37">
        <v>-374859.372168053</v>
      </c>
      <c r="T37">
        <v>702108.97652258305</v>
      </c>
      <c r="W37">
        <v>709246356.39718997</v>
      </c>
      <c r="X37">
        <v>330405704.39485502</v>
      </c>
      <c r="Y37">
        <v>3029274.28026484</v>
      </c>
      <c r="Z37">
        <v>-290231.785957766</v>
      </c>
      <c r="AA37">
        <v>604639.55117916001</v>
      </c>
    </row>
    <row r="38" spans="2:27" x14ac:dyDescent="0.25">
      <c r="B38">
        <v>598034441.149459</v>
      </c>
      <c r="C38">
        <v>274241935.38468099</v>
      </c>
      <c r="D38">
        <v>3074843.2302464601</v>
      </c>
      <c r="E38">
        <v>-162233.17663396001</v>
      </c>
      <c r="F38">
        <v>650499.10459213494</v>
      </c>
      <c r="I38">
        <v>358462938.78550303</v>
      </c>
      <c r="J38">
        <v>128832795.17841101</v>
      </c>
      <c r="K38">
        <v>1844850.01504318</v>
      </c>
      <c r="L38">
        <v>-114861.841871037</v>
      </c>
      <c r="M38">
        <v>432473.218426181</v>
      </c>
      <c r="P38">
        <v>1040616093.34601</v>
      </c>
      <c r="Q38">
        <v>576550138.59923398</v>
      </c>
      <c r="R38">
        <v>4934271.0849039797</v>
      </c>
      <c r="S38">
        <v>-263067.24223815301</v>
      </c>
      <c r="T38">
        <v>1199636.83184662</v>
      </c>
      <c r="W38">
        <v>766688620.64452505</v>
      </c>
      <c r="X38">
        <v>352033756.68601203</v>
      </c>
      <c r="Y38">
        <v>4042260.3617068999</v>
      </c>
      <c r="Z38">
        <v>-208039.45199689901</v>
      </c>
      <c r="AA38">
        <v>921893.23646820302</v>
      </c>
    </row>
    <row r="39" spans="2:27" x14ac:dyDescent="0.25">
      <c r="B39">
        <v>610384031.38588297</v>
      </c>
      <c r="C39">
        <v>278472915.30395502</v>
      </c>
      <c r="D39" s="1">
        <v>3.44966974807903E-6</v>
      </c>
      <c r="E39" s="1">
        <v>-2.9479997465387003E-7</v>
      </c>
      <c r="F39">
        <v>733929.15837649803</v>
      </c>
      <c r="I39">
        <v>365912470.357705</v>
      </c>
      <c r="J39">
        <v>130456308.472941</v>
      </c>
      <c r="K39" s="1">
        <v>4.1968414734583399E-6</v>
      </c>
      <c r="L39" s="1">
        <v>-5.7811121223494397E-8</v>
      </c>
      <c r="M39">
        <v>476681.49725874298</v>
      </c>
      <c r="P39">
        <v>1061812241.4815201</v>
      </c>
      <c r="Q39">
        <v>586331593.623788</v>
      </c>
      <c r="R39" s="1">
        <v>-3.5372650017961902E-6</v>
      </c>
      <c r="S39" s="1">
        <v>1.4727120287716399E-6</v>
      </c>
      <c r="T39">
        <v>1332486.4590086499</v>
      </c>
      <c r="W39">
        <v>781939756.36580396</v>
      </c>
      <c r="X39">
        <v>357173825.40292299</v>
      </c>
      <c r="Y39" s="1">
        <v>1.9504004740156199E-6</v>
      </c>
      <c r="Z39" s="1">
        <v>-7.0409441832452999E-8</v>
      </c>
      <c r="AA39">
        <v>1016530.02987437</v>
      </c>
    </row>
    <row r="40" spans="2:27" x14ac:dyDescent="0.25">
      <c r="B40">
        <v>598034441.14945602</v>
      </c>
      <c r="C40">
        <v>274241935.38467598</v>
      </c>
      <c r="D40">
        <v>-3074843.2302449401</v>
      </c>
      <c r="E40">
        <v>162233.17663413601</v>
      </c>
      <c r="F40">
        <v>650499.10459147196</v>
      </c>
      <c r="I40">
        <v>358462938.78544199</v>
      </c>
      <c r="J40">
        <v>128832795.17837401</v>
      </c>
      <c r="K40">
        <v>-1844850.01504003</v>
      </c>
      <c r="L40">
        <v>114861.841870658</v>
      </c>
      <c r="M40">
        <v>432473.21842389501</v>
      </c>
      <c r="P40">
        <v>1040616093.3460799</v>
      </c>
      <c r="Q40">
        <v>576550138.59928298</v>
      </c>
      <c r="R40">
        <v>-4934271.08490883</v>
      </c>
      <c r="S40">
        <v>263067.24223761499</v>
      </c>
      <c r="T40">
        <v>1199636.8318469501</v>
      </c>
      <c r="W40">
        <v>766688620.64455998</v>
      </c>
      <c r="X40">
        <v>352033756.68603402</v>
      </c>
      <c r="Y40">
        <v>-4042260.3617077102</v>
      </c>
      <c r="Z40">
        <v>208039.45199714901</v>
      </c>
      <c r="AA40">
        <v>921893.236463557</v>
      </c>
    </row>
    <row r="41" spans="2:27" x14ac:dyDescent="0.25">
      <c r="B41">
        <v>552053286.42650402</v>
      </c>
      <c r="C41">
        <v>256854460.45786899</v>
      </c>
      <c r="D41">
        <v>-2373229.1093369401</v>
      </c>
      <c r="E41">
        <v>229835.05354043501</v>
      </c>
      <c r="F41">
        <v>379938.10945774801</v>
      </c>
      <c r="I41">
        <v>330803825.71807802</v>
      </c>
      <c r="J41">
        <v>121585597.610944</v>
      </c>
      <c r="K41">
        <v>-1209246.5164063401</v>
      </c>
      <c r="L41">
        <v>168395.05076257599</v>
      </c>
      <c r="M41">
        <v>282092.67127854901</v>
      </c>
      <c r="P41">
        <v>961754251.56092703</v>
      </c>
      <c r="Q41">
        <v>537952462.332582</v>
      </c>
      <c r="R41">
        <v>-3932994.9678663299</v>
      </c>
      <c r="S41">
        <v>374859.37216623902</v>
      </c>
      <c r="T41">
        <v>702108.97652200703</v>
      </c>
      <c r="W41">
        <v>709246356.39722896</v>
      </c>
      <c r="X41">
        <v>330405704.39487803</v>
      </c>
      <c r="Y41">
        <v>-3029274.2802653201</v>
      </c>
      <c r="Z41">
        <v>290231.78595736</v>
      </c>
      <c r="AA41">
        <v>604639.55117649003</v>
      </c>
    </row>
    <row r="42" spans="2:27" x14ac:dyDescent="0.25">
      <c r="B42">
        <v>450209593.175511</v>
      </c>
      <c r="C42">
        <v>214636705.78668499</v>
      </c>
      <c r="D42">
        <v>3873082.4969811002</v>
      </c>
      <c r="E42">
        <v>12588.7856591296</v>
      </c>
      <c r="F42">
        <v>218079.463643216</v>
      </c>
      <c r="I42">
        <v>269533969.58187801</v>
      </c>
      <c r="J42">
        <v>102702934.528659</v>
      </c>
      <c r="K42">
        <v>2999428.3481542799</v>
      </c>
      <c r="L42">
        <v>49886.292564494201</v>
      </c>
      <c r="M42">
        <v>145014.197878623</v>
      </c>
      <c r="P42">
        <v>785336208.11096299</v>
      </c>
      <c r="Q42">
        <v>446627469.52534699</v>
      </c>
      <c r="R42">
        <v>5766550.9180878</v>
      </c>
      <c r="S42">
        <v>40402.4316803154</v>
      </c>
      <c r="T42">
        <v>409618.03623820399</v>
      </c>
      <c r="W42">
        <v>579627937.61633098</v>
      </c>
      <c r="X42">
        <v>276496899.74036503</v>
      </c>
      <c r="Y42">
        <v>5341238.6712489799</v>
      </c>
      <c r="Z42">
        <v>18687.234184126701</v>
      </c>
      <c r="AA42">
        <v>354423.86577432801</v>
      </c>
    </row>
    <row r="43" spans="2:27" x14ac:dyDescent="0.25">
      <c r="B43">
        <v>264997199.697191</v>
      </c>
      <c r="C43">
        <v>133430617.146266</v>
      </c>
      <c r="D43">
        <v>13627435.8830144</v>
      </c>
      <c r="E43">
        <v>-365551.666354544</v>
      </c>
      <c r="F43">
        <v>-55376.375998365802</v>
      </c>
      <c r="I43">
        <v>157880810.45156199</v>
      </c>
      <c r="J43">
        <v>64816459.412175298</v>
      </c>
      <c r="K43">
        <v>9302545.5016605891</v>
      </c>
      <c r="L43">
        <v>-163750.76244454799</v>
      </c>
      <c r="M43">
        <v>-44219.887876622503</v>
      </c>
      <c r="P43">
        <v>463528219.53599203</v>
      </c>
      <c r="Q43">
        <v>274151376.59222603</v>
      </c>
      <c r="R43">
        <v>21051926.386811901</v>
      </c>
      <c r="S43">
        <v>-609320.19470716198</v>
      </c>
      <c r="T43">
        <v>-16369.1127406706</v>
      </c>
      <c r="W43">
        <v>341005568.331631</v>
      </c>
      <c r="X43">
        <v>171205991.466645</v>
      </c>
      <c r="Y43">
        <v>18195320.204208899</v>
      </c>
      <c r="Z43">
        <v>-448986.55959514697</v>
      </c>
      <c r="AA43">
        <v>-40195.370302821502</v>
      </c>
    </row>
    <row r="44" spans="2:27" x14ac:dyDescent="0.25">
      <c r="B44">
        <v>13107947.5955364</v>
      </c>
      <c r="C44">
        <v>20356431.655110899</v>
      </c>
      <c r="D44">
        <v>17809017.1759676</v>
      </c>
      <c r="E44">
        <v>-479549.07798673201</v>
      </c>
      <c r="F44">
        <v>-172529.07589769899</v>
      </c>
      <c r="I44">
        <v>6478912.8176726298</v>
      </c>
      <c r="J44">
        <v>11274310.3306909</v>
      </c>
      <c r="K44">
        <v>11905993.581413399</v>
      </c>
      <c r="L44">
        <v>-228577.00506021001</v>
      </c>
      <c r="M44">
        <v>-76010.672961772099</v>
      </c>
      <c r="P44">
        <v>25973556.021529801</v>
      </c>
      <c r="Q44">
        <v>36185459.249062501</v>
      </c>
      <c r="R44">
        <v>27622085.398970101</v>
      </c>
      <c r="S44">
        <v>-803503.85664351005</v>
      </c>
      <c r="T44">
        <v>-376315.220954608</v>
      </c>
      <c r="W44">
        <v>16170508.311833801</v>
      </c>
      <c r="X44">
        <v>24324312.0447766</v>
      </c>
      <c r="Y44">
        <v>23629174.875089802</v>
      </c>
      <c r="Z44">
        <v>-602098.22139733203</v>
      </c>
      <c r="AA44">
        <v>-151655.65373549901</v>
      </c>
    </row>
    <row r="45" spans="2:27" x14ac:dyDescent="0.25">
      <c r="B45">
        <v>11154133.753889799</v>
      </c>
      <c r="C45">
        <v>19500134.512219299</v>
      </c>
      <c r="D45">
        <v>-8466818.7924556304</v>
      </c>
      <c r="E45">
        <v>469975.29709227302</v>
      </c>
      <c r="F45">
        <v>-57226.545889223198</v>
      </c>
      <c r="I45">
        <v>5283029.1463577598</v>
      </c>
      <c r="J45">
        <v>10842140.678636299</v>
      </c>
      <c r="K45">
        <v>-5599729.96775077</v>
      </c>
      <c r="L45">
        <v>231441.579552507</v>
      </c>
      <c r="M45">
        <v>-29968.482107265801</v>
      </c>
      <c r="P45">
        <v>22707443.8619202</v>
      </c>
      <c r="Q45">
        <v>34493630.477858901</v>
      </c>
      <c r="R45">
        <v>-13319888.0894263</v>
      </c>
      <c r="S45">
        <v>791841.90800301696</v>
      </c>
      <c r="T45">
        <v>-79918.145422048794</v>
      </c>
      <c r="W45">
        <v>13583557.695947001</v>
      </c>
      <c r="X45">
        <v>23178962.959563199</v>
      </c>
      <c r="Y45">
        <v>-11100497.4699143</v>
      </c>
      <c r="Z45">
        <v>596030.34521332104</v>
      </c>
      <c r="AA45">
        <v>-58734.270181637199</v>
      </c>
    </row>
    <row r="46" spans="2:27" x14ac:dyDescent="0.25">
      <c r="B46">
        <v>245785820.50696501</v>
      </c>
      <c r="C46">
        <v>125208612.77099399</v>
      </c>
      <c r="D46">
        <v>-6760359.5159353297</v>
      </c>
      <c r="E46">
        <v>345455.88575543399</v>
      </c>
      <c r="F46">
        <v>-4759.9913375615697</v>
      </c>
      <c r="I46">
        <v>146151769.51951399</v>
      </c>
      <c r="J46">
        <v>61030751.031450301</v>
      </c>
      <c r="K46">
        <v>-4550719.2036434701</v>
      </c>
      <c r="L46">
        <v>159881.20219674101</v>
      </c>
      <c r="M46">
        <v>-10449.983262412699</v>
      </c>
      <c r="P46">
        <v>431692599.56671602</v>
      </c>
      <c r="Q46">
        <v>257388312.49946001</v>
      </c>
      <c r="R46">
        <v>-10641057.756887799</v>
      </c>
      <c r="S46">
        <v>579454.32267480495</v>
      </c>
      <c r="T46">
        <v>18148.4208324867</v>
      </c>
      <c r="W46">
        <v>316062578.86828399</v>
      </c>
      <c r="X46">
        <v>160722668.38237801</v>
      </c>
      <c r="Y46">
        <v>-8928653.9641270991</v>
      </c>
      <c r="Z46">
        <v>438754.82067171001</v>
      </c>
      <c r="AA46">
        <v>-3977.4346460944298</v>
      </c>
    </row>
    <row r="47" spans="2:27" x14ac:dyDescent="0.25">
      <c r="B47">
        <v>437381692.329557</v>
      </c>
      <c r="C47">
        <v>209789177.61525699</v>
      </c>
      <c r="D47">
        <v>-2928669.7402915298</v>
      </c>
      <c r="E47">
        <v>59819.256051371602</v>
      </c>
      <c r="F47">
        <v>29822.4801189932</v>
      </c>
      <c r="I47">
        <v>261625215.28403899</v>
      </c>
      <c r="J47">
        <v>100750076.13117</v>
      </c>
      <c r="K47">
        <v>-2120292.45161313</v>
      </c>
      <c r="L47">
        <v>-6691.1409904722204</v>
      </c>
      <c r="M47">
        <v>17437.376141957699</v>
      </c>
      <c r="P47">
        <v>766265571.30321097</v>
      </c>
      <c r="Q47">
        <v>437472884.50510699</v>
      </c>
      <c r="R47">
        <v>-4632296.4047260601</v>
      </c>
      <c r="S47">
        <v>110394.79845870601</v>
      </c>
      <c r="T47">
        <v>107551.603095663</v>
      </c>
      <c r="W47">
        <v>563368144.13287103</v>
      </c>
      <c r="X47">
        <v>270822512.81949502</v>
      </c>
      <c r="Y47">
        <v>-3922730.1766703501</v>
      </c>
      <c r="Z47">
        <v>79312.961500046295</v>
      </c>
      <c r="AA47">
        <v>56897.962194266103</v>
      </c>
    </row>
    <row r="48" spans="2:27" x14ac:dyDescent="0.25">
      <c r="B48">
        <v>564816013.93290997</v>
      </c>
      <c r="C48">
        <v>263585435.163335</v>
      </c>
      <c r="D48">
        <v>117589.088984057</v>
      </c>
      <c r="E48">
        <v>-99412.336761597602</v>
      </c>
      <c r="F48">
        <v>236439.888856379</v>
      </c>
      <c r="I48">
        <v>338694800.58118999</v>
      </c>
      <c r="J48">
        <v>125331664.93960901</v>
      </c>
      <c r="K48">
        <v>-96771.282125925005</v>
      </c>
      <c r="L48">
        <v>-96057.136006486195</v>
      </c>
      <c r="M48">
        <v>148373.88000616501</v>
      </c>
      <c r="P48">
        <v>988984179.54568601</v>
      </c>
      <c r="Q48">
        <v>554131280.91392803</v>
      </c>
      <c r="R48">
        <v>178781.54791409001</v>
      </c>
      <c r="S48">
        <v>-145796.20979176799</v>
      </c>
      <c r="T48">
        <v>484684.246160337</v>
      </c>
      <c r="W48">
        <v>727431990.90967596</v>
      </c>
      <c r="X48">
        <v>340574971.43493199</v>
      </c>
      <c r="Y48">
        <v>140263.545314077</v>
      </c>
      <c r="Z48">
        <v>-129195.764493379</v>
      </c>
      <c r="AA48">
        <v>316666.42500886298</v>
      </c>
    </row>
    <row r="49" spans="2:27" x14ac:dyDescent="0.25">
      <c r="B49">
        <v>632405277.30481696</v>
      </c>
      <c r="C49">
        <v>290488319.24528801</v>
      </c>
      <c r="D49">
        <v>952533.21547052497</v>
      </c>
      <c r="E49">
        <v>-114005.98222828101</v>
      </c>
      <c r="F49">
        <v>396437.51699808898</v>
      </c>
      <c r="I49">
        <v>379659177.47320402</v>
      </c>
      <c r="J49">
        <v>137148896.415373</v>
      </c>
      <c r="K49">
        <v>530423.63423888397</v>
      </c>
      <c r="L49">
        <v>-88286.734496474193</v>
      </c>
      <c r="M49">
        <v>244661.655992146</v>
      </c>
      <c r="P49">
        <v>1107084317.49508</v>
      </c>
      <c r="Q49">
        <v>613846016.19675505</v>
      </c>
      <c r="R49">
        <v>1509166.2235940199</v>
      </c>
      <c r="S49">
        <v>-179387.094368486</v>
      </c>
      <c r="T49">
        <v>749587.88324541599</v>
      </c>
      <c r="W49">
        <v>813907290.82378805</v>
      </c>
      <c r="X49">
        <v>375150447.202281</v>
      </c>
      <c r="Y49">
        <v>1270261.84162649</v>
      </c>
      <c r="Z49">
        <v>-147099.24050520599</v>
      </c>
      <c r="AA49">
        <v>514309.32914904697</v>
      </c>
    </row>
    <row r="50" spans="2:27" x14ac:dyDescent="0.25">
      <c r="B50">
        <v>653092862.33524406</v>
      </c>
      <c r="C50">
        <v>298358724.33341402</v>
      </c>
      <c r="D50" s="1">
        <v>1.64816810865887E-6</v>
      </c>
      <c r="E50" s="1">
        <v>-1.1732481652870799E-7</v>
      </c>
      <c r="F50">
        <v>403050.02004851302</v>
      </c>
      <c r="I50">
        <v>392197868.32678699</v>
      </c>
      <c r="J50">
        <v>140487957.205897</v>
      </c>
      <c r="K50" s="1">
        <v>7.4974559538532101E-7</v>
      </c>
      <c r="L50" s="1">
        <v>-5.77714672544971E-7</v>
      </c>
      <c r="M50">
        <v>252695.26329679799</v>
      </c>
      <c r="P50">
        <v>1143211842.8078301</v>
      </c>
      <c r="Q50">
        <v>631635529.10839498</v>
      </c>
      <c r="R50" s="1">
        <v>2.3648317437619E-7</v>
      </c>
      <c r="S50" s="1">
        <v>-4.3253021431155498E-7</v>
      </c>
      <c r="T50">
        <v>761487.16142646305</v>
      </c>
      <c r="W50">
        <v>840180346.53447998</v>
      </c>
      <c r="X50">
        <v>385160789.52074498</v>
      </c>
      <c r="Y50" s="1">
        <v>-1.38001269078814E-6</v>
      </c>
      <c r="Z50" s="1">
        <v>-6.2165418057702503E-7</v>
      </c>
      <c r="AA50">
        <v>526910.91173216398</v>
      </c>
    </row>
    <row r="51" spans="2:27" x14ac:dyDescent="0.25">
      <c r="B51">
        <v>632405277.30473697</v>
      </c>
      <c r="C51">
        <v>290488319.24523598</v>
      </c>
      <c r="D51">
        <v>-952533.21547049005</v>
      </c>
      <c r="E51">
        <v>114005.982228168</v>
      </c>
      <c r="F51">
        <v>396437.51699388499</v>
      </c>
      <c r="I51">
        <v>379659177.47314399</v>
      </c>
      <c r="J51">
        <v>137148896.415335</v>
      </c>
      <c r="K51">
        <v>-530423.63424078096</v>
      </c>
      <c r="L51">
        <v>88286.734495972501</v>
      </c>
      <c r="M51">
        <v>244661.65599164</v>
      </c>
      <c r="P51">
        <v>1107084317.4951301</v>
      </c>
      <c r="Q51">
        <v>613846016.196787</v>
      </c>
      <c r="R51">
        <v>-1509166.2235999899</v>
      </c>
      <c r="S51">
        <v>179387.09437194801</v>
      </c>
      <c r="T51">
        <v>749587.88324754802</v>
      </c>
      <c r="W51">
        <v>813907290.82374501</v>
      </c>
      <c r="X51">
        <v>375150447.20225799</v>
      </c>
      <c r="Y51">
        <v>-1270261.84162772</v>
      </c>
      <c r="Z51">
        <v>147099.24050634701</v>
      </c>
      <c r="AA51">
        <v>514309.329153453</v>
      </c>
    </row>
    <row r="52" spans="2:27" x14ac:dyDescent="0.25">
      <c r="B52">
        <v>564816013.93282604</v>
      </c>
      <c r="C52">
        <v>263585435.163286</v>
      </c>
      <c r="D52">
        <v>-117589.088988915</v>
      </c>
      <c r="E52">
        <v>99412.336762594598</v>
      </c>
      <c r="F52">
        <v>236439.88885744501</v>
      </c>
      <c r="I52">
        <v>338694800.58110303</v>
      </c>
      <c r="J52">
        <v>125331664.939559</v>
      </c>
      <c r="K52">
        <v>96771.282125783197</v>
      </c>
      <c r="L52">
        <v>96057.136007060093</v>
      </c>
      <c r="M52">
        <v>148373.88000642901</v>
      </c>
      <c r="P52">
        <v>988984179.54582906</v>
      </c>
      <c r="Q52">
        <v>554131280.91403306</v>
      </c>
      <c r="R52">
        <v>-178781.54791298599</v>
      </c>
      <c r="S52">
        <v>145796.20978876599</v>
      </c>
      <c r="T52">
        <v>484684.246167003</v>
      </c>
      <c r="W52">
        <v>727431990.90964496</v>
      </c>
      <c r="X52">
        <v>340574971.43492103</v>
      </c>
      <c r="Y52">
        <v>-140263.54531319099</v>
      </c>
      <c r="Z52">
        <v>129195.764493378</v>
      </c>
      <c r="AA52">
        <v>316666.42500902101</v>
      </c>
    </row>
    <row r="53" spans="2:27" x14ac:dyDescent="0.25">
      <c r="B53">
        <v>437381692.32952398</v>
      </c>
      <c r="C53">
        <v>209789177.61524701</v>
      </c>
      <c r="D53">
        <v>2928669.7402904802</v>
      </c>
      <c r="E53">
        <v>-59819.256050828801</v>
      </c>
      <c r="F53">
        <v>29822.4801211964</v>
      </c>
      <c r="I53">
        <v>261625215.28402299</v>
      </c>
      <c r="J53">
        <v>100750076.13116699</v>
      </c>
      <c r="K53">
        <v>2120292.4516149801</v>
      </c>
      <c r="L53">
        <v>6691.1409911968403</v>
      </c>
      <c r="M53">
        <v>17437.3761419119</v>
      </c>
      <c r="P53">
        <v>766265571.30327904</v>
      </c>
      <c r="Q53">
        <v>437472884.50514603</v>
      </c>
      <c r="R53">
        <v>4632296.4047317598</v>
      </c>
      <c r="S53">
        <v>-110394.79845404001</v>
      </c>
      <c r="T53">
        <v>107551.603093896</v>
      </c>
      <c r="W53">
        <v>563368144.132815</v>
      </c>
      <c r="X53">
        <v>270822512.81946599</v>
      </c>
      <c r="Y53">
        <v>3922730.1766697899</v>
      </c>
      <c r="Z53">
        <v>-79312.961499953293</v>
      </c>
      <c r="AA53">
        <v>56897.9621958473</v>
      </c>
    </row>
    <row r="54" spans="2:27" x14ac:dyDescent="0.25">
      <c r="B54">
        <v>245785820.50697699</v>
      </c>
      <c r="C54">
        <v>125208612.77100299</v>
      </c>
      <c r="D54">
        <v>6760359.5159391798</v>
      </c>
      <c r="E54">
        <v>-345455.88575638901</v>
      </c>
      <c r="F54">
        <v>-4759.9913377662297</v>
      </c>
      <c r="I54">
        <v>146151769.51950499</v>
      </c>
      <c r="J54">
        <v>61030751.031443998</v>
      </c>
      <c r="K54">
        <v>4550719.20364324</v>
      </c>
      <c r="L54">
        <v>-159881.20219720699</v>
      </c>
      <c r="M54">
        <v>-10449.9832629105</v>
      </c>
      <c r="P54">
        <v>431692599.56673902</v>
      </c>
      <c r="Q54">
        <v>257388312.49947199</v>
      </c>
      <c r="R54">
        <v>10641057.756887101</v>
      </c>
      <c r="S54">
        <v>-579454.32267602696</v>
      </c>
      <c r="T54">
        <v>18148.420833264099</v>
      </c>
      <c r="W54">
        <v>316062578.86827701</v>
      </c>
      <c r="X54">
        <v>160722668.382379</v>
      </c>
      <c r="Y54">
        <v>8928653.9641279094</v>
      </c>
      <c r="Z54">
        <v>-438754.82067243999</v>
      </c>
      <c r="AA54">
        <v>-3977.4346441141502</v>
      </c>
    </row>
    <row r="55" spans="2:27" x14ac:dyDescent="0.25">
      <c r="B55">
        <v>11154133.7538899</v>
      </c>
      <c r="C55">
        <v>19500134.512219202</v>
      </c>
      <c r="D55">
        <v>8466818.7924591191</v>
      </c>
      <c r="E55">
        <v>-469975.29709096299</v>
      </c>
      <c r="F55">
        <v>-57226.545886405002</v>
      </c>
      <c r="I55">
        <v>5283029.1463576201</v>
      </c>
      <c r="J55">
        <v>10842140.678636</v>
      </c>
      <c r="K55">
        <v>5599729.96774879</v>
      </c>
      <c r="L55">
        <v>-231441.57955140801</v>
      </c>
      <c r="M55">
        <v>-29968.482107583499</v>
      </c>
      <c r="P55">
        <v>22707443.8619183</v>
      </c>
      <c r="Q55">
        <v>34493630.477857403</v>
      </c>
      <c r="R55">
        <v>13319888.0894241</v>
      </c>
      <c r="S55">
        <v>-791841.90800043801</v>
      </c>
      <c r="T55">
        <v>-79918.145421496403</v>
      </c>
      <c r="W55">
        <v>13583557.695946701</v>
      </c>
      <c r="X55">
        <v>23178962.959563199</v>
      </c>
      <c r="Y55">
        <v>11100497.4699174</v>
      </c>
      <c r="Z55">
        <v>-596030.34521172196</v>
      </c>
      <c r="AA55">
        <v>-58734.2701836591</v>
      </c>
    </row>
    <row r="56" spans="2:27" s="2" customFormat="1" x14ac:dyDescent="0.25">
      <c r="B56" s="2">
        <v>10853204.313259499</v>
      </c>
      <c r="C56" s="2">
        <v>19323054.0870094</v>
      </c>
      <c r="D56" s="18">
        <v>1.2323580449447E-6</v>
      </c>
      <c r="E56" s="2">
        <v>481370.13531687099</v>
      </c>
      <c r="F56" s="18">
        <v>2.0431180018931602E-6</v>
      </c>
      <c r="I56" s="2">
        <v>5107313.3103046501</v>
      </c>
      <c r="J56" s="2">
        <v>10754718.8549715</v>
      </c>
      <c r="K56" s="18">
        <v>2.0976585801690801E-7</v>
      </c>
      <c r="L56" s="2">
        <v>238567.31773745001</v>
      </c>
      <c r="M56" s="18">
        <v>-1.1977317626588E-6</v>
      </c>
      <c r="P56" s="2">
        <v>22155358.057963699</v>
      </c>
      <c r="Q56" s="2">
        <v>34125564.045185402</v>
      </c>
      <c r="R56" s="18">
        <v>4.6647619456052801E-7</v>
      </c>
      <c r="S56" s="2">
        <v>813173.02695771004</v>
      </c>
      <c r="T56" s="18">
        <v>1.17867602966726E-6</v>
      </c>
      <c r="W56" s="2">
        <v>13174359.610355999</v>
      </c>
      <c r="X56" s="2">
        <v>22932666.368979398</v>
      </c>
      <c r="Y56" s="18">
        <v>2.8668728191405498E-7</v>
      </c>
      <c r="Z56" s="2">
        <v>609405.21725423401</v>
      </c>
      <c r="AA56" s="18">
        <v>2.0894076442345998E-6</v>
      </c>
    </row>
    <row r="57" spans="2:27" s="2" customFormat="1" x14ac:dyDescent="0.25">
      <c r="B57" s="2">
        <v>240115451.788638</v>
      </c>
      <c r="C57" s="2">
        <v>122878628.18525299</v>
      </c>
      <c r="D57" s="18">
        <v>1.0963631211779999E-6</v>
      </c>
      <c r="E57" s="2">
        <v>348712.56148446898</v>
      </c>
      <c r="F57" s="18">
        <v>-7.0972600951790799E-7</v>
      </c>
      <c r="I57" s="2">
        <v>142651382.524497</v>
      </c>
      <c r="J57" s="2">
        <v>59948772.039726101</v>
      </c>
      <c r="K57" s="18">
        <v>1.0218354873359199E-7</v>
      </c>
      <c r="L57" s="2">
        <v>161704.996060915</v>
      </c>
      <c r="M57" s="18">
        <v>-2.4852852220647E-7</v>
      </c>
      <c r="P57" s="2">
        <v>422432576.315669</v>
      </c>
      <c r="Q57" s="2">
        <v>252690074.63846001</v>
      </c>
      <c r="R57" s="18">
        <v>-3.5052653402090099E-7</v>
      </c>
      <c r="S57" s="2">
        <v>592146.03999416297</v>
      </c>
      <c r="T57" s="18">
        <v>1.4710531104356099E-6</v>
      </c>
      <c r="W57" s="2">
        <v>308438195.72354698</v>
      </c>
      <c r="X57" s="2">
        <v>157613845.221212</v>
      </c>
      <c r="Y57" s="18">
        <v>1.6984922694973601E-6</v>
      </c>
      <c r="Z57" s="2">
        <v>443867.64909735299</v>
      </c>
      <c r="AA57" s="18">
        <v>-1.5212062862701699E-6</v>
      </c>
    </row>
    <row r="58" spans="2:27" s="2" customFormat="1" x14ac:dyDescent="0.25">
      <c r="B58" s="2">
        <v>433230728.51001602</v>
      </c>
      <c r="C58" s="2">
        <v>208304111.022544</v>
      </c>
      <c r="D58" s="18">
        <v>9.6381745606777301E-7</v>
      </c>
      <c r="E58" s="2">
        <v>90116.093097089004</v>
      </c>
      <c r="F58" s="18">
        <v>-1.5249097486957899E-6</v>
      </c>
      <c r="I58" s="2">
        <v>258985886.382287</v>
      </c>
      <c r="J58" s="2">
        <v>100119723.99758901</v>
      </c>
      <c r="K58" s="18">
        <v>2.7215191948926102E-6</v>
      </c>
      <c r="L58" s="2">
        <v>11578.7168547481</v>
      </c>
      <c r="M58" s="18">
        <v>8.5444480646401601E-7</v>
      </c>
      <c r="P58" s="2">
        <v>760242658.17942703</v>
      </c>
      <c r="Q58" s="2">
        <v>434775397.663468</v>
      </c>
      <c r="R58" s="18">
        <v>-1.0971323263220301E-6</v>
      </c>
      <c r="S58" s="2">
        <v>170020.32785413999</v>
      </c>
      <c r="T58" s="18">
        <v>1.4545657904818701E-6</v>
      </c>
      <c r="W58" s="2">
        <v>557538399.30092597</v>
      </c>
      <c r="X58" s="2">
        <v>268806473.49733001</v>
      </c>
      <c r="Y58" s="18">
        <v>2.2166341295815098E-6</v>
      </c>
      <c r="Z58" s="2">
        <v>116947.771025968</v>
      </c>
      <c r="AA58" s="18">
        <v>-1.1133524822071201E-6</v>
      </c>
    </row>
    <row r="59" spans="2:27" s="2" customFormat="1" x14ac:dyDescent="0.25">
      <c r="B59" s="2">
        <v>567921697.44509804</v>
      </c>
      <c r="C59" s="2">
        <v>265479861.43575099</v>
      </c>
      <c r="D59" s="18">
        <v>2.3169086489360801E-6</v>
      </c>
      <c r="E59" s="2">
        <v>-72825.745842586097</v>
      </c>
      <c r="F59" s="18">
        <v>-2.1746236598119102E-6</v>
      </c>
      <c r="I59" s="2">
        <v>340530659.63148898</v>
      </c>
      <c r="J59" s="2">
        <v>126393152.365527</v>
      </c>
      <c r="K59" s="18">
        <v>5.1344613893888901E-7</v>
      </c>
      <c r="L59" s="2">
        <v>-79769.693252678393</v>
      </c>
      <c r="M59" s="18">
        <v>-1.23705831356347E-7</v>
      </c>
      <c r="P59" s="2">
        <v>996153620.17086804</v>
      </c>
      <c r="Q59" s="2">
        <v>558795240.85285604</v>
      </c>
      <c r="R59" s="18">
        <v>9.7892188932746691E-7</v>
      </c>
      <c r="S59" s="2">
        <v>-100508.743647497</v>
      </c>
      <c r="T59" s="18">
        <v>2.7969363145530198E-6</v>
      </c>
      <c r="W59" s="2">
        <v>731214058.88599098</v>
      </c>
      <c r="X59" s="2">
        <v>343106329.02389902</v>
      </c>
      <c r="Y59" s="18">
        <v>5.3916301112622001E-7</v>
      </c>
      <c r="Z59" s="2">
        <v>-94194.742486819698</v>
      </c>
      <c r="AA59" s="18">
        <v>-1.19736068882048E-6</v>
      </c>
    </row>
    <row r="60" spans="2:27" s="2" customFormat="1" x14ac:dyDescent="0.25">
      <c r="B60" s="2">
        <v>642875254.61277699</v>
      </c>
      <c r="C60" s="2">
        <v>295727210.790582</v>
      </c>
      <c r="D60" s="18">
        <v>-8.2911356003023697E-8</v>
      </c>
      <c r="E60" s="2">
        <v>-104724.18897039699</v>
      </c>
      <c r="F60" s="18">
        <v>-1.0914802714978601E-6</v>
      </c>
      <c r="I60" s="2">
        <v>386031618.01256502</v>
      </c>
      <c r="J60" s="2">
        <v>139840904.64640799</v>
      </c>
      <c r="K60" s="18">
        <v>-2.1221558199613402E-6</v>
      </c>
      <c r="L60" s="2">
        <v>-82477.402284472599</v>
      </c>
      <c r="M60" s="18">
        <v>2.6927892804451398E-7</v>
      </c>
      <c r="P60" s="2">
        <v>1127605505.6045499</v>
      </c>
      <c r="Q60" s="2">
        <v>625849700.89966702</v>
      </c>
      <c r="R60" s="18">
        <v>4.7543962864438097E-6</v>
      </c>
      <c r="S60" s="2">
        <v>-160993.128200192</v>
      </c>
      <c r="T60" s="18">
        <v>2.46672061621211E-6</v>
      </c>
      <c r="W60" s="2">
        <v>827503061.10450006</v>
      </c>
      <c r="X60" s="2">
        <v>382188629.63069302</v>
      </c>
      <c r="Y60" s="18">
        <v>2.05957439902704E-6</v>
      </c>
      <c r="Z60" s="2">
        <v>-133680.09720165201</v>
      </c>
      <c r="AA60" s="18">
        <v>4.9383061195840096E-7</v>
      </c>
    </row>
    <row r="61" spans="2:27" s="2" customFormat="1" x14ac:dyDescent="0.25">
      <c r="B61" s="2">
        <v>666466643.00765002</v>
      </c>
      <c r="C61" s="2">
        <v>304898776.383955</v>
      </c>
      <c r="D61" s="18">
        <v>-1.1295090871499301E-6</v>
      </c>
      <c r="E61" s="18">
        <v>-1.00419674708974E-6</v>
      </c>
      <c r="F61" s="18">
        <v>-1.50501637108391E-6</v>
      </c>
      <c r="I61" s="2">
        <v>400362738.29928499</v>
      </c>
      <c r="J61" s="2">
        <v>143807701.15764099</v>
      </c>
      <c r="K61" s="18">
        <v>-1.5197243783404699E-6</v>
      </c>
      <c r="L61" s="18">
        <v>-1.28694318846101E-6</v>
      </c>
      <c r="M61" s="18">
        <v>1.07337177723821E-6</v>
      </c>
      <c r="P61" s="2">
        <v>1168931421.9658</v>
      </c>
      <c r="Q61" s="2">
        <v>646473960.01536906</v>
      </c>
      <c r="R61" s="18">
        <v>3.6947747048543499E-6</v>
      </c>
      <c r="S61" s="18">
        <v>-1.69142003869638E-6</v>
      </c>
      <c r="T61" s="18">
        <v>-3.3410506148356902E-6</v>
      </c>
      <c r="W61" s="2">
        <v>857673489.30617201</v>
      </c>
      <c r="X61" s="2">
        <v>393961931.36443299</v>
      </c>
      <c r="Y61" s="18">
        <v>8.4311079717736003E-7</v>
      </c>
      <c r="Z61" s="18">
        <v>-1.6546800907235601E-7</v>
      </c>
      <c r="AA61" s="18">
        <v>3.4562890505185398E-7</v>
      </c>
    </row>
    <row r="62" spans="2:27" s="2" customFormat="1" x14ac:dyDescent="0.25">
      <c r="B62" s="2">
        <v>642875254.61277699</v>
      </c>
      <c r="C62" s="2">
        <v>295727210.79057002</v>
      </c>
      <c r="D62" s="18">
        <v>-2.0991265046177398E-6</v>
      </c>
      <c r="E62" s="2">
        <v>104724.188970045</v>
      </c>
      <c r="F62" s="18">
        <v>1.28081228467636E-6</v>
      </c>
      <c r="I62" s="2">
        <v>386031618.01253802</v>
      </c>
      <c r="J62" s="2">
        <v>139840904.64638299</v>
      </c>
      <c r="K62" s="18">
        <v>-1.3234803191153301E-6</v>
      </c>
      <c r="L62" s="2">
        <v>82477.402285014206</v>
      </c>
      <c r="M62" s="18">
        <v>1.7911588656716099E-7</v>
      </c>
      <c r="P62" s="2">
        <v>1127605505.6046801</v>
      </c>
      <c r="Q62" s="2">
        <v>625849700.89974701</v>
      </c>
      <c r="R62" s="18">
        <v>-4.4891512516187504E-6</v>
      </c>
      <c r="S62" s="2">
        <v>160993.12820216099</v>
      </c>
      <c r="T62" s="18">
        <v>-2.6754096325021199E-6</v>
      </c>
      <c r="W62" s="2">
        <v>827503061.10460806</v>
      </c>
      <c r="X62" s="2">
        <v>382188629.63075602</v>
      </c>
      <c r="Y62" s="18">
        <v>-2.14615283766761E-6</v>
      </c>
      <c r="Z62" s="2">
        <v>133680.09720218601</v>
      </c>
      <c r="AA62" s="18">
        <v>-2.6341258489992499E-6</v>
      </c>
    </row>
    <row r="63" spans="2:27" s="2" customFormat="1" x14ac:dyDescent="0.25">
      <c r="B63" s="2">
        <v>567921697.44514096</v>
      </c>
      <c r="C63" s="2">
        <v>265479861.43577099</v>
      </c>
      <c r="D63" s="18">
        <v>-1.28246028907597E-6</v>
      </c>
      <c r="E63" s="2">
        <v>72825.745844126999</v>
      </c>
      <c r="F63" s="18">
        <v>2.5266490411013399E-6</v>
      </c>
      <c r="I63" s="2">
        <v>340530659.631464</v>
      </c>
      <c r="J63" s="2">
        <v>126393152.365511</v>
      </c>
      <c r="K63" s="18">
        <v>1.79528069566004E-6</v>
      </c>
      <c r="L63" s="2">
        <v>79769.693253169797</v>
      </c>
      <c r="M63" s="18">
        <v>7.8715675044804801E-7</v>
      </c>
      <c r="P63" s="2">
        <v>996153620.17098796</v>
      </c>
      <c r="Q63" s="2">
        <v>558795240.85294604</v>
      </c>
      <c r="R63" s="18">
        <v>-2.5682311388663901E-6</v>
      </c>
      <c r="S63" s="2">
        <v>100508.743647165</v>
      </c>
      <c r="T63" s="18">
        <v>1.5347613953054E-6</v>
      </c>
      <c r="W63" s="2">
        <v>731214058.88605595</v>
      </c>
      <c r="X63" s="2">
        <v>343106329.02393699</v>
      </c>
      <c r="Y63" s="18">
        <v>-3.4564145607873802E-6</v>
      </c>
      <c r="Z63" s="2">
        <v>94194.742487312105</v>
      </c>
      <c r="AA63" s="18">
        <v>2.2075255401432501E-6</v>
      </c>
    </row>
    <row r="64" spans="2:27" s="2" customFormat="1" x14ac:dyDescent="0.25">
      <c r="B64" s="2">
        <v>433230728.51009297</v>
      </c>
      <c r="C64" s="2">
        <v>208304111.02259499</v>
      </c>
      <c r="D64" s="18">
        <v>1.02147350844461E-6</v>
      </c>
      <c r="E64" s="2">
        <v>-90116.093096933706</v>
      </c>
      <c r="F64" s="18">
        <v>-1.26456143334508E-7</v>
      </c>
      <c r="I64" s="2">
        <v>258985886.38225299</v>
      </c>
      <c r="J64" s="2">
        <v>100119723.997575</v>
      </c>
      <c r="K64" s="18">
        <v>4.4348018946038802E-7</v>
      </c>
      <c r="L64" s="2">
        <v>-11578.716854743499</v>
      </c>
      <c r="M64" s="18">
        <v>1.0865624062716999E-6</v>
      </c>
      <c r="P64" s="2">
        <v>760242658.17946696</v>
      </c>
      <c r="Q64" s="2">
        <v>434775397.66348499</v>
      </c>
      <c r="R64" s="18">
        <v>-1.34494257508777E-6</v>
      </c>
      <c r="S64" s="2">
        <v>-170020.327854431</v>
      </c>
      <c r="T64" s="18">
        <v>-1.1261436156928499E-6</v>
      </c>
      <c r="W64" s="2">
        <v>557538399.30101001</v>
      </c>
      <c r="X64" s="2">
        <v>268806473.49737698</v>
      </c>
      <c r="Y64" s="18">
        <v>-1.3697481335839299E-6</v>
      </c>
      <c r="Z64" s="2">
        <v>-116947.771025765</v>
      </c>
      <c r="AA64" s="18">
        <v>6.9952511694282304E-7</v>
      </c>
    </row>
    <row r="65" spans="2:27" s="2" customFormat="1" x14ac:dyDescent="0.25">
      <c r="B65" s="2">
        <v>240115451.78867701</v>
      </c>
      <c r="C65" s="2">
        <v>122878628.185279</v>
      </c>
      <c r="D65" s="18">
        <v>-1.0328949429094799E-7</v>
      </c>
      <c r="E65" s="2">
        <v>-348712.56148567499</v>
      </c>
      <c r="F65" s="18">
        <v>-1.1180345609318501E-6</v>
      </c>
      <c r="I65" s="2">
        <v>142651382.52446601</v>
      </c>
      <c r="J65" s="2">
        <v>59948772.0397081</v>
      </c>
      <c r="K65" s="18">
        <v>-7.4617673817556404E-7</v>
      </c>
      <c r="L65" s="2">
        <v>-161704.99606130601</v>
      </c>
      <c r="M65" s="18">
        <v>-8.1342841440346103E-7</v>
      </c>
      <c r="P65" s="2">
        <v>422432576.31566697</v>
      </c>
      <c r="Q65" s="2">
        <v>252690074.63845599</v>
      </c>
      <c r="R65" s="18">
        <v>-5.3455005399882804E-7</v>
      </c>
      <c r="S65" s="2">
        <v>-592146.03999511595</v>
      </c>
      <c r="T65" s="18">
        <v>4.8568472266197205E-7</v>
      </c>
      <c r="W65" s="2">
        <v>308438195.72362399</v>
      </c>
      <c r="X65" s="2">
        <v>157613845.221257</v>
      </c>
      <c r="Y65" s="18">
        <v>4.9052323447540402E-7</v>
      </c>
      <c r="Z65" s="2">
        <v>-443867.64909833297</v>
      </c>
      <c r="AA65" s="18">
        <v>-7.1242538979277001E-8</v>
      </c>
    </row>
    <row r="66" spans="2:27" s="2" customFormat="1" x14ac:dyDescent="0.25">
      <c r="B66" s="2">
        <v>10853204.313259101</v>
      </c>
      <c r="C66" s="2">
        <v>19323054.087009601</v>
      </c>
      <c r="D66" s="18">
        <v>-1.9070575945079299E-6</v>
      </c>
      <c r="E66" s="2">
        <v>-481370.13531572197</v>
      </c>
      <c r="F66" s="18">
        <v>1.8014543456956699E-7</v>
      </c>
      <c r="I66" s="2">
        <v>5107313.3103045998</v>
      </c>
      <c r="J66" s="2">
        <v>10754718.8549728</v>
      </c>
      <c r="K66" s="18">
        <v>-1.90173159353435E-6</v>
      </c>
      <c r="L66" s="2">
        <v>-238567.31773581699</v>
      </c>
      <c r="M66" s="18">
        <v>-5.7902070693671697E-8</v>
      </c>
      <c r="P66" s="2">
        <v>22155358.057963099</v>
      </c>
      <c r="Q66" s="2">
        <v>34125564.045185499</v>
      </c>
      <c r="R66" s="18">
        <v>-1.7534184735268401E-6</v>
      </c>
      <c r="S66" s="2">
        <v>-813173.02695514006</v>
      </c>
      <c r="T66" s="18">
        <v>-2.0995503291487699E-7</v>
      </c>
      <c r="W66" s="2">
        <v>13174359.6103554</v>
      </c>
      <c r="X66" s="2">
        <v>22932666.3689766</v>
      </c>
      <c r="Y66" s="18">
        <v>-2.4620967451482999E-6</v>
      </c>
      <c r="Z66" s="2">
        <v>-609405.21725258802</v>
      </c>
      <c r="AA66" s="18">
        <v>1.0984658729285E-6</v>
      </c>
    </row>
    <row r="67" spans="2:27" x14ac:dyDescent="0.25">
      <c r="B67">
        <v>11154133.7538893</v>
      </c>
      <c r="C67">
        <v>19500134.512218799</v>
      </c>
      <c r="D67">
        <v>8466818.7924576607</v>
      </c>
      <c r="E67">
        <v>469975.29709218402</v>
      </c>
      <c r="F67">
        <v>57226.5458882979</v>
      </c>
      <c r="I67">
        <v>5283029.1463580299</v>
      </c>
      <c r="J67">
        <v>10842140.6786364</v>
      </c>
      <c r="K67">
        <v>5599729.9677505996</v>
      </c>
      <c r="L67">
        <v>231441.579552346</v>
      </c>
      <c r="M67">
        <v>29968.482108202501</v>
      </c>
      <c r="P67">
        <v>22707443.8619176</v>
      </c>
      <c r="Q67">
        <v>34493630.477857098</v>
      </c>
      <c r="R67">
        <v>13319888.089425899</v>
      </c>
      <c r="S67">
        <v>791841.90800270997</v>
      </c>
      <c r="T67">
        <v>79918.145423510199</v>
      </c>
      <c r="W67">
        <v>13583557.695945799</v>
      </c>
      <c r="X67">
        <v>23178962.959562</v>
      </c>
      <c r="Y67">
        <v>11100497.4699148</v>
      </c>
      <c r="Z67">
        <v>596030.34521395306</v>
      </c>
      <c r="AA67">
        <v>58734.2701832772</v>
      </c>
    </row>
    <row r="68" spans="2:27" x14ac:dyDescent="0.25">
      <c r="B68">
        <v>245785820.50697401</v>
      </c>
      <c r="C68">
        <v>125208612.770996</v>
      </c>
      <c r="D68">
        <v>6760359.5159356901</v>
      </c>
      <c r="E68">
        <v>345455.88575566601</v>
      </c>
      <c r="F68">
        <v>4759.9913381814004</v>
      </c>
      <c r="I68">
        <v>146151769.519528</v>
      </c>
      <c r="J68">
        <v>61030751.031456999</v>
      </c>
      <c r="K68">
        <v>4550719.2036437197</v>
      </c>
      <c r="L68">
        <v>159881.20219701499</v>
      </c>
      <c r="M68">
        <v>10449.983262981899</v>
      </c>
      <c r="P68">
        <v>431692599.56678402</v>
      </c>
      <c r="Q68">
        <v>257388312.499504</v>
      </c>
      <c r="R68">
        <v>10641057.756887101</v>
      </c>
      <c r="S68">
        <v>579454.32267565501</v>
      </c>
      <c r="T68">
        <v>-18148.4208351751</v>
      </c>
      <c r="W68">
        <v>316062578.86830097</v>
      </c>
      <c r="X68">
        <v>160722668.38238999</v>
      </c>
      <c r="Y68">
        <v>8928653.9641271103</v>
      </c>
      <c r="Z68">
        <v>438754.82067172398</v>
      </c>
      <c r="AA68">
        <v>3977.4346470138998</v>
      </c>
    </row>
    <row r="69" spans="2:27" x14ac:dyDescent="0.25">
      <c r="B69">
        <v>437381692.32953</v>
      </c>
      <c r="C69">
        <v>209789177.615242</v>
      </c>
      <c r="D69">
        <v>2928669.7402915801</v>
      </c>
      <c r="E69">
        <v>59819.256051158103</v>
      </c>
      <c r="F69">
        <v>-29822.480118424301</v>
      </c>
      <c r="I69">
        <v>261625215.28404099</v>
      </c>
      <c r="J69">
        <v>100750076.131175</v>
      </c>
      <c r="K69">
        <v>2120292.4516162202</v>
      </c>
      <c r="L69">
        <v>-6691.1409910230104</v>
      </c>
      <c r="M69">
        <v>-17437.3761417106</v>
      </c>
      <c r="P69">
        <v>766265571.30335295</v>
      </c>
      <c r="Q69">
        <v>437472884.50520003</v>
      </c>
      <c r="R69">
        <v>4632296.4047284396</v>
      </c>
      <c r="S69">
        <v>110394.79845538099</v>
      </c>
      <c r="T69">
        <v>-107551.603093243</v>
      </c>
      <c r="W69">
        <v>563368144.13282299</v>
      </c>
      <c r="X69">
        <v>270822512.819471</v>
      </c>
      <c r="Y69">
        <v>3922730.17667299</v>
      </c>
      <c r="Z69">
        <v>79312.961499860103</v>
      </c>
      <c r="AA69">
        <v>-56897.962192923202</v>
      </c>
    </row>
    <row r="70" spans="2:27" x14ac:dyDescent="0.25">
      <c r="B70">
        <v>564816013.93287301</v>
      </c>
      <c r="C70">
        <v>263585435.16331699</v>
      </c>
      <c r="D70">
        <v>-117589.088981364</v>
      </c>
      <c r="E70">
        <v>-99412.336762623498</v>
      </c>
      <c r="F70">
        <v>-236439.88885518699</v>
      </c>
      <c r="I70">
        <v>338694800.58114398</v>
      </c>
      <c r="J70">
        <v>125331664.939583</v>
      </c>
      <c r="K70">
        <v>96771.282128843595</v>
      </c>
      <c r="L70">
        <v>-96057.136006679299</v>
      </c>
      <c r="M70">
        <v>-148373.88000582901</v>
      </c>
      <c r="P70">
        <v>988984179.54586804</v>
      </c>
      <c r="Q70">
        <v>554131280.914047</v>
      </c>
      <c r="R70">
        <v>-178781.54791232699</v>
      </c>
      <c r="S70">
        <v>-145796.20979233901</v>
      </c>
      <c r="T70">
        <v>-484684.24616203498</v>
      </c>
      <c r="W70">
        <v>727431990.90958595</v>
      </c>
      <c r="X70">
        <v>340574971.43488401</v>
      </c>
      <c r="Y70">
        <v>-140263.54531089799</v>
      </c>
      <c r="Z70">
        <v>-129195.764493738</v>
      </c>
      <c r="AA70">
        <v>-316666.42500611499</v>
      </c>
    </row>
    <row r="71" spans="2:27" x14ac:dyDescent="0.25">
      <c r="B71">
        <v>632405277.30471504</v>
      </c>
      <c r="C71">
        <v>290488319.24522799</v>
      </c>
      <c r="D71">
        <v>-952533.21546800598</v>
      </c>
      <c r="E71">
        <v>-114005.982227816</v>
      </c>
      <c r="F71">
        <v>-396437.51699657203</v>
      </c>
      <c r="I71">
        <v>379659177.47321099</v>
      </c>
      <c r="J71">
        <v>137148896.41537899</v>
      </c>
      <c r="K71">
        <v>-530423.63424018002</v>
      </c>
      <c r="L71">
        <v>-88286.7344961575</v>
      </c>
      <c r="M71">
        <v>-244661.65599342299</v>
      </c>
      <c r="P71">
        <v>1107084317.4951999</v>
      </c>
      <c r="Q71">
        <v>613846016.19683504</v>
      </c>
      <c r="R71">
        <v>-1509166.22359232</v>
      </c>
      <c r="S71">
        <v>-179387.09436846501</v>
      </c>
      <c r="T71">
        <v>-749587.88324774895</v>
      </c>
      <c r="W71">
        <v>813907290.82371199</v>
      </c>
      <c r="X71">
        <v>375150447.20224398</v>
      </c>
      <c r="Y71">
        <v>-1270261.84162314</v>
      </c>
      <c r="Z71">
        <v>-147099.24050465599</v>
      </c>
      <c r="AA71">
        <v>-514309.32915186603</v>
      </c>
    </row>
    <row r="72" spans="2:27" x14ac:dyDescent="0.25">
      <c r="B72">
        <v>653092862.33520699</v>
      </c>
      <c r="C72">
        <v>298358724.33339602</v>
      </c>
      <c r="D72" s="1">
        <v>-2.6734851417131701E-6</v>
      </c>
      <c r="E72" s="1">
        <v>-2.73314071819186E-7</v>
      </c>
      <c r="F72">
        <v>-403050.02005263203</v>
      </c>
      <c r="I72">
        <v>392197868.32678902</v>
      </c>
      <c r="J72">
        <v>140487957.20589799</v>
      </c>
      <c r="K72" s="1">
        <v>-4.6252280299086098E-6</v>
      </c>
      <c r="L72" s="1">
        <v>-2.03388481168076E-7</v>
      </c>
      <c r="M72">
        <v>-252695.26329788199</v>
      </c>
      <c r="P72">
        <v>1143211842.80778</v>
      </c>
      <c r="Q72">
        <v>631635529.108356</v>
      </c>
      <c r="R72" s="1">
        <v>1.4882461982779201E-6</v>
      </c>
      <c r="S72" s="1">
        <v>-9.0847606770694298E-7</v>
      </c>
      <c r="T72">
        <v>-761487.16142176301</v>
      </c>
      <c r="W72">
        <v>840180346.53440905</v>
      </c>
      <c r="X72">
        <v>385160789.52070397</v>
      </c>
      <c r="Y72" s="1">
        <v>1.9448452803771901E-6</v>
      </c>
      <c r="Z72" s="1">
        <v>1.7022102838382101E-7</v>
      </c>
      <c r="AA72">
        <v>-526910.91173279297</v>
      </c>
    </row>
    <row r="73" spans="2:27" x14ac:dyDescent="0.25">
      <c r="B73">
        <v>632405277.30469799</v>
      </c>
      <c r="C73">
        <v>290488319.24521297</v>
      </c>
      <c r="D73">
        <v>952533.215468309</v>
      </c>
      <c r="E73">
        <v>114005.982228932</v>
      </c>
      <c r="F73">
        <v>-396437.51699647098</v>
      </c>
      <c r="I73">
        <v>379659177.47316098</v>
      </c>
      <c r="J73">
        <v>137148896.41534901</v>
      </c>
      <c r="K73">
        <v>530423.63423856604</v>
      </c>
      <c r="L73">
        <v>88286.734496569596</v>
      </c>
      <c r="M73">
        <v>-244661.65599106601</v>
      </c>
      <c r="P73">
        <v>1107084317.49508</v>
      </c>
      <c r="Q73">
        <v>613846016.19675601</v>
      </c>
      <c r="R73">
        <v>1509166.2235943801</v>
      </c>
      <c r="S73">
        <v>179387.09437251001</v>
      </c>
      <c r="T73">
        <v>-749587.883247989</v>
      </c>
      <c r="W73">
        <v>813907290.82366097</v>
      </c>
      <c r="X73">
        <v>375150447.202218</v>
      </c>
      <c r="Y73">
        <v>1270261.84162494</v>
      </c>
      <c r="Z73">
        <v>147099.24050635399</v>
      </c>
      <c r="AA73">
        <v>-514309.32915462501</v>
      </c>
    </row>
    <row r="74" spans="2:27" x14ac:dyDescent="0.25">
      <c r="B74">
        <v>564816013.93287694</v>
      </c>
      <c r="C74">
        <v>263585435.16332</v>
      </c>
      <c r="D74">
        <v>117589.088986431</v>
      </c>
      <c r="E74">
        <v>99412.336762644001</v>
      </c>
      <c r="F74">
        <v>-236439.88885580801</v>
      </c>
      <c r="I74">
        <v>338694800.58113003</v>
      </c>
      <c r="J74">
        <v>125331664.939576</v>
      </c>
      <c r="K74">
        <v>-96771.282125090307</v>
      </c>
      <c r="L74">
        <v>96057.136006201399</v>
      </c>
      <c r="M74">
        <v>-148373.88000683999</v>
      </c>
      <c r="P74">
        <v>988984179.54575706</v>
      </c>
      <c r="Q74">
        <v>554131280.91398895</v>
      </c>
      <c r="R74">
        <v>178781.54791011501</v>
      </c>
      <c r="S74">
        <v>145796.20978951899</v>
      </c>
      <c r="T74">
        <v>-484684.24616491603</v>
      </c>
      <c r="W74">
        <v>727431990.90960598</v>
      </c>
      <c r="X74">
        <v>340574971.43489999</v>
      </c>
      <c r="Y74">
        <v>140263.54531142599</v>
      </c>
      <c r="Z74">
        <v>129195.764494029</v>
      </c>
      <c r="AA74">
        <v>-316666.42501099303</v>
      </c>
    </row>
    <row r="75" spans="2:27" x14ac:dyDescent="0.25">
      <c r="B75">
        <v>437381692.32954198</v>
      </c>
      <c r="C75">
        <v>209789177.61525601</v>
      </c>
      <c r="D75">
        <v>-2928669.7402917701</v>
      </c>
      <c r="E75">
        <v>-59819.2560507831</v>
      </c>
      <c r="F75">
        <v>-29822.480119264001</v>
      </c>
      <c r="I75">
        <v>261625215.28401601</v>
      </c>
      <c r="J75">
        <v>100750076.131164</v>
      </c>
      <c r="K75">
        <v>-2120292.4516161801</v>
      </c>
      <c r="L75">
        <v>6691.1409909207296</v>
      </c>
      <c r="M75">
        <v>-17437.3761418094</v>
      </c>
      <c r="P75">
        <v>766265571.30323398</v>
      </c>
      <c r="Q75">
        <v>437472884.505117</v>
      </c>
      <c r="R75">
        <v>-4632296.4047355</v>
      </c>
      <c r="S75">
        <v>-110394.798454356</v>
      </c>
      <c r="T75">
        <v>-107551.603094836</v>
      </c>
      <c r="W75">
        <v>563368144.13287103</v>
      </c>
      <c r="X75">
        <v>270822512.81949902</v>
      </c>
      <c r="Y75">
        <v>-3922730.1766699199</v>
      </c>
      <c r="Z75">
        <v>-79312.961499580502</v>
      </c>
      <c r="AA75">
        <v>-56897.962194340398</v>
      </c>
    </row>
    <row r="76" spans="2:27" x14ac:dyDescent="0.25">
      <c r="B76">
        <v>245785820.50697201</v>
      </c>
      <c r="C76">
        <v>125208612.771001</v>
      </c>
      <c r="D76">
        <v>-6760359.5159378601</v>
      </c>
      <c r="E76">
        <v>-345455.88575660001</v>
      </c>
      <c r="F76">
        <v>4759.9913375754904</v>
      </c>
      <c r="I76">
        <v>146151769.51950699</v>
      </c>
      <c r="J76">
        <v>61030751.031445697</v>
      </c>
      <c r="K76">
        <v>-4550719.2036432503</v>
      </c>
      <c r="L76">
        <v>-159881.202197173</v>
      </c>
      <c r="M76">
        <v>10449.9832643344</v>
      </c>
      <c r="P76">
        <v>431692599.56673503</v>
      </c>
      <c r="Q76">
        <v>257388312.49947199</v>
      </c>
      <c r="R76">
        <v>-10641057.756889001</v>
      </c>
      <c r="S76">
        <v>-579454.32267651998</v>
      </c>
      <c r="T76">
        <v>-18148.4208334496</v>
      </c>
      <c r="W76">
        <v>316062578.868312</v>
      </c>
      <c r="X76">
        <v>160722668.38239601</v>
      </c>
      <c r="Y76">
        <v>-8928653.9641287997</v>
      </c>
      <c r="Z76">
        <v>-438754.820672945</v>
      </c>
      <c r="AA76">
        <v>3977.4346448635001</v>
      </c>
    </row>
    <row r="77" spans="2:27" x14ac:dyDescent="0.25">
      <c r="B77">
        <v>11154133.753889799</v>
      </c>
      <c r="C77">
        <v>19500134.512218799</v>
      </c>
      <c r="D77">
        <v>-8466818.7924585603</v>
      </c>
      <c r="E77">
        <v>-469975.29709065298</v>
      </c>
      <c r="F77">
        <v>57226.545887889697</v>
      </c>
      <c r="I77">
        <v>5283029.1463580905</v>
      </c>
      <c r="J77">
        <v>10842140.6786358</v>
      </c>
      <c r="K77">
        <v>-5599729.9677491495</v>
      </c>
      <c r="L77">
        <v>-231441.57955119299</v>
      </c>
      <c r="M77">
        <v>29968.482105830601</v>
      </c>
      <c r="P77">
        <v>22707443.861919001</v>
      </c>
      <c r="Q77">
        <v>34493630.477857001</v>
      </c>
      <c r="R77">
        <v>-13319888.0894267</v>
      </c>
      <c r="S77">
        <v>-791841.90800013603</v>
      </c>
      <c r="T77">
        <v>79918.145423145193</v>
      </c>
      <c r="W77">
        <v>13583557.695947001</v>
      </c>
      <c r="X77">
        <v>23178962.959563401</v>
      </c>
      <c r="Y77">
        <v>-11100497.4699207</v>
      </c>
      <c r="Z77">
        <v>-596030.34521149402</v>
      </c>
      <c r="AA77">
        <v>58734.270183421402</v>
      </c>
    </row>
    <row r="78" spans="2:27" x14ac:dyDescent="0.25">
      <c r="B78">
        <v>13107947.5955364</v>
      </c>
      <c r="C78">
        <v>20356431.655111302</v>
      </c>
      <c r="D78">
        <v>17809017.175967701</v>
      </c>
      <c r="E78">
        <v>479549.07798871899</v>
      </c>
      <c r="F78">
        <v>172529.075899088</v>
      </c>
      <c r="I78">
        <v>6478912.8176739998</v>
      </c>
      <c r="J78">
        <v>11274310.330693001</v>
      </c>
      <c r="K78">
        <v>11905993.5814151</v>
      </c>
      <c r="L78">
        <v>228577.00506181299</v>
      </c>
      <c r="M78">
        <v>76010.672961736796</v>
      </c>
      <c r="P78">
        <v>25973556.021530099</v>
      </c>
      <c r="Q78">
        <v>36185459.249061398</v>
      </c>
      <c r="R78">
        <v>27622085.398971502</v>
      </c>
      <c r="S78">
        <v>803503.85664669995</v>
      </c>
      <c r="T78">
        <v>376315.22095136001</v>
      </c>
      <c r="W78">
        <v>16170508.311834499</v>
      </c>
      <c r="X78">
        <v>24324312.044776399</v>
      </c>
      <c r="Y78">
        <v>23629174.875091098</v>
      </c>
      <c r="Z78">
        <v>602098.22139975498</v>
      </c>
      <c r="AA78">
        <v>151655.65374023901</v>
      </c>
    </row>
    <row r="79" spans="2:27" x14ac:dyDescent="0.25">
      <c r="B79">
        <v>264997199.697193</v>
      </c>
      <c r="C79">
        <v>133430617.146263</v>
      </c>
      <c r="D79">
        <v>13627435.8830138</v>
      </c>
      <c r="E79">
        <v>365551.66635371</v>
      </c>
      <c r="F79">
        <v>55376.375997453099</v>
      </c>
      <c r="I79">
        <v>157880810.45157701</v>
      </c>
      <c r="J79">
        <v>64816459.412182897</v>
      </c>
      <c r="K79">
        <v>9302545.5016622096</v>
      </c>
      <c r="L79">
        <v>163750.762444569</v>
      </c>
      <c r="M79">
        <v>44219.887875498498</v>
      </c>
      <c r="P79">
        <v>463528219.53602302</v>
      </c>
      <c r="Q79">
        <v>274151376.59224701</v>
      </c>
      <c r="R79">
        <v>21051926.386814099</v>
      </c>
      <c r="S79">
        <v>609320.19470707094</v>
      </c>
      <c r="T79">
        <v>16369.112739052</v>
      </c>
      <c r="W79">
        <v>341005568.33164901</v>
      </c>
      <c r="X79">
        <v>171205991.46665701</v>
      </c>
      <c r="Y79">
        <v>18195320.204210199</v>
      </c>
      <c r="Z79">
        <v>448986.55959434499</v>
      </c>
      <c r="AA79">
        <v>40195.370299829498</v>
      </c>
    </row>
    <row r="80" spans="2:27" x14ac:dyDescent="0.25">
      <c r="B80">
        <v>450209593.175538</v>
      </c>
      <c r="C80">
        <v>214636705.78670001</v>
      </c>
      <c r="D80">
        <v>3873082.49698496</v>
      </c>
      <c r="E80">
        <v>-12588.7856587389</v>
      </c>
      <c r="F80">
        <v>-218079.46364340701</v>
      </c>
      <c r="I80">
        <v>269533969.58191401</v>
      </c>
      <c r="J80">
        <v>102702934.528675</v>
      </c>
      <c r="K80">
        <v>2999428.3481558398</v>
      </c>
      <c r="L80">
        <v>-49886.292564566204</v>
      </c>
      <c r="M80">
        <v>-145014.19787898299</v>
      </c>
      <c r="P80">
        <v>785336208.11102498</v>
      </c>
      <c r="Q80">
        <v>446627469.52539402</v>
      </c>
      <c r="R80">
        <v>5766550.9180870103</v>
      </c>
      <c r="S80">
        <v>-40402.431679339701</v>
      </c>
      <c r="T80">
        <v>-409618.03623424203</v>
      </c>
      <c r="W80">
        <v>579627937.61636102</v>
      </c>
      <c r="X80">
        <v>276496899.74038398</v>
      </c>
      <c r="Y80">
        <v>5341238.6712492704</v>
      </c>
      <c r="Z80">
        <v>-18687.234183769899</v>
      </c>
      <c r="AA80">
        <v>-354423.86577620503</v>
      </c>
    </row>
    <row r="81" spans="2:27" x14ac:dyDescent="0.25">
      <c r="B81">
        <v>552053286.42649996</v>
      </c>
      <c r="C81">
        <v>256854460.45787001</v>
      </c>
      <c r="D81">
        <v>-2373229.1093312101</v>
      </c>
      <c r="E81">
        <v>-229835.05354148301</v>
      </c>
      <c r="F81">
        <v>-379938.10946208198</v>
      </c>
      <c r="I81">
        <v>330803825.71814197</v>
      </c>
      <c r="J81">
        <v>121585597.61097699</v>
      </c>
      <c r="K81">
        <v>-1209246.5164043801</v>
      </c>
      <c r="L81">
        <v>-168395.05076290699</v>
      </c>
      <c r="M81">
        <v>-282092.67128027498</v>
      </c>
      <c r="P81">
        <v>961754251.56100297</v>
      </c>
      <c r="Q81">
        <v>537952462.33262599</v>
      </c>
      <c r="R81">
        <v>-3932994.9678688399</v>
      </c>
      <c r="S81">
        <v>-374859.37216755102</v>
      </c>
      <c r="T81">
        <v>-702108.976526757</v>
      </c>
      <c r="W81">
        <v>709246356.39730501</v>
      </c>
      <c r="X81">
        <v>330405704.394916</v>
      </c>
      <c r="Y81">
        <v>-3029274.2802661099</v>
      </c>
      <c r="Z81">
        <v>-290231.78595759801</v>
      </c>
      <c r="AA81">
        <v>-604639.55117791099</v>
      </c>
    </row>
    <row r="82" spans="2:27" x14ac:dyDescent="0.25">
      <c r="B82">
        <v>598034441.14945602</v>
      </c>
      <c r="C82">
        <v>274241935.38467699</v>
      </c>
      <c r="D82">
        <v>-3074843.2302482501</v>
      </c>
      <c r="E82">
        <v>-162233.176633369</v>
      </c>
      <c r="F82">
        <v>-650499.10459147405</v>
      </c>
      <c r="I82">
        <v>358462938.78546798</v>
      </c>
      <c r="J82">
        <v>128832795.178394</v>
      </c>
      <c r="K82">
        <v>-1844850.0150448901</v>
      </c>
      <c r="L82">
        <v>-114861.841870973</v>
      </c>
      <c r="M82">
        <v>-432473.21842614398</v>
      </c>
      <c r="P82">
        <v>1040616093.34606</v>
      </c>
      <c r="Q82">
        <v>576550138.59926999</v>
      </c>
      <c r="R82">
        <v>-4934271.0849083597</v>
      </c>
      <c r="S82">
        <v>-263067.24224033701</v>
      </c>
      <c r="T82">
        <v>-1199636.8318513499</v>
      </c>
      <c r="W82">
        <v>766688620.64459395</v>
      </c>
      <c r="X82">
        <v>352033756.68605602</v>
      </c>
      <c r="Y82">
        <v>-4042260.3617061502</v>
      </c>
      <c r="Z82">
        <v>-208039.45199826101</v>
      </c>
      <c r="AA82">
        <v>-921893.23646157805</v>
      </c>
    </row>
    <row r="83" spans="2:27" x14ac:dyDescent="0.25">
      <c r="B83">
        <v>610384031.38587606</v>
      </c>
      <c r="C83">
        <v>278472915.30394799</v>
      </c>
      <c r="D83" s="1">
        <v>-3.5918965295422801E-6</v>
      </c>
      <c r="E83" s="1">
        <v>-1.8040009308606399E-7</v>
      </c>
      <c r="F83">
        <v>-733929.15837540501</v>
      </c>
      <c r="I83">
        <v>365912470.35771602</v>
      </c>
      <c r="J83">
        <v>130456308.472948</v>
      </c>
      <c r="K83" s="1">
        <v>-3.4855038393288902E-6</v>
      </c>
      <c r="L83" s="1">
        <v>-5.6403951020911304E-7</v>
      </c>
      <c r="M83">
        <v>-476681.49725884601</v>
      </c>
      <c r="P83">
        <v>1061812241.48149</v>
      </c>
      <c r="Q83">
        <v>586331593.62376797</v>
      </c>
      <c r="R83" s="1">
        <v>-1.1949086911045E-6</v>
      </c>
      <c r="S83" s="1">
        <v>-6.2791514210402997E-7</v>
      </c>
      <c r="T83">
        <v>-1332486.4590081</v>
      </c>
      <c r="W83">
        <v>781939756.36580205</v>
      </c>
      <c r="X83">
        <v>357173825.40291399</v>
      </c>
      <c r="Y83" s="1">
        <v>-2.9491638997569701E-7</v>
      </c>
      <c r="Z83" s="1">
        <v>-4.2261672206223E-7</v>
      </c>
      <c r="AA83">
        <v>-1016530.02987379</v>
      </c>
    </row>
    <row r="84" spans="2:27" x14ac:dyDescent="0.25">
      <c r="B84">
        <v>598034441.14947605</v>
      </c>
      <c r="C84">
        <v>274241935.38468897</v>
      </c>
      <c r="D84">
        <v>3074843.23024758</v>
      </c>
      <c r="E84">
        <v>162233.176633711</v>
      </c>
      <c r="F84">
        <v>-650499.10458985798</v>
      </c>
      <c r="I84">
        <v>358462938.78551102</v>
      </c>
      <c r="J84">
        <v>128832795.178413</v>
      </c>
      <c r="K84">
        <v>1844850.0150412801</v>
      </c>
      <c r="L84">
        <v>114861.84187099199</v>
      </c>
      <c r="M84">
        <v>-432473.21842536202</v>
      </c>
      <c r="P84">
        <v>1040616093.34601</v>
      </c>
      <c r="Q84">
        <v>576550138.59923398</v>
      </c>
      <c r="R84">
        <v>4934271.0849083597</v>
      </c>
      <c r="S84">
        <v>263067.24223792797</v>
      </c>
      <c r="T84">
        <v>-1199636.8318483899</v>
      </c>
      <c r="W84">
        <v>766688620.64460194</v>
      </c>
      <c r="X84">
        <v>352033756.68606102</v>
      </c>
      <c r="Y84">
        <v>4042260.3617086099</v>
      </c>
      <c r="Z84">
        <v>208039.45199721801</v>
      </c>
      <c r="AA84">
        <v>-921893.23646315804</v>
      </c>
    </row>
    <row r="85" spans="2:27" x14ac:dyDescent="0.25">
      <c r="B85">
        <v>552053286.42652297</v>
      </c>
      <c r="C85">
        <v>256854460.45788199</v>
      </c>
      <c r="D85">
        <v>2373229.1093365001</v>
      </c>
      <c r="E85">
        <v>229835.05354056999</v>
      </c>
      <c r="F85">
        <v>-379938.10946142097</v>
      </c>
      <c r="I85">
        <v>330803825.71812201</v>
      </c>
      <c r="J85">
        <v>121585597.610966</v>
      </c>
      <c r="K85">
        <v>1209246.5164055701</v>
      </c>
      <c r="L85">
        <v>168395.05076257899</v>
      </c>
      <c r="M85">
        <v>-282092.67127926601</v>
      </c>
      <c r="P85">
        <v>961754251.56090701</v>
      </c>
      <c r="Q85">
        <v>537952462.33257306</v>
      </c>
      <c r="R85">
        <v>3932994.9678658801</v>
      </c>
      <c r="S85">
        <v>374859.37216675101</v>
      </c>
      <c r="T85">
        <v>-702108.97652180598</v>
      </c>
      <c r="W85">
        <v>709246356.39732397</v>
      </c>
      <c r="X85">
        <v>330405704.39493102</v>
      </c>
      <c r="Y85">
        <v>3029274.2802689001</v>
      </c>
      <c r="Z85">
        <v>290231.78595755901</v>
      </c>
      <c r="AA85">
        <v>-604639.55117741297</v>
      </c>
    </row>
    <row r="86" spans="2:27" x14ac:dyDescent="0.25">
      <c r="B86">
        <v>450209593.175574</v>
      </c>
      <c r="C86">
        <v>214636705.786724</v>
      </c>
      <c r="D86">
        <v>-3873082.4969836902</v>
      </c>
      <c r="E86">
        <v>12588.785659788</v>
      </c>
      <c r="F86">
        <v>-218079.463643642</v>
      </c>
      <c r="I86">
        <v>269533969.58191699</v>
      </c>
      <c r="J86">
        <v>102702934.528677</v>
      </c>
      <c r="K86">
        <v>-2999428.3481530901</v>
      </c>
      <c r="L86">
        <v>49886.292564762203</v>
      </c>
      <c r="M86">
        <v>-145014.19787852699</v>
      </c>
      <c r="P86">
        <v>785336208.11096704</v>
      </c>
      <c r="Q86">
        <v>446627469.52534997</v>
      </c>
      <c r="R86">
        <v>-5766550.9180864496</v>
      </c>
      <c r="S86">
        <v>40402.431680816102</v>
      </c>
      <c r="T86">
        <v>-409618.03623903298</v>
      </c>
      <c r="W86">
        <v>579627937.61637199</v>
      </c>
      <c r="X86">
        <v>276496899.74039</v>
      </c>
      <c r="Y86">
        <v>-5341238.6712464197</v>
      </c>
      <c r="Z86">
        <v>18687.234182963999</v>
      </c>
      <c r="AA86">
        <v>-354423.86577578902</v>
      </c>
    </row>
    <row r="87" spans="2:27" x14ac:dyDescent="0.25">
      <c r="B87">
        <v>264997199.697229</v>
      </c>
      <c r="C87">
        <v>133430617.14628799</v>
      </c>
      <c r="D87">
        <v>-13627435.8830144</v>
      </c>
      <c r="E87">
        <v>-365551.66635531199</v>
      </c>
      <c r="F87">
        <v>55376.375998758602</v>
      </c>
      <c r="I87">
        <v>157880810.451594</v>
      </c>
      <c r="J87">
        <v>64816459.412190102</v>
      </c>
      <c r="K87">
        <v>-9302545.5016602594</v>
      </c>
      <c r="L87">
        <v>-163750.762445261</v>
      </c>
      <c r="M87">
        <v>44219.887875981403</v>
      </c>
      <c r="P87">
        <v>463528219.53599602</v>
      </c>
      <c r="Q87">
        <v>274151376.592224</v>
      </c>
      <c r="R87">
        <v>-21051926.386812899</v>
      </c>
      <c r="S87">
        <v>-609320.19470790203</v>
      </c>
      <c r="T87">
        <v>16369.1127398599</v>
      </c>
      <c r="W87">
        <v>341005568.33163297</v>
      </c>
      <c r="X87">
        <v>171205991.466645</v>
      </c>
      <c r="Y87">
        <v>-18195320.2042115</v>
      </c>
      <c r="Z87">
        <v>-448986.55959580198</v>
      </c>
      <c r="AA87">
        <v>40195.370299448601</v>
      </c>
    </row>
    <row r="88" spans="2:27" x14ac:dyDescent="0.25">
      <c r="B88">
        <v>13107947.595538</v>
      </c>
      <c r="C88">
        <v>20356431.655111399</v>
      </c>
      <c r="D88">
        <v>-17809017.175966699</v>
      </c>
      <c r="E88">
        <v>-479549.077987506</v>
      </c>
      <c r="F88">
        <v>172529.07589893299</v>
      </c>
      <c r="I88">
        <v>6478912.8176738201</v>
      </c>
      <c r="J88">
        <v>11274310.3306909</v>
      </c>
      <c r="K88">
        <v>-11905993.5814145</v>
      </c>
      <c r="L88">
        <v>-228577.00506061601</v>
      </c>
      <c r="M88">
        <v>76010.672963384495</v>
      </c>
      <c r="P88">
        <v>25973556.021531999</v>
      </c>
      <c r="Q88">
        <v>36185459.249064296</v>
      </c>
      <c r="R88">
        <v>-27622085.398972701</v>
      </c>
      <c r="S88">
        <v>-803503.85664341098</v>
      </c>
      <c r="T88">
        <v>376315.22095638799</v>
      </c>
      <c r="W88">
        <v>16170508.3118347</v>
      </c>
      <c r="X88">
        <v>24324312.044776399</v>
      </c>
      <c r="Y88">
        <v>-23629174.875092499</v>
      </c>
      <c r="Z88">
        <v>-602098.22139726602</v>
      </c>
      <c r="AA88">
        <v>151655.653739973</v>
      </c>
    </row>
    <row r="89" spans="2:27" x14ac:dyDescent="0.25">
      <c r="B89">
        <v>17225370.670625798</v>
      </c>
      <c r="C89">
        <v>22802975.919001199</v>
      </c>
      <c r="D89">
        <v>29457921.821887899</v>
      </c>
      <c r="E89">
        <v>291768.98218311201</v>
      </c>
      <c r="F89">
        <v>-1311398.0960880599</v>
      </c>
      <c r="I89">
        <v>8943654.5040190108</v>
      </c>
      <c r="J89">
        <v>12491872.2560634</v>
      </c>
      <c r="K89">
        <v>20115225.3333642</v>
      </c>
      <c r="L89">
        <v>154230.26007277699</v>
      </c>
      <c r="M89">
        <v>-781233.35320374498</v>
      </c>
      <c r="P89">
        <v>33083422.616723001</v>
      </c>
      <c r="Q89">
        <v>40985152.024493597</v>
      </c>
      <c r="R89">
        <v>44315992.913651101</v>
      </c>
      <c r="S89">
        <v>433693.05183953501</v>
      </c>
      <c r="T89">
        <v>-1837459.27552005</v>
      </c>
      <c r="W89">
        <v>21290357.212016702</v>
      </c>
      <c r="X89">
        <v>27320325.264392901</v>
      </c>
      <c r="Y89">
        <v>39413283.989016302</v>
      </c>
      <c r="Z89">
        <v>387886.36067744502</v>
      </c>
      <c r="AA89">
        <v>-1455036.71542617</v>
      </c>
    </row>
    <row r="90" spans="2:27" x14ac:dyDescent="0.25">
      <c r="B90">
        <v>314148825.72983599</v>
      </c>
      <c r="C90">
        <v>155042610.50342</v>
      </c>
      <c r="D90">
        <v>19493207.796788801</v>
      </c>
      <c r="E90">
        <v>182277.155732385</v>
      </c>
      <c r="F90">
        <v>1153412.4940084801</v>
      </c>
      <c r="I90">
        <v>187337177.40022299</v>
      </c>
      <c r="J90">
        <v>74574731.410201296</v>
      </c>
      <c r="K90">
        <v>13655990.3221683</v>
      </c>
      <c r="L90">
        <v>42962.969932497901</v>
      </c>
      <c r="M90">
        <v>577115.56790619402</v>
      </c>
      <c r="P90">
        <v>547482532.80718398</v>
      </c>
      <c r="Q90">
        <v>319653585.53183502</v>
      </c>
      <c r="R90">
        <v>29086708.549164701</v>
      </c>
      <c r="S90">
        <v>313010.10614577</v>
      </c>
      <c r="T90">
        <v>1986277.2644362899</v>
      </c>
      <c r="W90">
        <v>401445479.87656301</v>
      </c>
      <c r="X90">
        <v>197279675.534354</v>
      </c>
      <c r="Y90">
        <v>26183446.2267722</v>
      </c>
      <c r="Z90">
        <v>203303.852568148</v>
      </c>
      <c r="AA90">
        <v>1124385.8845372701</v>
      </c>
    </row>
    <row r="91" spans="2:27" x14ac:dyDescent="0.25">
      <c r="B91">
        <v>477448127.40282297</v>
      </c>
      <c r="C91">
        <v>226936340.79610699</v>
      </c>
      <c r="D91">
        <v>-796583.89404129097</v>
      </c>
      <c r="E91">
        <v>88049.803169669001</v>
      </c>
      <c r="F91">
        <v>-249826.62933650601</v>
      </c>
      <c r="I91">
        <v>284672728.21474898</v>
      </c>
      <c r="J91">
        <v>107421613.994278</v>
      </c>
      <c r="K91">
        <v>252792.29654398901</v>
      </c>
      <c r="L91">
        <v>-25119.0294366532</v>
      </c>
      <c r="M91">
        <v>-265185.337697979</v>
      </c>
      <c r="P91">
        <v>828996828.07047999</v>
      </c>
      <c r="Q91">
        <v>471392037.50058699</v>
      </c>
      <c r="R91">
        <v>-2554011.94254759</v>
      </c>
      <c r="S91">
        <v>162162.99019395301</v>
      </c>
      <c r="T91">
        <v>-388668.80198324798</v>
      </c>
      <c r="W91">
        <v>606981793.21351302</v>
      </c>
      <c r="X91">
        <v>287927274.44370401</v>
      </c>
      <c r="Y91">
        <v>-745070.628651932</v>
      </c>
      <c r="Z91">
        <v>43655.520441907996</v>
      </c>
      <c r="AA91">
        <v>-561942.01053275703</v>
      </c>
    </row>
    <row r="92" spans="2:27" x14ac:dyDescent="0.25">
      <c r="B92">
        <v>525951101.754354</v>
      </c>
      <c r="C92">
        <v>246096374.620848</v>
      </c>
      <c r="D92">
        <v>-9017923.1715537105</v>
      </c>
      <c r="E92">
        <v>-254691.33787602399</v>
      </c>
      <c r="F92">
        <v>-538065.10739332298</v>
      </c>
      <c r="I92">
        <v>313535615.09781498</v>
      </c>
      <c r="J92">
        <v>115455509.790674</v>
      </c>
      <c r="K92">
        <v>-5405141.3286983902</v>
      </c>
      <c r="L92">
        <v>-182176.632903413</v>
      </c>
      <c r="M92">
        <v>-436567.96727476403</v>
      </c>
      <c r="P92">
        <v>908715907.454795</v>
      </c>
      <c r="Q92">
        <v>511442893.25008303</v>
      </c>
      <c r="R92">
        <v>-14972665.9493753</v>
      </c>
      <c r="S92">
        <v>-442040.70258295501</v>
      </c>
      <c r="T92">
        <v>-772493.34082620696</v>
      </c>
      <c r="W92">
        <v>663888054.98559105</v>
      </c>
      <c r="X92">
        <v>309919167.21889001</v>
      </c>
      <c r="Y92">
        <v>-11660576.123611899</v>
      </c>
      <c r="Z92">
        <v>-336338.22873628198</v>
      </c>
      <c r="AA92">
        <v>-939327.85254831798</v>
      </c>
    </row>
    <row r="93" spans="2:27" x14ac:dyDescent="0.25">
      <c r="B93">
        <v>542146901.75247204</v>
      </c>
      <c r="C93">
        <v>250909912.081792</v>
      </c>
      <c r="D93">
        <v>-7224122.1565222796</v>
      </c>
      <c r="E93">
        <v>-192855.728116941</v>
      </c>
      <c r="F93">
        <v>-310825.84408602997</v>
      </c>
      <c r="I93">
        <v>322964780.764341</v>
      </c>
      <c r="J93">
        <v>116864605.02431101</v>
      </c>
      <c r="K93">
        <v>-4504983.5668691602</v>
      </c>
      <c r="L93">
        <v>-127750.385860378</v>
      </c>
      <c r="M93">
        <v>-318913.028366182</v>
      </c>
      <c r="P93">
        <v>934510382.3642</v>
      </c>
      <c r="Q93">
        <v>522235593.46417499</v>
      </c>
      <c r="R93">
        <v>-11629800.7045423</v>
      </c>
      <c r="S93">
        <v>-321780.069235506</v>
      </c>
      <c r="T93">
        <v>-403433.25865946698</v>
      </c>
      <c r="W93">
        <v>681362952.75659895</v>
      </c>
      <c r="X93">
        <v>314426473.06107098</v>
      </c>
      <c r="Y93">
        <v>-9370204.1766824797</v>
      </c>
      <c r="Z93">
        <v>-243789.695573117</v>
      </c>
      <c r="AA93">
        <v>-685165.24496977194</v>
      </c>
    </row>
    <row r="94" spans="2:27" x14ac:dyDescent="0.25">
      <c r="B94">
        <v>544593435.628474</v>
      </c>
      <c r="C94">
        <v>250988949.618774</v>
      </c>
      <c r="D94" s="1">
        <v>-1.4439865481108401E-7</v>
      </c>
      <c r="E94" s="1">
        <v>-7.3490809882059707E-8</v>
      </c>
      <c r="F94">
        <v>-284096.88125120802</v>
      </c>
      <c r="I94">
        <v>324387736.564937</v>
      </c>
      <c r="J94">
        <v>116590531.48705199</v>
      </c>
      <c r="K94" s="1">
        <v>-1.3167809811420701E-6</v>
      </c>
      <c r="L94" s="1">
        <v>-3.5483026294969002E-8</v>
      </c>
      <c r="M94">
        <v>-300978.38000960997</v>
      </c>
      <c r="P94">
        <v>937996114.79707503</v>
      </c>
      <c r="Q94">
        <v>522754196.90438801</v>
      </c>
      <c r="R94" s="1">
        <v>-2.02184310182929E-6</v>
      </c>
      <c r="S94" s="1">
        <v>-9.8250529845245204E-7</v>
      </c>
      <c r="T94">
        <v>-386093.435409214</v>
      </c>
      <c r="W94">
        <v>683620183.71924996</v>
      </c>
      <c r="X94">
        <v>314053133.02641797</v>
      </c>
      <c r="Y94" s="1">
        <v>1.43534271046519E-6</v>
      </c>
      <c r="Z94" s="1">
        <v>4.6093555283732702E-7</v>
      </c>
      <c r="AA94">
        <v>-647820.27244507102</v>
      </c>
    </row>
    <row r="95" spans="2:27" x14ac:dyDescent="0.25">
      <c r="B95">
        <v>542146901.75256705</v>
      </c>
      <c r="C95">
        <v>250909912.081848</v>
      </c>
      <c r="D95">
        <v>7224122.1565223401</v>
      </c>
      <c r="E95">
        <v>192855.728116738</v>
      </c>
      <c r="F95">
        <v>-310825.84408411698</v>
      </c>
      <c r="I95">
        <v>322964780.764364</v>
      </c>
      <c r="J95">
        <v>116864605.02431899</v>
      </c>
      <c r="K95">
        <v>4504983.56686603</v>
      </c>
      <c r="L95">
        <v>127750.385860348</v>
      </c>
      <c r="M95">
        <v>-318913.028366399</v>
      </c>
      <c r="P95">
        <v>934510382.36418295</v>
      </c>
      <c r="Q95">
        <v>522235593.46415699</v>
      </c>
      <c r="R95">
        <v>11629800.704541899</v>
      </c>
      <c r="S95">
        <v>321780.06923696498</v>
      </c>
      <c r="T95">
        <v>-403433.25865729101</v>
      </c>
      <c r="W95">
        <v>681362952.75662398</v>
      </c>
      <c r="X95">
        <v>314426473.06107998</v>
      </c>
      <c r="Y95">
        <v>9370204.1766870804</v>
      </c>
      <c r="Z95">
        <v>243789.695572842</v>
      </c>
      <c r="AA95">
        <v>-685165.24497082899</v>
      </c>
    </row>
    <row r="96" spans="2:27" x14ac:dyDescent="0.25">
      <c r="B96">
        <v>525951101.754408</v>
      </c>
      <c r="C96">
        <v>246096374.620875</v>
      </c>
      <c r="D96">
        <v>9017923.1715557296</v>
      </c>
      <c r="E96">
        <v>254691.337875528</v>
      </c>
      <c r="F96">
        <v>-538065.10739390005</v>
      </c>
      <c r="I96">
        <v>313535615.09790099</v>
      </c>
      <c r="J96">
        <v>115455509.790718</v>
      </c>
      <c r="K96">
        <v>5405141.32869823</v>
      </c>
      <c r="L96">
        <v>182176.63290294199</v>
      </c>
      <c r="M96">
        <v>-436567.96727402101</v>
      </c>
      <c r="P96">
        <v>908715907.45487905</v>
      </c>
      <c r="Q96">
        <v>511442893.250144</v>
      </c>
      <c r="R96">
        <v>14972665.9493725</v>
      </c>
      <c r="S96">
        <v>442040.70258098998</v>
      </c>
      <c r="T96">
        <v>-772493.34082676901</v>
      </c>
      <c r="W96">
        <v>663888054.98561299</v>
      </c>
      <c r="X96">
        <v>309919167.21890801</v>
      </c>
      <c r="Y96">
        <v>11660576.123614401</v>
      </c>
      <c r="Z96">
        <v>336338.22873535502</v>
      </c>
      <c r="AA96">
        <v>-939327.85255172197</v>
      </c>
    </row>
    <row r="97" spans="2:27" x14ac:dyDescent="0.25">
      <c r="B97">
        <v>477448127.40284002</v>
      </c>
      <c r="C97">
        <v>226936340.79611799</v>
      </c>
      <c r="D97">
        <v>796583.89404324896</v>
      </c>
      <c r="E97">
        <v>-88049.803170167695</v>
      </c>
      <c r="F97">
        <v>-249826.629336963</v>
      </c>
      <c r="I97">
        <v>284672728.21477401</v>
      </c>
      <c r="J97">
        <v>107421613.994289</v>
      </c>
      <c r="K97">
        <v>-252792.29654084399</v>
      </c>
      <c r="L97">
        <v>25119.029436129898</v>
      </c>
      <c r="M97">
        <v>-265185.33769723203</v>
      </c>
      <c r="P97">
        <v>828996828.07047296</v>
      </c>
      <c r="Q97">
        <v>471392037.50057697</v>
      </c>
      <c r="R97">
        <v>2554011.9425488701</v>
      </c>
      <c r="S97">
        <v>-162162.99019459999</v>
      </c>
      <c r="T97">
        <v>-388668.80197673902</v>
      </c>
      <c r="W97">
        <v>606981793.21345997</v>
      </c>
      <c r="X97">
        <v>287927274.443672</v>
      </c>
      <c r="Y97">
        <v>745070.62865028798</v>
      </c>
      <c r="Z97">
        <v>-43655.520441993198</v>
      </c>
      <c r="AA97">
        <v>-561942.01053311105</v>
      </c>
    </row>
    <row r="98" spans="2:27" x14ac:dyDescent="0.25">
      <c r="B98">
        <v>314148825.72985703</v>
      </c>
      <c r="C98">
        <v>155042610.50343701</v>
      </c>
      <c r="D98">
        <v>-19493207.796790101</v>
      </c>
      <c r="E98">
        <v>-182277.15573276399</v>
      </c>
      <c r="F98">
        <v>1153412.4940080801</v>
      </c>
      <c r="I98">
        <v>187337177.40021899</v>
      </c>
      <c r="J98">
        <v>74574731.410197094</v>
      </c>
      <c r="K98">
        <v>-13655990.322166899</v>
      </c>
      <c r="L98">
        <v>-42962.969932943102</v>
      </c>
      <c r="M98">
        <v>577115.56790539098</v>
      </c>
      <c r="P98">
        <v>547482532.80716503</v>
      </c>
      <c r="Q98">
        <v>319653585.53181899</v>
      </c>
      <c r="R98">
        <v>-29086708.549162101</v>
      </c>
      <c r="S98">
        <v>-313010.10614686803</v>
      </c>
      <c r="T98">
        <v>1986277.2644366501</v>
      </c>
      <c r="W98">
        <v>401445479.87653399</v>
      </c>
      <c r="X98">
        <v>197279675.534338</v>
      </c>
      <c r="Y98">
        <v>-26183446.226773299</v>
      </c>
      <c r="Z98">
        <v>-203303.85256919899</v>
      </c>
      <c r="AA98">
        <v>1124385.88453857</v>
      </c>
    </row>
    <row r="99" spans="2:27" x14ac:dyDescent="0.25">
      <c r="B99">
        <v>17225370.6706274</v>
      </c>
      <c r="C99">
        <v>22802975.9190019</v>
      </c>
      <c r="D99">
        <v>-29457921.821890298</v>
      </c>
      <c r="E99">
        <v>-291768.98218206002</v>
      </c>
      <c r="F99">
        <v>-1311398.0960874299</v>
      </c>
      <c r="I99">
        <v>8943654.5040192306</v>
      </c>
      <c r="J99">
        <v>12491872.256063599</v>
      </c>
      <c r="K99">
        <v>-20115225.3333636</v>
      </c>
      <c r="L99">
        <v>-154230.260071506</v>
      </c>
      <c r="M99">
        <v>-781233.35320385604</v>
      </c>
      <c r="P99">
        <v>33083422.616724402</v>
      </c>
      <c r="Q99">
        <v>40985152.0244954</v>
      </c>
      <c r="R99">
        <v>-44315992.913648002</v>
      </c>
      <c r="S99">
        <v>-433693.05183651799</v>
      </c>
      <c r="T99">
        <v>-1837459.27552369</v>
      </c>
      <c r="W99">
        <v>21290357.212015498</v>
      </c>
      <c r="X99">
        <v>27320325.264390901</v>
      </c>
      <c r="Y99">
        <v>-39413283.989015102</v>
      </c>
      <c r="Z99">
        <v>-387886.360675045</v>
      </c>
      <c r="AA99">
        <v>-1455036.71542438</v>
      </c>
    </row>
    <row r="100" spans="2:27" x14ac:dyDescent="0.25">
      <c r="B100">
        <v>80316923.541889504</v>
      </c>
      <c r="C100">
        <v>50442443.041066997</v>
      </c>
      <c r="D100">
        <v>55214475.691601001</v>
      </c>
      <c r="E100">
        <v>2322075.9488168801</v>
      </c>
      <c r="F100">
        <v>-4836406.8916887799</v>
      </c>
      <c r="I100">
        <v>45843569.705056801</v>
      </c>
      <c r="J100">
        <v>24922922.357880998</v>
      </c>
      <c r="K100">
        <v>37859446.150020003</v>
      </c>
      <c r="L100">
        <v>1031660.21405627</v>
      </c>
      <c r="M100">
        <v>-2147286.6046458501</v>
      </c>
      <c r="P100">
        <v>146033130.22013599</v>
      </c>
      <c r="Q100">
        <v>102013796.79145899</v>
      </c>
      <c r="R100">
        <v>81718474.8585383</v>
      </c>
      <c r="S100">
        <v>4164610.3780864999</v>
      </c>
      <c r="T100">
        <v>-9261380.7688035201</v>
      </c>
      <c r="W100">
        <v>102145747.139079</v>
      </c>
      <c r="X100">
        <v>62801859.295701399</v>
      </c>
      <c r="Y100">
        <v>72187946.364114806</v>
      </c>
      <c r="Z100">
        <v>2501353.0880529</v>
      </c>
      <c r="AA100">
        <v>-5252689.1362332804</v>
      </c>
    </row>
    <row r="101" spans="2:27" x14ac:dyDescent="0.25">
      <c r="B101">
        <v>446104045.54310799</v>
      </c>
      <c r="C101">
        <v>213035652.522037</v>
      </c>
      <c r="D101">
        <v>13407373.280908501</v>
      </c>
      <c r="E101">
        <v>131508.25228269299</v>
      </c>
      <c r="F101">
        <v>787504.85773906903</v>
      </c>
      <c r="I101">
        <v>263554532.924757</v>
      </c>
      <c r="J101">
        <v>99498049.3416785</v>
      </c>
      <c r="K101">
        <v>10550374.0533197</v>
      </c>
      <c r="L101">
        <v>1997.13261152062</v>
      </c>
      <c r="M101">
        <v>155822.872527456</v>
      </c>
      <c r="P101">
        <v>781290104.46137094</v>
      </c>
      <c r="Q101">
        <v>447141365.23150098</v>
      </c>
      <c r="R101">
        <v>16165353.4772131</v>
      </c>
      <c r="S101">
        <v>189669.518063639</v>
      </c>
      <c r="T101">
        <v>1915925.57276051</v>
      </c>
      <c r="W101">
        <v>561117837.05245495</v>
      </c>
      <c r="X101">
        <v>267142859.67455801</v>
      </c>
      <c r="Y101">
        <v>16845968.5215245</v>
      </c>
      <c r="Z101">
        <v>74387.967755721605</v>
      </c>
      <c r="AA101">
        <v>596224.36614712398</v>
      </c>
    </row>
    <row r="102" spans="2:27" x14ac:dyDescent="0.25">
      <c r="B102">
        <v>527030962.17975801</v>
      </c>
      <c r="C102">
        <v>254986695.00442401</v>
      </c>
      <c r="D102">
        <v>-14287612.378448101</v>
      </c>
      <c r="E102">
        <v>-686524.98488675302</v>
      </c>
      <c r="F102">
        <v>1727524.65817822</v>
      </c>
      <c r="I102">
        <v>308216187.254143</v>
      </c>
      <c r="J102">
        <v>118218184.64175899</v>
      </c>
      <c r="K102">
        <v>-8195816.7374463696</v>
      </c>
      <c r="L102">
        <v>-401839.34902010899</v>
      </c>
      <c r="M102">
        <v>599087.66894294904</v>
      </c>
      <c r="P102">
        <v>910930896.584813</v>
      </c>
      <c r="Q102">
        <v>527676676.750422</v>
      </c>
      <c r="R102">
        <v>-25228838.795648701</v>
      </c>
      <c r="S102">
        <v>-1123432.32215964</v>
      </c>
      <c r="T102">
        <v>3585574.6942927102</v>
      </c>
      <c r="W102">
        <v>640413867.43358302</v>
      </c>
      <c r="X102">
        <v>309845337.08266598</v>
      </c>
      <c r="Y102">
        <v>-18964016.403832</v>
      </c>
      <c r="Z102">
        <v>-824348.659998202</v>
      </c>
      <c r="AA102">
        <v>1585495.47007634</v>
      </c>
    </row>
    <row r="103" spans="2:27" x14ac:dyDescent="0.25">
      <c r="B103">
        <v>524044308.502047</v>
      </c>
      <c r="C103">
        <v>252847007.623896</v>
      </c>
      <c r="D103">
        <v>-18899994.274302401</v>
      </c>
      <c r="E103">
        <v>-299565.897353423</v>
      </c>
      <c r="F103">
        <v>1434484.3190357401</v>
      </c>
      <c r="I103">
        <v>306141137.23001301</v>
      </c>
      <c r="J103">
        <v>116737087.045057</v>
      </c>
      <c r="K103">
        <v>-11754438.684989501</v>
      </c>
      <c r="L103">
        <v>-182478.95211236301</v>
      </c>
      <c r="M103">
        <v>531893.66085787397</v>
      </c>
      <c r="P103">
        <v>900044284.03153098</v>
      </c>
      <c r="Q103">
        <v>520900303.76993501</v>
      </c>
      <c r="R103">
        <v>-30989700.646751199</v>
      </c>
      <c r="S103">
        <v>-499310.57818230399</v>
      </c>
      <c r="T103">
        <v>2982183.7195045501</v>
      </c>
      <c r="W103">
        <v>629228126.66228199</v>
      </c>
      <c r="X103">
        <v>303407247.666565</v>
      </c>
      <c r="Y103">
        <v>-24525582.125352699</v>
      </c>
      <c r="Z103">
        <v>-367441.97412344703</v>
      </c>
      <c r="AA103">
        <v>1353890.7949476501</v>
      </c>
    </row>
    <row r="104" spans="2:27" x14ac:dyDescent="0.25">
      <c r="B104">
        <v>517291748.42767799</v>
      </c>
      <c r="C104">
        <v>248717439.752078</v>
      </c>
      <c r="D104">
        <v>-12066933.0606203</v>
      </c>
      <c r="E104">
        <v>-138265.45884967901</v>
      </c>
      <c r="F104">
        <v>1667760.5794331301</v>
      </c>
      <c r="I104">
        <v>302096448.12996399</v>
      </c>
      <c r="J104">
        <v>114428317.822336</v>
      </c>
      <c r="K104">
        <v>-7648148.7164744996</v>
      </c>
      <c r="L104">
        <v>-86819.337386769199</v>
      </c>
      <c r="M104">
        <v>700754.775436881</v>
      </c>
      <c r="P104">
        <v>886462073.45962596</v>
      </c>
      <c r="Q104">
        <v>512059849.906533</v>
      </c>
      <c r="R104">
        <v>-19389281.295568101</v>
      </c>
      <c r="S104">
        <v>-235192.77649756899</v>
      </c>
      <c r="T104">
        <v>3433721.1560665299</v>
      </c>
      <c r="W104">
        <v>617797661.99910295</v>
      </c>
      <c r="X104">
        <v>296578046.738855</v>
      </c>
      <c r="Y104">
        <v>-15529043.5875134</v>
      </c>
      <c r="Z104">
        <v>-168480.90383581299</v>
      </c>
      <c r="AA104">
        <v>1669963.4768433501</v>
      </c>
    </row>
    <row r="105" spans="2:27" x14ac:dyDescent="0.25">
      <c r="B105">
        <v>514257731.72920901</v>
      </c>
      <c r="C105">
        <v>246847503.92381901</v>
      </c>
      <c r="D105" s="1">
        <v>1.2123127817176299E-6</v>
      </c>
      <c r="E105" s="1">
        <v>7.6513242674991499E-7</v>
      </c>
      <c r="F105">
        <v>1821227.5580840399</v>
      </c>
      <c r="I105">
        <v>300276152.48074597</v>
      </c>
      <c r="J105">
        <v>113397267.98843101</v>
      </c>
      <c r="K105" s="1">
        <v>-9.9836597655667005E-8</v>
      </c>
      <c r="L105" s="1">
        <v>4.1615203372202798E-7</v>
      </c>
      <c r="M105">
        <v>795162.05824732</v>
      </c>
      <c r="P105">
        <v>880777445.815534</v>
      </c>
      <c r="Q105">
        <v>508257089.728239</v>
      </c>
      <c r="R105" s="1">
        <v>-1.37151801027358E-7</v>
      </c>
      <c r="S105" s="1">
        <v>5.4539123084396103E-7</v>
      </c>
      <c r="T105">
        <v>3707280.6174643799</v>
      </c>
      <c r="W105">
        <v>613316690.57344306</v>
      </c>
      <c r="X105">
        <v>293820072.85948902</v>
      </c>
      <c r="Y105" s="1">
        <v>1.5508703654632E-6</v>
      </c>
      <c r="Z105" s="1">
        <v>2.5091867428273E-7</v>
      </c>
      <c r="AA105">
        <v>1858205.8084522299</v>
      </c>
    </row>
    <row r="106" spans="2:27" x14ac:dyDescent="0.25">
      <c r="B106">
        <v>517291748.42764699</v>
      </c>
      <c r="C106">
        <v>248717439.75206199</v>
      </c>
      <c r="D106">
        <v>12066933.060621699</v>
      </c>
      <c r="E106">
        <v>138265.45885058999</v>
      </c>
      <c r="F106">
        <v>1667760.57943228</v>
      </c>
      <c r="I106">
        <v>302096448.12999302</v>
      </c>
      <c r="J106">
        <v>114428317.822348</v>
      </c>
      <c r="K106">
        <v>7648148.7164753703</v>
      </c>
      <c r="L106">
        <v>86819.337387962805</v>
      </c>
      <c r="M106">
        <v>700754.77543632605</v>
      </c>
      <c r="P106">
        <v>886462073.45963299</v>
      </c>
      <c r="Q106">
        <v>512059849.90653598</v>
      </c>
      <c r="R106">
        <v>19389281.295572001</v>
      </c>
      <c r="S106">
        <v>235192.77649925501</v>
      </c>
      <c r="T106">
        <v>3433721.1560683502</v>
      </c>
      <c r="W106">
        <v>617797661.99907303</v>
      </c>
      <c r="X106">
        <v>296578046.73883599</v>
      </c>
      <c r="Y106">
        <v>15529043.587517099</v>
      </c>
      <c r="Z106">
        <v>168480.903837102</v>
      </c>
      <c r="AA106">
        <v>1669963.4768437</v>
      </c>
    </row>
    <row r="107" spans="2:27" x14ac:dyDescent="0.25">
      <c r="B107">
        <v>524044308.50205499</v>
      </c>
      <c r="C107">
        <v>252847007.62390301</v>
      </c>
      <c r="D107">
        <v>18899994.274301499</v>
      </c>
      <c r="E107">
        <v>299565.89735430502</v>
      </c>
      <c r="F107">
        <v>1434484.3190347501</v>
      </c>
      <c r="I107">
        <v>306141137.23002797</v>
      </c>
      <c r="J107">
        <v>116737087.04506899</v>
      </c>
      <c r="K107">
        <v>11754438.6849881</v>
      </c>
      <c r="L107">
        <v>182478.952112917</v>
      </c>
      <c r="M107">
        <v>531893.66085678397</v>
      </c>
      <c r="P107">
        <v>900044284.03152096</v>
      </c>
      <c r="Q107">
        <v>520900303.76993197</v>
      </c>
      <c r="R107">
        <v>30989700.646751199</v>
      </c>
      <c r="S107">
        <v>499310.57818517898</v>
      </c>
      <c r="T107">
        <v>2982183.7195027499</v>
      </c>
      <c r="W107">
        <v>629228126.66227496</v>
      </c>
      <c r="X107">
        <v>303407247.66656399</v>
      </c>
      <c r="Y107">
        <v>24525582.125353798</v>
      </c>
      <c r="Z107">
        <v>367441.97412519</v>
      </c>
      <c r="AA107">
        <v>1353890.7949483099</v>
      </c>
    </row>
    <row r="108" spans="2:27" x14ac:dyDescent="0.25">
      <c r="B108">
        <v>527030962.17977601</v>
      </c>
      <c r="C108">
        <v>254986695.00443199</v>
      </c>
      <c r="D108">
        <v>14287612.378448499</v>
      </c>
      <c r="E108">
        <v>686524.98488758504</v>
      </c>
      <c r="F108">
        <v>1727524.6581786701</v>
      </c>
      <c r="I108">
        <v>308216187.254161</v>
      </c>
      <c r="J108">
        <v>118218184.64176799</v>
      </c>
      <c r="K108">
        <v>8195816.7374438401</v>
      </c>
      <c r="L108">
        <v>401839.34902031498</v>
      </c>
      <c r="M108">
        <v>599087.66894190805</v>
      </c>
      <c r="P108">
        <v>910930896.58484399</v>
      </c>
      <c r="Q108">
        <v>527676676.75044203</v>
      </c>
      <c r="R108">
        <v>25228838.7956446</v>
      </c>
      <c r="S108">
        <v>1123432.3221611199</v>
      </c>
      <c r="T108">
        <v>3585574.6942920601</v>
      </c>
      <c r="W108">
        <v>640413867.43360698</v>
      </c>
      <c r="X108">
        <v>309845337.08267897</v>
      </c>
      <c r="Y108">
        <v>18964016.403829802</v>
      </c>
      <c r="Z108">
        <v>824348.65999912506</v>
      </c>
      <c r="AA108">
        <v>1585495.4700776499</v>
      </c>
    </row>
    <row r="109" spans="2:27" x14ac:dyDescent="0.25">
      <c r="B109">
        <v>446104045.543109</v>
      </c>
      <c r="C109">
        <v>213035652.52204001</v>
      </c>
      <c r="D109">
        <v>-13407373.2809094</v>
      </c>
      <c r="E109">
        <v>-131508.25228238699</v>
      </c>
      <c r="F109">
        <v>787504.85773876496</v>
      </c>
      <c r="I109">
        <v>263554532.924757</v>
      </c>
      <c r="J109">
        <v>99498049.341675207</v>
      </c>
      <c r="K109">
        <v>-10550374.0533191</v>
      </c>
      <c r="L109">
        <v>-1997.1326111978401</v>
      </c>
      <c r="M109">
        <v>155822.87252825801</v>
      </c>
      <c r="P109">
        <v>781290104.46137595</v>
      </c>
      <c r="Q109">
        <v>447141365.23150098</v>
      </c>
      <c r="R109">
        <v>-16165353.477214299</v>
      </c>
      <c r="S109">
        <v>-189669.518063483</v>
      </c>
      <c r="T109">
        <v>1915925.57276284</v>
      </c>
      <c r="W109">
        <v>561117837.05246198</v>
      </c>
      <c r="X109">
        <v>267142859.674557</v>
      </c>
      <c r="Y109">
        <v>-16845968.5215232</v>
      </c>
      <c r="Z109">
        <v>-74387.967755181598</v>
      </c>
      <c r="AA109">
        <v>596224.36614943296</v>
      </c>
    </row>
    <row r="110" spans="2:27" x14ac:dyDescent="0.25">
      <c r="B110">
        <v>80316923.541889101</v>
      </c>
      <c r="C110">
        <v>50442443.041066296</v>
      </c>
      <c r="D110">
        <v>-55214475.691603601</v>
      </c>
      <c r="E110">
        <v>-2322075.9488159399</v>
      </c>
      <c r="F110">
        <v>-4836406.8916879203</v>
      </c>
      <c r="I110">
        <v>45843569.705056399</v>
      </c>
      <c r="J110">
        <v>24922922.357880399</v>
      </c>
      <c r="K110">
        <v>-37859446.150017098</v>
      </c>
      <c r="L110">
        <v>-1031660.21405554</v>
      </c>
      <c r="M110">
        <v>-2147286.60464413</v>
      </c>
      <c r="P110">
        <v>146033130.22013399</v>
      </c>
      <c r="Q110">
        <v>102013796.791454</v>
      </c>
      <c r="R110">
        <v>-81718474.858537495</v>
      </c>
      <c r="S110">
        <v>-4164610.3780847001</v>
      </c>
      <c r="T110">
        <v>-9261380.7688033804</v>
      </c>
      <c r="W110">
        <v>102145747.139079</v>
      </c>
      <c r="X110">
        <v>62801859.295700997</v>
      </c>
      <c r="Y110">
        <v>-72187946.364112005</v>
      </c>
      <c r="Z110">
        <v>-2501353.0880521801</v>
      </c>
      <c r="AA110">
        <v>-5252689.1362367002</v>
      </c>
    </row>
    <row r="111" spans="2:27" x14ac:dyDescent="0.25">
      <c r="B111">
        <v>133100528.80440301</v>
      </c>
      <c r="C111">
        <v>60375934.101022698</v>
      </c>
      <c r="D111">
        <v>118647366.44611999</v>
      </c>
      <c r="E111">
        <v>-1822996.13176059</v>
      </c>
      <c r="F111">
        <v>19744747.674705401</v>
      </c>
      <c r="I111">
        <v>77701733.161689505</v>
      </c>
      <c r="J111">
        <v>27355897.344651401</v>
      </c>
      <c r="K111">
        <v>78553937.572665393</v>
      </c>
      <c r="L111">
        <v>-1300458.6983735</v>
      </c>
      <c r="M111">
        <v>9060874.5825977605</v>
      </c>
      <c r="P111">
        <v>238140379.81847101</v>
      </c>
      <c r="Q111">
        <v>131695611.671363</v>
      </c>
      <c r="R111">
        <v>170301135.24800101</v>
      </c>
      <c r="S111">
        <v>-2404208.2613570299</v>
      </c>
      <c r="T111">
        <v>36651534.244017601</v>
      </c>
      <c r="W111">
        <v>171013128.92856899</v>
      </c>
      <c r="X111">
        <v>78130720.490873307</v>
      </c>
      <c r="Y111">
        <v>139025257.05449399</v>
      </c>
      <c r="Z111">
        <v>-1946495.67241587</v>
      </c>
      <c r="AA111">
        <v>21691963.769376598</v>
      </c>
    </row>
    <row r="112" spans="2:27" x14ac:dyDescent="0.25">
      <c r="B112">
        <v>811046780.54744005</v>
      </c>
      <c r="C112">
        <v>397417873.26862597</v>
      </c>
      <c r="D112">
        <v>-12605407.412966499</v>
      </c>
      <c r="E112">
        <v>846703.74029603798</v>
      </c>
      <c r="F112">
        <v>4061575.8651263402</v>
      </c>
      <c r="I112">
        <v>456181842.76890802</v>
      </c>
      <c r="J112">
        <v>178561979.65827999</v>
      </c>
      <c r="K112">
        <v>-6399090.7240634495</v>
      </c>
      <c r="L112">
        <v>438365.14695375803</v>
      </c>
      <c r="M112">
        <v>1566274.59427992</v>
      </c>
      <c r="P112">
        <v>1424817505.2527299</v>
      </c>
      <c r="Q112">
        <v>837764015.82824802</v>
      </c>
      <c r="R112">
        <v>-27590347.572124001</v>
      </c>
      <c r="S112">
        <v>1698884.6742785401</v>
      </c>
      <c r="T112">
        <v>8499317.9945371002</v>
      </c>
      <c r="W112">
        <v>962809172.65251195</v>
      </c>
      <c r="X112">
        <v>479274095.88086802</v>
      </c>
      <c r="Y112">
        <v>-21625543.910959799</v>
      </c>
      <c r="Z112">
        <v>929875.91873478598</v>
      </c>
      <c r="AA112">
        <v>4900670.2739249896</v>
      </c>
    </row>
    <row r="113" spans="2:27" x14ac:dyDescent="0.25">
      <c r="B113">
        <v>687528691.45553601</v>
      </c>
      <c r="C113">
        <v>339142113.05536699</v>
      </c>
      <c r="D113">
        <v>-26141918.962395702</v>
      </c>
      <c r="E113">
        <v>1401334.11158456</v>
      </c>
      <c r="F113">
        <v>4261025.9724680902</v>
      </c>
      <c r="I113">
        <v>385332658.659114</v>
      </c>
      <c r="J113">
        <v>152201927.204882</v>
      </c>
      <c r="K113">
        <v>-15698303.5635991</v>
      </c>
      <c r="L113">
        <v>710830.35921462602</v>
      </c>
      <c r="M113">
        <v>2004393.63950651</v>
      </c>
      <c r="P113">
        <v>1202406810.6150601</v>
      </c>
      <c r="Q113">
        <v>710820252.65892506</v>
      </c>
      <c r="R113">
        <v>-44838178.591402002</v>
      </c>
      <c r="S113">
        <v>2253611.2492192499</v>
      </c>
      <c r="T113">
        <v>8725535.9334164895</v>
      </c>
      <c r="W113">
        <v>809323523.68449199</v>
      </c>
      <c r="X113">
        <v>405981800.35501599</v>
      </c>
      <c r="Y113">
        <v>-34896630.873291597</v>
      </c>
      <c r="Z113">
        <v>1533769.97934966</v>
      </c>
      <c r="AA113">
        <v>5518788.2720114402</v>
      </c>
    </row>
    <row r="114" spans="2:27" x14ac:dyDescent="0.25">
      <c r="B114">
        <v>698492407.12765896</v>
      </c>
      <c r="C114">
        <v>344770672.74405497</v>
      </c>
      <c r="D114">
        <v>-25541172.254609998</v>
      </c>
      <c r="E114">
        <v>144514.754536402</v>
      </c>
      <c r="F114">
        <v>6040154.6017982699</v>
      </c>
      <c r="I114">
        <v>391392154.093189</v>
      </c>
      <c r="J114">
        <v>154747990.12322399</v>
      </c>
      <c r="K114">
        <v>-15939322.9238922</v>
      </c>
      <c r="L114">
        <v>64258.096635811598</v>
      </c>
      <c r="M114">
        <v>3006413.4278469901</v>
      </c>
      <c r="P114">
        <v>1221257704.3441401</v>
      </c>
      <c r="Q114">
        <v>722357997.10142398</v>
      </c>
      <c r="R114">
        <v>-41489870.636108302</v>
      </c>
      <c r="S114">
        <v>193400.88503693099</v>
      </c>
      <c r="T114">
        <v>11829008.3504817</v>
      </c>
      <c r="W114">
        <v>820558717.92338705</v>
      </c>
      <c r="X114">
        <v>411998216.19388402</v>
      </c>
      <c r="Y114">
        <v>-32901669.856982999</v>
      </c>
      <c r="Z114">
        <v>146672.58851396301</v>
      </c>
      <c r="AA114">
        <v>7642043.7491645804</v>
      </c>
    </row>
    <row r="115" spans="2:27" x14ac:dyDescent="0.25">
      <c r="B115">
        <v>689222140.55553102</v>
      </c>
      <c r="C115">
        <v>340273198.00376898</v>
      </c>
      <c r="D115">
        <v>-14662376.1551215</v>
      </c>
      <c r="E115">
        <v>-24288.688841355401</v>
      </c>
      <c r="F115">
        <v>6446703.3000637498</v>
      </c>
      <c r="I115">
        <v>386231304.90566498</v>
      </c>
      <c r="J115">
        <v>152752637.91632</v>
      </c>
      <c r="K115">
        <v>-9309102.0159607306</v>
      </c>
      <c r="L115">
        <v>-9722.7921059697292</v>
      </c>
      <c r="M115">
        <v>3279117.1372785098</v>
      </c>
      <c r="P115">
        <v>1205408363.9382601</v>
      </c>
      <c r="Q115">
        <v>713144833.79628301</v>
      </c>
      <c r="R115">
        <v>-23435064.978489</v>
      </c>
      <c r="S115">
        <v>-45634.350898010598</v>
      </c>
      <c r="T115">
        <v>12472984.045014801</v>
      </c>
      <c r="W115">
        <v>809549829.64909601</v>
      </c>
      <c r="X115">
        <v>406578637.42364699</v>
      </c>
      <c r="Y115">
        <v>-18750392.0617151</v>
      </c>
      <c r="Z115">
        <v>-34778.444641074297</v>
      </c>
      <c r="AA115">
        <v>8170031.92801937</v>
      </c>
    </row>
    <row r="116" spans="2:27" x14ac:dyDescent="0.25">
      <c r="B116">
        <v>690037705.71747506</v>
      </c>
      <c r="C116">
        <v>340727499.873514</v>
      </c>
      <c r="D116" s="1">
        <v>-8.8161323219537703E-7</v>
      </c>
      <c r="E116" s="1">
        <v>1.7121783457696401E-7</v>
      </c>
      <c r="F116">
        <v>6563054.6105709104</v>
      </c>
      <c r="I116">
        <v>386705263.780873</v>
      </c>
      <c r="J116">
        <v>152971424.79279199</v>
      </c>
      <c r="K116" s="1">
        <v>-5.9674493968486796E-7</v>
      </c>
      <c r="L116" s="1">
        <v>-1.06083462014794E-8</v>
      </c>
      <c r="M116">
        <v>3364145.9201866202</v>
      </c>
      <c r="P116">
        <v>1206986131.48369</v>
      </c>
      <c r="Q116">
        <v>714163966.38607502</v>
      </c>
      <c r="R116" s="1">
        <v>-1.6532139852643E-6</v>
      </c>
      <c r="S116" s="1">
        <v>-7.0733949542045604E-7</v>
      </c>
      <c r="T116">
        <v>12673279.0983121</v>
      </c>
      <c r="W116">
        <v>810404269.36897302</v>
      </c>
      <c r="X116">
        <v>407073946.558222</v>
      </c>
      <c r="Y116" s="1">
        <v>-5.4051633924245803E-7</v>
      </c>
      <c r="Z116" s="1">
        <v>4.7154026105999899E-7</v>
      </c>
      <c r="AA116">
        <v>8324938.0620736498</v>
      </c>
    </row>
    <row r="117" spans="2:27" x14ac:dyDescent="0.25">
      <c r="B117">
        <v>689222140.55554199</v>
      </c>
      <c r="C117">
        <v>340273198.00377399</v>
      </c>
      <c r="D117">
        <v>14662376.1551213</v>
      </c>
      <c r="E117">
        <v>24288.688840365001</v>
      </c>
      <c r="F117">
        <v>6446703.3000648804</v>
      </c>
      <c r="I117">
        <v>386231304.90566897</v>
      </c>
      <c r="J117">
        <v>152752637.91632101</v>
      </c>
      <c r="K117">
        <v>9309102.0159615409</v>
      </c>
      <c r="L117">
        <v>9722.7921054912695</v>
      </c>
      <c r="M117">
        <v>3279117.1372789801</v>
      </c>
      <c r="P117">
        <v>1205408363.9382701</v>
      </c>
      <c r="Q117">
        <v>713144833.79629004</v>
      </c>
      <c r="R117">
        <v>23435064.978491802</v>
      </c>
      <c r="S117">
        <v>45634.3508959463</v>
      </c>
      <c r="T117">
        <v>12472984.0450154</v>
      </c>
      <c r="W117">
        <v>809549829.64909804</v>
      </c>
      <c r="X117">
        <v>406578637.423648</v>
      </c>
      <c r="Y117">
        <v>18750392.061719298</v>
      </c>
      <c r="Z117">
        <v>34778.444640803697</v>
      </c>
      <c r="AA117">
        <v>8170031.9280213602</v>
      </c>
    </row>
    <row r="118" spans="2:27" x14ac:dyDescent="0.25">
      <c r="B118">
        <v>698492407.12765396</v>
      </c>
      <c r="C118">
        <v>344770672.74405199</v>
      </c>
      <c r="D118">
        <v>25541172.254609499</v>
      </c>
      <c r="E118">
        <v>-144514.75453713399</v>
      </c>
      <c r="F118">
        <v>6040154.6017969996</v>
      </c>
      <c r="I118">
        <v>391392154.09319401</v>
      </c>
      <c r="J118">
        <v>154747990.12322599</v>
      </c>
      <c r="K118">
        <v>15939322.923890499</v>
      </c>
      <c r="L118">
        <v>-64258.0966356555</v>
      </c>
      <c r="M118">
        <v>3006413.4278456098</v>
      </c>
      <c r="P118">
        <v>1221257704.3441601</v>
      </c>
      <c r="Q118">
        <v>722357997.10143399</v>
      </c>
      <c r="R118">
        <v>41489870.6361093</v>
      </c>
      <c r="S118">
        <v>-193400.88503854201</v>
      </c>
      <c r="T118">
        <v>11829008.350481199</v>
      </c>
      <c r="W118">
        <v>820558717.92340398</v>
      </c>
      <c r="X118">
        <v>411998216.19389302</v>
      </c>
      <c r="Y118">
        <v>32901669.856987599</v>
      </c>
      <c r="Z118">
        <v>-146672.58851530601</v>
      </c>
      <c r="AA118">
        <v>7642043.7491633296</v>
      </c>
    </row>
    <row r="119" spans="2:27" x14ac:dyDescent="0.25">
      <c r="B119">
        <v>687528691.45552599</v>
      </c>
      <c r="C119">
        <v>339142113.05536199</v>
      </c>
      <c r="D119">
        <v>26141918.962396</v>
      </c>
      <c r="E119">
        <v>-1401334.11158391</v>
      </c>
      <c r="F119">
        <v>4261025.97246827</v>
      </c>
      <c r="I119">
        <v>385332658.65911603</v>
      </c>
      <c r="J119">
        <v>152201927.20488301</v>
      </c>
      <c r="K119">
        <v>15698303.563595099</v>
      </c>
      <c r="L119">
        <v>-710830.35921463894</v>
      </c>
      <c r="M119">
        <v>2004393.63950616</v>
      </c>
      <c r="P119">
        <v>1202406810.6150501</v>
      </c>
      <c r="Q119">
        <v>710820252.658916</v>
      </c>
      <c r="R119">
        <v>44838178.5913992</v>
      </c>
      <c r="S119">
        <v>-2253611.24921986</v>
      </c>
      <c r="T119">
        <v>8725535.9334150907</v>
      </c>
      <c r="W119">
        <v>809323523.68446898</v>
      </c>
      <c r="X119">
        <v>405981800.35500598</v>
      </c>
      <c r="Y119">
        <v>34896630.873289503</v>
      </c>
      <c r="Z119">
        <v>-1533769.97934985</v>
      </c>
      <c r="AA119">
        <v>5518788.2720127804</v>
      </c>
    </row>
    <row r="120" spans="2:27" x14ac:dyDescent="0.25">
      <c r="B120">
        <v>811046780.54744303</v>
      </c>
      <c r="C120">
        <v>397417873.26862699</v>
      </c>
      <c r="D120">
        <v>12605407.412967</v>
      </c>
      <c r="E120">
        <v>-846703.74029661005</v>
      </c>
      <c r="F120">
        <v>4061575.8651279402</v>
      </c>
      <c r="I120">
        <v>456181842.76890999</v>
      </c>
      <c r="J120">
        <v>178561979.658281</v>
      </c>
      <c r="K120">
        <v>6399090.72406404</v>
      </c>
      <c r="L120">
        <v>-438365.14695432701</v>
      </c>
      <c r="M120">
        <v>1566274.5942814799</v>
      </c>
      <c r="P120">
        <v>1424817505.2527399</v>
      </c>
      <c r="Q120">
        <v>837764015.82825601</v>
      </c>
      <c r="R120">
        <v>27590347.572122801</v>
      </c>
      <c r="S120">
        <v>-1698884.6742789401</v>
      </c>
      <c r="T120">
        <v>8499317.9945399109</v>
      </c>
      <c r="W120">
        <v>962809172.65252495</v>
      </c>
      <c r="X120">
        <v>479274095.88087499</v>
      </c>
      <c r="Y120">
        <v>21625543.910958599</v>
      </c>
      <c r="Z120">
        <v>-929875.91873478203</v>
      </c>
      <c r="AA120">
        <v>4900670.2739266697</v>
      </c>
    </row>
    <row r="121" spans="2:27" x14ac:dyDescent="0.25">
      <c r="B121">
        <v>133100528.80440301</v>
      </c>
      <c r="C121">
        <v>60375934.101023003</v>
      </c>
      <c r="D121">
        <v>-118647366.446119</v>
      </c>
      <c r="E121">
        <v>1822996.1317609299</v>
      </c>
      <c r="F121">
        <v>19744747.674707301</v>
      </c>
      <c r="I121">
        <v>77701733.161688596</v>
      </c>
      <c r="J121">
        <v>27355897.3446512</v>
      </c>
      <c r="K121">
        <v>-78553937.572660297</v>
      </c>
      <c r="L121">
        <v>1300458.6983735899</v>
      </c>
      <c r="M121">
        <v>9060874.5825977307</v>
      </c>
      <c r="P121">
        <v>238140379.81847101</v>
      </c>
      <c r="Q121">
        <v>131695611.67136399</v>
      </c>
      <c r="R121">
        <v>-170301135.247998</v>
      </c>
      <c r="S121">
        <v>2404208.2613562499</v>
      </c>
      <c r="T121">
        <v>36651534.244019903</v>
      </c>
      <c r="W121">
        <v>171013128.928572</v>
      </c>
      <c r="X121">
        <v>78130720.490875304</v>
      </c>
      <c r="Y121">
        <v>-139025257.054492</v>
      </c>
      <c r="Z121">
        <v>1946495.67241643</v>
      </c>
      <c r="AA121">
        <v>21691963.7693794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1"/>
  <sheetViews>
    <sheetView topLeftCell="M43" workbookViewId="0">
      <selection activeCell="V59" sqref="V59"/>
    </sheetView>
  </sheetViews>
  <sheetFormatPr defaultRowHeight="14" x14ac:dyDescent="0.25"/>
  <cols>
    <col min="4" max="5" width="9.81640625" customWidth="1"/>
    <col min="6" max="6" width="10.453125" customWidth="1"/>
    <col min="11" max="11" width="10" customWidth="1"/>
    <col min="12" max="12" width="10.81640625" customWidth="1"/>
    <col min="18" max="18" width="9.90625" customWidth="1"/>
    <col min="19" max="19" width="10.54296875" customWidth="1"/>
    <col min="20" max="20" width="10.453125" customWidth="1"/>
    <col min="25" max="25" width="10.36328125" customWidth="1"/>
    <col min="26" max="26" width="9.90625" customWidth="1"/>
    <col min="27" max="27" width="9.6328125" customWidth="1"/>
  </cols>
  <sheetData>
    <row r="1" spans="1:27" x14ac:dyDescent="0.25">
      <c r="A1" s="2" t="s">
        <v>210</v>
      </c>
      <c r="B1">
        <v>101417789.60864501</v>
      </c>
      <c r="C1">
        <v>46456758.181972899</v>
      </c>
      <c r="D1">
        <v>-94496434.539677396</v>
      </c>
      <c r="E1">
        <v>-2204652.4794553001</v>
      </c>
      <c r="F1">
        <v>-21792486.900569301</v>
      </c>
      <c r="H1" s="2" t="s">
        <v>211</v>
      </c>
      <c r="I1">
        <v>53511747.199217401</v>
      </c>
      <c r="J1">
        <v>19249893.295294099</v>
      </c>
      <c r="K1">
        <v>-58529273.862357102</v>
      </c>
      <c r="L1">
        <v>-1478310.9749616601</v>
      </c>
      <c r="M1">
        <v>-11236405.001858599</v>
      </c>
      <c r="O1" s="2" t="s">
        <v>212</v>
      </c>
      <c r="P1">
        <v>187755414.42106301</v>
      </c>
      <c r="Q1">
        <v>104505996.881488</v>
      </c>
      <c r="R1">
        <v>-139408064.92052901</v>
      </c>
      <c r="S1">
        <v>-2926380.7384344698</v>
      </c>
      <c r="T1">
        <v>-39446625.541629702</v>
      </c>
      <c r="V1" s="2" t="s">
        <v>213</v>
      </c>
      <c r="W1">
        <v>126457198.80356</v>
      </c>
      <c r="X1">
        <v>58350763.016045503</v>
      </c>
      <c r="Y1">
        <v>-108175655.04559401</v>
      </c>
      <c r="Z1">
        <v>-2414787.7476692302</v>
      </c>
      <c r="AA1">
        <v>-24126363.6019492</v>
      </c>
    </row>
    <row r="2" spans="1:27" x14ac:dyDescent="0.25">
      <c r="B2">
        <v>717779637.00890803</v>
      </c>
      <c r="C2">
        <v>352841380.82865298</v>
      </c>
      <c r="D2">
        <v>8733822.61811422</v>
      </c>
      <c r="E2">
        <v>976247.00325432396</v>
      </c>
      <c r="F2">
        <v>-4553402.0867381496</v>
      </c>
      <c r="I2">
        <v>391647075.66714698</v>
      </c>
      <c r="J2">
        <v>154280933.64142099</v>
      </c>
      <c r="K2">
        <v>2953439.83534833</v>
      </c>
      <c r="L2">
        <v>541815.28557544004</v>
      </c>
      <c r="M2">
        <v>-2138274.01533056</v>
      </c>
      <c r="P2">
        <v>1281252903.4456799</v>
      </c>
      <c r="Q2">
        <v>754978805.18777299</v>
      </c>
      <c r="R2">
        <v>20973742.831946898</v>
      </c>
      <c r="S2">
        <v>1900204.0154311699</v>
      </c>
      <c r="T2">
        <v>-9020790.8433257304</v>
      </c>
      <c r="W2">
        <v>836370763.93407202</v>
      </c>
      <c r="X2">
        <v>417860657.52565801</v>
      </c>
      <c r="Y2">
        <v>14702181.5441311</v>
      </c>
      <c r="Z2">
        <v>1084441.0290548899</v>
      </c>
      <c r="AA2">
        <v>-5354261.0361667098</v>
      </c>
    </row>
    <row r="3" spans="1:27" x14ac:dyDescent="0.25">
      <c r="B3">
        <v>617485518.26073802</v>
      </c>
      <c r="C3">
        <v>305276434.80510598</v>
      </c>
      <c r="D3">
        <v>22525116.5167941</v>
      </c>
      <c r="E3">
        <v>1580310.76550661</v>
      </c>
      <c r="F3">
        <v>-4410203.2909361897</v>
      </c>
      <c r="I3">
        <v>338331660.73101997</v>
      </c>
      <c r="J3">
        <v>134228170.753452</v>
      </c>
      <c r="K3">
        <v>12631813.616393199</v>
      </c>
      <c r="L3">
        <v>865666.11074945296</v>
      </c>
      <c r="M3">
        <v>-2201884.04875653</v>
      </c>
      <c r="P3">
        <v>1094689669.0206599</v>
      </c>
      <c r="Q3">
        <v>648081696.38005602</v>
      </c>
      <c r="R3">
        <v>39237489.382157698</v>
      </c>
      <c r="S3">
        <v>2487372.1182285598</v>
      </c>
      <c r="T3">
        <v>-8727517.9394503199</v>
      </c>
      <c r="W3">
        <v>715219477.804878</v>
      </c>
      <c r="X3">
        <v>359672158.74242502</v>
      </c>
      <c r="Y3">
        <v>28835699.566730998</v>
      </c>
      <c r="Z3">
        <v>1753112.1453426101</v>
      </c>
      <c r="AA3">
        <v>-5449473.3339316798</v>
      </c>
    </row>
    <row r="4" spans="1:27" x14ac:dyDescent="0.25">
      <c r="B4">
        <v>627344983.25966203</v>
      </c>
      <c r="C4">
        <v>310163308.64566201</v>
      </c>
      <c r="D4">
        <v>21780127.5151277</v>
      </c>
      <c r="E4">
        <v>164684.63434113501</v>
      </c>
      <c r="F4">
        <v>-6205640.2177735604</v>
      </c>
      <c r="I4">
        <v>343757563.70561099</v>
      </c>
      <c r="J4">
        <v>136343460.13869399</v>
      </c>
      <c r="K4">
        <v>12758119.815863701</v>
      </c>
      <c r="L4">
        <v>86905.661437796502</v>
      </c>
      <c r="M4">
        <v>-3214044.6501846798</v>
      </c>
      <c r="P4">
        <v>1112336319.1838801</v>
      </c>
      <c r="Q4">
        <v>658630982.05062103</v>
      </c>
      <c r="R4">
        <v>36063724.4400317</v>
      </c>
      <c r="S4">
        <v>219402.94796011699</v>
      </c>
      <c r="T4">
        <v>-11835504.70803</v>
      </c>
      <c r="W4">
        <v>725453469.04472303</v>
      </c>
      <c r="X4">
        <v>364910814.08486998</v>
      </c>
      <c r="Y4">
        <v>27070709.831840299</v>
      </c>
      <c r="Z4">
        <v>176882.71684831701</v>
      </c>
      <c r="AA4">
        <v>-7544353.2730225502</v>
      </c>
    </row>
    <row r="5" spans="1:27" x14ac:dyDescent="0.25">
      <c r="B5">
        <v>618764390.07896805</v>
      </c>
      <c r="C5">
        <v>305984695.918109</v>
      </c>
      <c r="D5">
        <v>12353854.878565799</v>
      </c>
      <c r="E5">
        <v>-21405.1145278234</v>
      </c>
      <c r="F5">
        <v>-6551129.2266219398</v>
      </c>
      <c r="I5">
        <v>339048397.59930801</v>
      </c>
      <c r="J5">
        <v>134506626.02499801</v>
      </c>
      <c r="K5">
        <v>7341791.8554521296</v>
      </c>
      <c r="L5">
        <v>-7831.2373626920198</v>
      </c>
      <c r="M5">
        <v>-3429676.1991985901</v>
      </c>
      <c r="P5">
        <v>1097586327.98949</v>
      </c>
      <c r="Q5">
        <v>650035180.90502703</v>
      </c>
      <c r="R5">
        <v>20186106.588895898</v>
      </c>
      <c r="S5">
        <v>-41005.706174553998</v>
      </c>
      <c r="T5">
        <v>-12380079.286837799</v>
      </c>
      <c r="W5">
        <v>715418552.44192398</v>
      </c>
      <c r="X5">
        <v>359946662.494964</v>
      </c>
      <c r="Y5">
        <v>15264900.9523101</v>
      </c>
      <c r="Z5">
        <v>-28770.498570984699</v>
      </c>
      <c r="AA5">
        <v>-7978924.79942354</v>
      </c>
    </row>
    <row r="6" spans="1:27" x14ac:dyDescent="0.25">
      <c r="B6">
        <v>619467239.96142304</v>
      </c>
      <c r="C6">
        <v>306372702.634709</v>
      </c>
      <c r="D6" s="1">
        <v>-1.41788041219115E-6</v>
      </c>
      <c r="E6" s="1">
        <v>8.0894096754491303E-8</v>
      </c>
      <c r="F6">
        <v>-6643799.3636625297</v>
      </c>
      <c r="I6">
        <v>339439602.72004497</v>
      </c>
      <c r="J6">
        <v>134683566.36008501</v>
      </c>
      <c r="K6" s="1">
        <v>4.48024366050959E-7</v>
      </c>
      <c r="L6" s="1">
        <v>-7.2759576141834308E-12</v>
      </c>
      <c r="M6">
        <v>-3491717.5424405299</v>
      </c>
      <c r="P6">
        <v>1099057611.5566001</v>
      </c>
      <c r="Q6">
        <v>650976236.83446598</v>
      </c>
      <c r="R6" s="1">
        <v>9.9744647741317791E-7</v>
      </c>
      <c r="S6" s="1">
        <v>-5.2526593208312999E-7</v>
      </c>
      <c r="T6">
        <v>-12544364.2198689</v>
      </c>
      <c r="W6">
        <v>716149205.29782999</v>
      </c>
      <c r="X6">
        <v>360364351.40540302</v>
      </c>
      <c r="Y6" s="1">
        <v>-8.8964588940143596E-7</v>
      </c>
      <c r="Z6" s="1">
        <v>-8.1548932939767798E-8</v>
      </c>
      <c r="AA6">
        <v>-8098558.1368952598</v>
      </c>
    </row>
    <row r="7" spans="1:27" x14ac:dyDescent="0.25">
      <c r="B7">
        <v>618764390.07897604</v>
      </c>
      <c r="C7">
        <v>305984695.91811299</v>
      </c>
      <c r="D7">
        <v>-12353854.878567301</v>
      </c>
      <c r="E7">
        <v>21405.114527203801</v>
      </c>
      <c r="F7">
        <v>-6551129.2266210504</v>
      </c>
      <c r="I7">
        <v>339048397.59931099</v>
      </c>
      <c r="J7">
        <v>134506626.02500001</v>
      </c>
      <c r="K7">
        <v>-7341791.8554513296</v>
      </c>
      <c r="L7">
        <v>7831.2373625914597</v>
      </c>
      <c r="M7">
        <v>-3429676.1991980202</v>
      </c>
      <c r="P7">
        <v>1097586327.9895101</v>
      </c>
      <c r="Q7">
        <v>650035180.90503395</v>
      </c>
      <c r="R7">
        <v>-20186106.588896599</v>
      </c>
      <c r="S7">
        <v>41005.706173480299</v>
      </c>
      <c r="T7">
        <v>-12380079.2868376</v>
      </c>
      <c r="W7">
        <v>715418552.44192505</v>
      </c>
      <c r="X7">
        <v>359946662.49496502</v>
      </c>
      <c r="Y7">
        <v>-15264900.952309901</v>
      </c>
      <c r="Z7">
        <v>28770.498570986801</v>
      </c>
      <c r="AA7">
        <v>-7978924.7994219204</v>
      </c>
    </row>
    <row r="8" spans="1:27" x14ac:dyDescent="0.25">
      <c r="B8">
        <v>627344983.25966501</v>
      </c>
      <c r="C8">
        <v>310163308.64566398</v>
      </c>
      <c r="D8">
        <v>-21780127.515127201</v>
      </c>
      <c r="E8">
        <v>-164684.63434152401</v>
      </c>
      <c r="F8">
        <v>-6205640.2177732503</v>
      </c>
      <c r="I8">
        <v>343757563.705616</v>
      </c>
      <c r="J8">
        <v>136343460.13869601</v>
      </c>
      <c r="K8">
        <v>-12758119.815863101</v>
      </c>
      <c r="L8">
        <v>-86905.661437559596</v>
      </c>
      <c r="M8">
        <v>-3214044.65018511</v>
      </c>
      <c r="P8">
        <v>1112336319.1838601</v>
      </c>
      <c r="Q8">
        <v>658630982.05061197</v>
      </c>
      <c r="R8">
        <v>-36063724.440032698</v>
      </c>
      <c r="S8">
        <v>-219402.94796072101</v>
      </c>
      <c r="T8">
        <v>-11835504.7080302</v>
      </c>
      <c r="W8">
        <v>725453469.04472196</v>
      </c>
      <c r="X8">
        <v>364910814.08486903</v>
      </c>
      <c r="Y8">
        <v>-27070709.831840999</v>
      </c>
      <c r="Z8">
        <v>-176882.71684874</v>
      </c>
      <c r="AA8">
        <v>-7544353.2730219597</v>
      </c>
    </row>
    <row r="9" spans="1:27" x14ac:dyDescent="0.25">
      <c r="B9">
        <v>617485518.26074505</v>
      </c>
      <c r="C9">
        <v>305276434.80510902</v>
      </c>
      <c r="D9">
        <v>-22525116.516792499</v>
      </c>
      <c r="E9">
        <v>-1580310.7655058701</v>
      </c>
      <c r="F9">
        <v>-4410203.2909366302</v>
      </c>
      <c r="I9">
        <v>338331660.73101598</v>
      </c>
      <c r="J9">
        <v>134228170.75345099</v>
      </c>
      <c r="K9">
        <v>-12631813.6163939</v>
      </c>
      <c r="L9">
        <v>-865666.11074924201</v>
      </c>
      <c r="M9">
        <v>-2201884.0487572299</v>
      </c>
      <c r="P9">
        <v>1094689669.0206699</v>
      </c>
      <c r="Q9">
        <v>648081696.38006306</v>
      </c>
      <c r="R9">
        <v>-39237489.382156998</v>
      </c>
      <c r="S9">
        <v>-2487372.1182282702</v>
      </c>
      <c r="T9">
        <v>-8727517.9394482803</v>
      </c>
      <c r="W9">
        <v>715219477.80488598</v>
      </c>
      <c r="X9">
        <v>359672158.74242902</v>
      </c>
      <c r="Y9">
        <v>-28835699.566733401</v>
      </c>
      <c r="Z9">
        <v>-1753112.14534194</v>
      </c>
      <c r="AA9">
        <v>-5449473.3339314498</v>
      </c>
    </row>
    <row r="10" spans="1:27" x14ac:dyDescent="0.25">
      <c r="B10">
        <v>717779637.00891304</v>
      </c>
      <c r="C10">
        <v>352841380.828655</v>
      </c>
      <c r="D10">
        <v>-8733822.6181144901</v>
      </c>
      <c r="E10">
        <v>-976247.00325400697</v>
      </c>
      <c r="F10">
        <v>-4553402.0867398996</v>
      </c>
      <c r="I10">
        <v>391647075.66715097</v>
      </c>
      <c r="J10">
        <v>154280933.64142299</v>
      </c>
      <c r="K10">
        <v>-2953439.8353479598</v>
      </c>
      <c r="L10">
        <v>-541815.28557581699</v>
      </c>
      <c r="M10">
        <v>-2138274.0153306602</v>
      </c>
      <c r="P10">
        <v>1281252903.4456899</v>
      </c>
      <c r="Q10">
        <v>754978805.187778</v>
      </c>
      <c r="R10">
        <v>-20973742.831943698</v>
      </c>
      <c r="S10">
        <v>-1900204.01543126</v>
      </c>
      <c r="T10">
        <v>-9020790.8433258403</v>
      </c>
      <c r="W10">
        <v>836370763.93408</v>
      </c>
      <c r="X10">
        <v>417860657.52566302</v>
      </c>
      <c r="Y10">
        <v>-14702181.5441327</v>
      </c>
      <c r="Z10">
        <v>-1084441.0290550501</v>
      </c>
      <c r="AA10">
        <v>-5354261.0361662405</v>
      </c>
    </row>
    <row r="11" spans="1:27" x14ac:dyDescent="0.25">
      <c r="B11">
        <v>101417789.608641</v>
      </c>
      <c r="C11">
        <v>46456758.181970902</v>
      </c>
      <c r="D11">
        <v>94496434.539674506</v>
      </c>
      <c r="E11">
        <v>2204652.4794546501</v>
      </c>
      <c r="F11">
        <v>-21792486.900568899</v>
      </c>
      <c r="I11">
        <v>53511747.199216798</v>
      </c>
      <c r="J11">
        <v>19249893.295294002</v>
      </c>
      <c r="K11">
        <v>58529273.862358101</v>
      </c>
      <c r="L11">
        <v>1478310.9749619199</v>
      </c>
      <c r="M11">
        <v>-11236405.001859</v>
      </c>
      <c r="P11">
        <v>187755414.42106</v>
      </c>
      <c r="Q11">
        <v>104505996.881486</v>
      </c>
      <c r="R11">
        <v>139408064.92053401</v>
      </c>
      <c r="S11">
        <v>2926380.7384347101</v>
      </c>
      <c r="T11">
        <v>-39446625.541632503</v>
      </c>
      <c r="W11">
        <v>126457198.80355699</v>
      </c>
      <c r="X11">
        <v>58350763.0160437</v>
      </c>
      <c r="Y11">
        <v>108175655.045592</v>
      </c>
      <c r="Z11">
        <v>2414787.7476690598</v>
      </c>
      <c r="AA11">
        <v>-24126363.601949401</v>
      </c>
    </row>
    <row r="12" spans="1:27" x14ac:dyDescent="0.25">
      <c r="B12">
        <v>62905224.693094499</v>
      </c>
      <c r="C12">
        <v>41765802.079558797</v>
      </c>
      <c r="D12">
        <v>-37075098.612687998</v>
      </c>
      <c r="E12">
        <v>2429553.03652647</v>
      </c>
      <c r="F12">
        <v>5486534.1644463604</v>
      </c>
      <c r="I12">
        <v>32661550.488058601</v>
      </c>
      <c r="J12">
        <v>19726249.643528301</v>
      </c>
      <c r="K12">
        <v>-22080716.5957506</v>
      </c>
      <c r="L12">
        <v>1209236.48874442</v>
      </c>
      <c r="M12">
        <v>2811003.0731223999</v>
      </c>
      <c r="P12">
        <v>118248455.459455</v>
      </c>
      <c r="Q12">
        <v>85722981.977271795</v>
      </c>
      <c r="R12">
        <v>-56702075.118141703</v>
      </c>
      <c r="S12">
        <v>4323848.5140624996</v>
      </c>
      <c r="T12">
        <v>10156081.7151052</v>
      </c>
      <c r="W12">
        <v>77685898.691068605</v>
      </c>
      <c r="X12">
        <v>50588643.835712798</v>
      </c>
      <c r="Y12">
        <v>-47347080.240325697</v>
      </c>
      <c r="Z12">
        <v>2639419.4075416299</v>
      </c>
      <c r="AA12">
        <v>6038418.8711986998</v>
      </c>
    </row>
    <row r="13" spans="1:27" x14ac:dyDescent="0.25">
      <c r="B13">
        <v>343214461.143902</v>
      </c>
      <c r="C13">
        <v>168434879.84547299</v>
      </c>
      <c r="D13">
        <v>-6316368.6083617201</v>
      </c>
      <c r="E13">
        <v>131078.93032547299</v>
      </c>
      <c r="F13">
        <v>-1162377.45284741</v>
      </c>
      <c r="I13">
        <v>184974518.85507599</v>
      </c>
      <c r="J13">
        <v>73712478.561951205</v>
      </c>
      <c r="K13">
        <v>-4187414.3765442702</v>
      </c>
      <c r="L13">
        <v>31384.442481056201</v>
      </c>
      <c r="M13">
        <v>-543767.66792206303</v>
      </c>
      <c r="P13">
        <v>620060847.35498703</v>
      </c>
      <c r="Q13">
        <v>361356202.12202001</v>
      </c>
      <c r="R13">
        <v>-6928262.9861960998</v>
      </c>
      <c r="S13">
        <v>201832.018286985</v>
      </c>
      <c r="T13">
        <v>-2479213.0921391998</v>
      </c>
      <c r="W13">
        <v>418365563.16776901</v>
      </c>
      <c r="X13">
        <v>204788956.047151</v>
      </c>
      <c r="Y13">
        <v>-7785023.86302015</v>
      </c>
      <c r="Z13">
        <v>95415.962953608003</v>
      </c>
      <c r="AA13">
        <v>-1105783.23723593</v>
      </c>
    </row>
    <row r="14" spans="1:27" x14ac:dyDescent="0.25">
      <c r="B14">
        <v>417250337.43566197</v>
      </c>
      <c r="C14">
        <v>205992443.76255</v>
      </c>
      <c r="D14">
        <v>13261594.5689572</v>
      </c>
      <c r="E14">
        <v>-711879.68730230595</v>
      </c>
      <c r="F14">
        <v>-2425648.40277373</v>
      </c>
      <c r="I14">
        <v>226238675.99926201</v>
      </c>
      <c r="J14">
        <v>90272731.9132386</v>
      </c>
      <c r="K14">
        <v>7457721.8940052502</v>
      </c>
      <c r="L14">
        <v>-411899.22118481901</v>
      </c>
      <c r="M14">
        <v>-1257554.6157042901</v>
      </c>
      <c r="P14">
        <v>742516160.37372506</v>
      </c>
      <c r="Q14">
        <v>436166774.21816403</v>
      </c>
      <c r="R14">
        <v>23422562.842633899</v>
      </c>
      <c r="S14">
        <v>-1142227.1414034599</v>
      </c>
      <c r="T14">
        <v>-4600834.9761383096</v>
      </c>
      <c r="W14">
        <v>492166602.39242297</v>
      </c>
      <c r="X14">
        <v>243341791.85517401</v>
      </c>
      <c r="Y14">
        <v>16843592.954974499</v>
      </c>
      <c r="Z14">
        <v>-835250.61832793604</v>
      </c>
      <c r="AA14">
        <v>-2501714.9328734102</v>
      </c>
    </row>
    <row r="15" spans="1:27" x14ac:dyDescent="0.25">
      <c r="B15">
        <v>412916086.572438</v>
      </c>
      <c r="C15">
        <v>202974790.85394499</v>
      </c>
      <c r="D15">
        <v>16039146.916250501</v>
      </c>
      <c r="E15">
        <v>-282127.44351335597</v>
      </c>
      <c r="F15">
        <v>-2035352.30193606</v>
      </c>
      <c r="I15">
        <v>223746172.81520501</v>
      </c>
      <c r="J15">
        <v>88458526.318033099</v>
      </c>
      <c r="K15">
        <v>9352833.32693238</v>
      </c>
      <c r="L15">
        <v>-165170.19321323599</v>
      </c>
      <c r="M15">
        <v>-1089326.48959248</v>
      </c>
      <c r="P15">
        <v>730895907.56607795</v>
      </c>
      <c r="Q15">
        <v>428610375.92918003</v>
      </c>
      <c r="R15">
        <v>26890554.811769001</v>
      </c>
      <c r="S15">
        <v>-470736.36406062997</v>
      </c>
      <c r="T15">
        <v>-3854343.1294869301</v>
      </c>
      <c r="W15">
        <v>481314647.76996398</v>
      </c>
      <c r="X15">
        <v>236829275.99371001</v>
      </c>
      <c r="Y15">
        <v>20074685.126862999</v>
      </c>
      <c r="Z15">
        <v>-336019.81608300901</v>
      </c>
      <c r="AA15">
        <v>-2133262.8892719098</v>
      </c>
    </row>
    <row r="16" spans="1:27" x14ac:dyDescent="0.25">
      <c r="B16">
        <v>405028911.92330199</v>
      </c>
      <c r="C16">
        <v>198384680.496618</v>
      </c>
      <c r="D16">
        <v>10094797.394896001</v>
      </c>
      <c r="E16">
        <v>-128176.156495677</v>
      </c>
      <c r="F16">
        <v>-2221222.8341449401</v>
      </c>
      <c r="I16">
        <v>219052431.98418701</v>
      </c>
      <c r="J16">
        <v>86005648.165535897</v>
      </c>
      <c r="K16">
        <v>5971185.0477327202</v>
      </c>
      <c r="L16">
        <v>-76748.736284978106</v>
      </c>
      <c r="M16">
        <v>-1211933.8410670699</v>
      </c>
      <c r="P16">
        <v>716237264.35687399</v>
      </c>
      <c r="Q16">
        <v>419217032.375925</v>
      </c>
      <c r="R16">
        <v>16631617.163733101</v>
      </c>
      <c r="S16">
        <v>-219530.35491724301</v>
      </c>
      <c r="T16">
        <v>-4243525.4576309901</v>
      </c>
      <c r="W16">
        <v>469476729.77724099</v>
      </c>
      <c r="X16">
        <v>229969901.525466</v>
      </c>
      <c r="Y16">
        <v>12549351.7725915</v>
      </c>
      <c r="Z16">
        <v>-151842.08087144999</v>
      </c>
      <c r="AA16">
        <v>-2374537.6411573798</v>
      </c>
    </row>
    <row r="17" spans="2:27" x14ac:dyDescent="0.25">
      <c r="B17">
        <v>401706432.187253</v>
      </c>
      <c r="C17">
        <v>196432658.983071</v>
      </c>
      <c r="D17" s="1">
        <v>-1.79112976184115E-6</v>
      </c>
      <c r="E17" s="1">
        <v>1.70486600836739E-7</v>
      </c>
      <c r="F17">
        <v>-2364416.2592075402</v>
      </c>
      <c r="I17">
        <v>217071138.47458699</v>
      </c>
      <c r="J17">
        <v>84974205.395050198</v>
      </c>
      <c r="K17" s="1">
        <v>4.1311795939691402E-7</v>
      </c>
      <c r="L17" s="1">
        <v>1.13717760541476E-7</v>
      </c>
      <c r="M17">
        <v>-1296339.8914398199</v>
      </c>
      <c r="P17">
        <v>710248872.16004801</v>
      </c>
      <c r="Q17">
        <v>415298298.01394099</v>
      </c>
      <c r="R17" s="1">
        <v>1.1376832844689499E-6</v>
      </c>
      <c r="S17" s="1">
        <v>-6.8126882979413505E-7</v>
      </c>
      <c r="T17">
        <v>-4503149.4263502797</v>
      </c>
      <c r="W17">
        <v>464915685.40194303</v>
      </c>
      <c r="X17">
        <v>227270210.42247799</v>
      </c>
      <c r="Y17" s="1">
        <v>1.4161923900246599E-7</v>
      </c>
      <c r="Z17" s="1">
        <v>2.58249201579019E-7</v>
      </c>
      <c r="AA17">
        <v>-2544369.1589826699</v>
      </c>
    </row>
    <row r="18" spans="2:27" x14ac:dyDescent="0.25">
      <c r="B18">
        <v>405028911.923271</v>
      </c>
      <c r="C18">
        <v>198384680.496602</v>
      </c>
      <c r="D18">
        <v>-10094797.3948969</v>
      </c>
      <c r="E18">
        <v>128176.156495847</v>
      </c>
      <c r="F18">
        <v>-2221222.8341450202</v>
      </c>
      <c r="I18">
        <v>219052431.98417401</v>
      </c>
      <c r="J18">
        <v>86005648.165530398</v>
      </c>
      <c r="K18">
        <v>-5971185.0477322703</v>
      </c>
      <c r="L18">
        <v>76748.736284973595</v>
      </c>
      <c r="M18">
        <v>-1211933.84106714</v>
      </c>
      <c r="P18">
        <v>716237264.356861</v>
      </c>
      <c r="Q18">
        <v>419217032.37591702</v>
      </c>
      <c r="R18">
        <v>-16631617.163732899</v>
      </c>
      <c r="S18">
        <v>219530.354917711</v>
      </c>
      <c r="T18">
        <v>-4243525.4576318804</v>
      </c>
      <c r="W18">
        <v>469476729.77726799</v>
      </c>
      <c r="X18">
        <v>229969901.52548099</v>
      </c>
      <c r="Y18">
        <v>-12549351.7725896</v>
      </c>
      <c r="Z18">
        <v>151842.08087119201</v>
      </c>
      <c r="AA18">
        <v>-2374537.6411564099</v>
      </c>
    </row>
    <row r="19" spans="2:27" x14ac:dyDescent="0.25">
      <c r="B19">
        <v>412916086.57243502</v>
      </c>
      <c r="C19">
        <v>202974790.853944</v>
      </c>
      <c r="D19">
        <v>-16039146.916249299</v>
      </c>
      <c r="E19">
        <v>282127.44351345202</v>
      </c>
      <c r="F19">
        <v>-2035352.30193649</v>
      </c>
      <c r="I19">
        <v>223746172.815184</v>
      </c>
      <c r="J19">
        <v>88458526.318022907</v>
      </c>
      <c r="K19">
        <v>-9352833.3269319795</v>
      </c>
      <c r="L19">
        <v>165170.193212988</v>
      </c>
      <c r="M19">
        <v>-1089326.48959325</v>
      </c>
      <c r="P19">
        <v>730895907.56607604</v>
      </c>
      <c r="Q19">
        <v>428610375.92917699</v>
      </c>
      <c r="R19">
        <v>-26890554.811769001</v>
      </c>
      <c r="S19">
        <v>470736.364061478</v>
      </c>
      <c r="T19">
        <v>-3854343.1294892202</v>
      </c>
      <c r="W19">
        <v>481314647.770006</v>
      </c>
      <c r="X19">
        <v>236829275.99373299</v>
      </c>
      <c r="Y19">
        <v>-20074685.126862802</v>
      </c>
      <c r="Z19">
        <v>336019.81608310802</v>
      </c>
      <c r="AA19">
        <v>-2133262.8892724901</v>
      </c>
    </row>
    <row r="20" spans="2:27" x14ac:dyDescent="0.25">
      <c r="B20">
        <v>417250337.43564498</v>
      </c>
      <c r="C20">
        <v>205992443.762539</v>
      </c>
      <c r="D20">
        <v>-13261594.5689565</v>
      </c>
      <c r="E20">
        <v>711879.68730216403</v>
      </c>
      <c r="F20">
        <v>-2425648.4027736001</v>
      </c>
      <c r="I20">
        <v>226238675.99925801</v>
      </c>
      <c r="J20">
        <v>90272731.913236707</v>
      </c>
      <c r="K20">
        <v>-7457721.8940049196</v>
      </c>
      <c r="L20">
        <v>411899.221184825</v>
      </c>
      <c r="M20">
        <v>-1257554.6157046</v>
      </c>
      <c r="P20">
        <v>742516160.37375295</v>
      </c>
      <c r="Q20">
        <v>436166774.21818399</v>
      </c>
      <c r="R20">
        <v>-23422562.842633199</v>
      </c>
      <c r="S20">
        <v>1142227.14140355</v>
      </c>
      <c r="T20">
        <v>-4600834.9761370001</v>
      </c>
      <c r="W20">
        <v>492166602.39244097</v>
      </c>
      <c r="X20">
        <v>243341791.85518301</v>
      </c>
      <c r="Y20">
        <v>-16843592.954977699</v>
      </c>
      <c r="Z20">
        <v>835250.61832819204</v>
      </c>
      <c r="AA20">
        <v>-2501714.9328739299</v>
      </c>
    </row>
    <row r="21" spans="2:27" x14ac:dyDescent="0.25">
      <c r="B21">
        <v>343214461.14389098</v>
      </c>
      <c r="C21">
        <v>168434879.845465</v>
      </c>
      <c r="D21">
        <v>6316368.6083613802</v>
      </c>
      <c r="E21">
        <v>-131078.93032599101</v>
      </c>
      <c r="F21">
        <v>-1162377.4528474801</v>
      </c>
      <c r="I21">
        <v>184974518.855077</v>
      </c>
      <c r="J21">
        <v>73712478.561951995</v>
      </c>
      <c r="K21">
        <v>4187414.3765445999</v>
      </c>
      <c r="L21">
        <v>-31384.442481292601</v>
      </c>
      <c r="M21">
        <v>-543767.66792220494</v>
      </c>
      <c r="P21">
        <v>620060847.35501504</v>
      </c>
      <c r="Q21">
        <v>361356202.12203997</v>
      </c>
      <c r="R21">
        <v>6928262.9861987298</v>
      </c>
      <c r="S21">
        <v>-201832.018288277</v>
      </c>
      <c r="T21">
        <v>-2479213.09213951</v>
      </c>
      <c r="W21">
        <v>418365563.16779399</v>
      </c>
      <c r="X21">
        <v>204788956.04716599</v>
      </c>
      <c r="Y21">
        <v>7785023.8630169705</v>
      </c>
      <c r="Z21">
        <v>-95415.962954189206</v>
      </c>
      <c r="AA21">
        <v>-1105783.2372362199</v>
      </c>
    </row>
    <row r="22" spans="2:27" x14ac:dyDescent="0.25">
      <c r="B22">
        <v>62905224.693093002</v>
      </c>
      <c r="C22">
        <v>41765802.079558298</v>
      </c>
      <c r="D22">
        <v>37075098.612685896</v>
      </c>
      <c r="E22">
        <v>-2429553.0365251801</v>
      </c>
      <c r="F22">
        <v>5486534.1644453201</v>
      </c>
      <c r="I22">
        <v>32661550.4880585</v>
      </c>
      <c r="J22">
        <v>19726249.643528301</v>
      </c>
      <c r="K22">
        <v>22080716.5957505</v>
      </c>
      <c r="L22">
        <v>-1209236.4887439399</v>
      </c>
      <c r="M22">
        <v>2811003.0731226699</v>
      </c>
      <c r="P22">
        <v>118248455.459454</v>
      </c>
      <c r="Q22">
        <v>85722981.977272198</v>
      </c>
      <c r="R22">
        <v>56702075.118143901</v>
      </c>
      <c r="S22">
        <v>-4323848.5140611902</v>
      </c>
      <c r="T22">
        <v>10156081.7151062</v>
      </c>
      <c r="W22">
        <v>77685898.691066802</v>
      </c>
      <c r="X22">
        <v>50588643.8357113</v>
      </c>
      <c r="Y22">
        <v>47347080.240322098</v>
      </c>
      <c r="Z22">
        <v>-2639419.4075406799</v>
      </c>
      <c r="AA22">
        <v>6038418.8711992502</v>
      </c>
    </row>
    <row r="23" spans="2:27" x14ac:dyDescent="0.25">
      <c r="B23">
        <v>14547166.1386746</v>
      </c>
      <c r="C23">
        <v>20225661.748468898</v>
      </c>
      <c r="D23">
        <v>-18944198.128933199</v>
      </c>
      <c r="E23">
        <v>66515.967798952493</v>
      </c>
      <c r="F23">
        <v>1433747.9846541199</v>
      </c>
      <c r="I23">
        <v>7048786.3524827296</v>
      </c>
      <c r="J23">
        <v>10804351.5331665</v>
      </c>
      <c r="K23">
        <v>-10832242.3677892</v>
      </c>
      <c r="L23">
        <v>-7162.5989522028503</v>
      </c>
      <c r="M23">
        <v>856240.32470363798</v>
      </c>
      <c r="P23">
        <v>28634387.595973901</v>
      </c>
      <c r="Q23">
        <v>36708833.433791503</v>
      </c>
      <c r="R23">
        <v>-29626187.6142774</v>
      </c>
      <c r="S23">
        <v>118924.561767259</v>
      </c>
      <c r="T23">
        <v>1997807.7147883901</v>
      </c>
      <c r="W23">
        <v>17555192.932328802</v>
      </c>
      <c r="X23">
        <v>23764222.968944602</v>
      </c>
      <c r="Y23">
        <v>-24913100.307330299</v>
      </c>
      <c r="Z23">
        <v>97350.814186478296</v>
      </c>
      <c r="AA23">
        <v>1606060.0930154601</v>
      </c>
    </row>
    <row r="24" spans="2:27" x14ac:dyDescent="0.25">
      <c r="B24">
        <v>232110940.648821</v>
      </c>
      <c r="C24">
        <v>117449038.349676</v>
      </c>
      <c r="D24">
        <v>-12447532.5090847</v>
      </c>
      <c r="E24">
        <v>75602.921183812898</v>
      </c>
      <c r="F24">
        <v>-1386721.17228431</v>
      </c>
      <c r="I24">
        <v>123132164.893223</v>
      </c>
      <c r="J24">
        <v>51498655.858649701</v>
      </c>
      <c r="K24">
        <v>-7345937.8920493899</v>
      </c>
      <c r="L24">
        <v>-14765.6251842853</v>
      </c>
      <c r="M24">
        <v>-777362.87937908701</v>
      </c>
      <c r="P24">
        <v>419925703.13299298</v>
      </c>
      <c r="Q24">
        <v>249268944.68354899</v>
      </c>
      <c r="R24">
        <v>-19186908.725500099</v>
      </c>
      <c r="S24">
        <v>165634.93755199201</v>
      </c>
      <c r="T24">
        <v>-2356491.0118329101</v>
      </c>
      <c r="W24">
        <v>287599465.34272701</v>
      </c>
      <c r="X24">
        <v>144799675.31972</v>
      </c>
      <c r="Y24">
        <v>-16450924.331109701</v>
      </c>
      <c r="Z24">
        <v>73159.570052601601</v>
      </c>
      <c r="AA24">
        <v>-1440500.77495553</v>
      </c>
    </row>
    <row r="25" spans="2:27" x14ac:dyDescent="0.25">
      <c r="B25">
        <v>353160440.49720597</v>
      </c>
      <c r="C25">
        <v>170344561.228286</v>
      </c>
      <c r="D25">
        <v>1965994.8225781801</v>
      </c>
      <c r="E25">
        <v>118539.459590377</v>
      </c>
      <c r="F25">
        <v>-8233.7201454943297</v>
      </c>
      <c r="I25">
        <v>187642014.64462501</v>
      </c>
      <c r="J25">
        <v>72925319.685408399</v>
      </c>
      <c r="K25">
        <v>951455.61618837505</v>
      </c>
      <c r="L25">
        <v>21888.029917001</v>
      </c>
      <c r="M25">
        <v>23089.351953081601</v>
      </c>
      <c r="P25">
        <v>636157627.05585504</v>
      </c>
      <c r="Q25">
        <v>365420753.00216699</v>
      </c>
      <c r="R25">
        <v>4208989.2832508897</v>
      </c>
      <c r="S25">
        <v>202388.98358494899</v>
      </c>
      <c r="T25">
        <v>-44783.546448995497</v>
      </c>
      <c r="W25">
        <v>435101506.13647002</v>
      </c>
      <c r="X25">
        <v>209325093.749156</v>
      </c>
      <c r="Y25">
        <v>2185682.6995033501</v>
      </c>
      <c r="Z25">
        <v>95196.701476450296</v>
      </c>
      <c r="AA25">
        <v>177691.489337865</v>
      </c>
    </row>
    <row r="26" spans="2:27" x14ac:dyDescent="0.25">
      <c r="B26">
        <v>385614826.36413699</v>
      </c>
      <c r="C26">
        <v>182394834.499143</v>
      </c>
      <c r="D26">
        <v>7858062.0046447599</v>
      </c>
      <c r="E26">
        <v>-220484.54412063901</v>
      </c>
      <c r="F26">
        <v>207538.63063418699</v>
      </c>
      <c r="I26">
        <v>204192935.815752</v>
      </c>
      <c r="J26">
        <v>76839669.670919105</v>
      </c>
      <c r="K26">
        <v>4517696.2209230103</v>
      </c>
      <c r="L26">
        <v>-144069.71342460901</v>
      </c>
      <c r="M26">
        <v>137273.45272877699</v>
      </c>
      <c r="P26">
        <v>692090024.563977</v>
      </c>
      <c r="Q26">
        <v>392558183.40589398</v>
      </c>
      <c r="R26">
        <v>13355671.5651736</v>
      </c>
      <c r="S26">
        <v>-395615.87123031099</v>
      </c>
      <c r="T26">
        <v>210059.86684572001</v>
      </c>
      <c r="W26">
        <v>471459415.50108701</v>
      </c>
      <c r="X26">
        <v>222323470.110304</v>
      </c>
      <c r="Y26">
        <v>9806022.6368510202</v>
      </c>
      <c r="Z26">
        <v>-279012.49493476702</v>
      </c>
      <c r="AA26">
        <v>454859.91862409399</v>
      </c>
    </row>
    <row r="27" spans="2:27" x14ac:dyDescent="0.25">
      <c r="B27">
        <v>395242574.63817501</v>
      </c>
      <c r="C27">
        <v>184458825.06078601</v>
      </c>
      <c r="D27">
        <v>6031790.5622114995</v>
      </c>
      <c r="E27">
        <v>-171282.137789448</v>
      </c>
      <c r="F27">
        <v>-66900.608292598801</v>
      </c>
      <c r="I27">
        <v>208714717.90287</v>
      </c>
      <c r="J27">
        <v>76778909.956502393</v>
      </c>
      <c r="K27">
        <v>3520749.19504986</v>
      </c>
      <c r="L27">
        <v>-105471.265250469</v>
      </c>
      <c r="M27">
        <v>-18128.124035627101</v>
      </c>
      <c r="P27">
        <v>708188987.75742805</v>
      </c>
      <c r="Q27">
        <v>398256952.95826602</v>
      </c>
      <c r="R27">
        <v>9978787.0444149598</v>
      </c>
      <c r="S27">
        <v>-291751.61172535899</v>
      </c>
      <c r="T27">
        <v>-229922.34607543499</v>
      </c>
      <c r="W27">
        <v>480978754.28837401</v>
      </c>
      <c r="X27">
        <v>223632491.52317601</v>
      </c>
      <c r="Y27">
        <v>7560996.4191520698</v>
      </c>
      <c r="Z27">
        <v>-208758.046216463</v>
      </c>
      <c r="AA27">
        <v>144109.83755717301</v>
      </c>
    </row>
    <row r="28" spans="2:27" x14ac:dyDescent="0.25">
      <c r="B28">
        <v>395895418.14701599</v>
      </c>
      <c r="C28">
        <v>183835716.72252199</v>
      </c>
      <c r="D28" s="1">
        <v>-1.7624406609684199E-6</v>
      </c>
      <c r="E28" s="1">
        <v>-1.8290666048415E-7</v>
      </c>
      <c r="F28">
        <v>-93951.931581708501</v>
      </c>
      <c r="I28">
        <v>208799980.32398</v>
      </c>
      <c r="J28">
        <v>76153434.739814296</v>
      </c>
      <c r="K28" s="1">
        <v>8.5688225226476799E-7</v>
      </c>
      <c r="L28" s="1">
        <v>-1.17463059723377E-7</v>
      </c>
      <c r="M28">
        <v>-35419.634373640998</v>
      </c>
      <c r="P28">
        <v>709016673.32925296</v>
      </c>
      <c r="Q28">
        <v>397434600.41162097</v>
      </c>
      <c r="R28" s="1">
        <v>-2.6098277885466801E-6</v>
      </c>
      <c r="S28" s="1">
        <v>4.2374449549242902E-7</v>
      </c>
      <c r="T28">
        <v>-247723.165715037</v>
      </c>
      <c r="W28">
        <v>481144007.06853998</v>
      </c>
      <c r="X28">
        <v>222499718.84393501</v>
      </c>
      <c r="Y28" s="1">
        <v>1.5997648006305101E-6</v>
      </c>
      <c r="Z28" s="1">
        <v>-3.0609953682869699E-7</v>
      </c>
      <c r="AA28">
        <v>107579.42540051301</v>
      </c>
    </row>
    <row r="29" spans="2:27" x14ac:dyDescent="0.25">
      <c r="B29">
        <v>395242574.638179</v>
      </c>
      <c r="C29">
        <v>184458825.06079099</v>
      </c>
      <c r="D29">
        <v>-6031790.56221224</v>
      </c>
      <c r="E29">
        <v>171282.13778943801</v>
      </c>
      <c r="F29">
        <v>-66900.608293618701</v>
      </c>
      <c r="I29">
        <v>208714717.90289</v>
      </c>
      <c r="J29">
        <v>76778909.956508994</v>
      </c>
      <c r="K29">
        <v>-3520749.1950503802</v>
      </c>
      <c r="L29">
        <v>105471.2652504</v>
      </c>
      <c r="M29">
        <v>-18128.124035108402</v>
      </c>
      <c r="P29">
        <v>708188987.75740302</v>
      </c>
      <c r="Q29">
        <v>398256952.958251</v>
      </c>
      <c r="R29">
        <v>-9978787.0444157906</v>
      </c>
      <c r="S29">
        <v>291751.61172516103</v>
      </c>
      <c r="T29">
        <v>-229922.34607359601</v>
      </c>
      <c r="W29">
        <v>480978754.28837299</v>
      </c>
      <c r="X29">
        <v>223632491.523177</v>
      </c>
      <c r="Y29">
        <v>-7560996.4191508098</v>
      </c>
      <c r="Z29">
        <v>208758.046216546</v>
      </c>
      <c r="AA29">
        <v>144109.83755615001</v>
      </c>
    </row>
    <row r="30" spans="2:27" x14ac:dyDescent="0.25">
      <c r="B30">
        <v>385614826.36409497</v>
      </c>
      <c r="C30">
        <v>182394834.49911699</v>
      </c>
      <c r="D30">
        <v>-7858062.0046433499</v>
      </c>
      <c r="E30">
        <v>220484.54412003999</v>
      </c>
      <c r="F30">
        <v>207538.63063515499</v>
      </c>
      <c r="I30">
        <v>204192935.81574899</v>
      </c>
      <c r="J30">
        <v>76839669.670917794</v>
      </c>
      <c r="K30">
        <v>-4517696.2209246196</v>
      </c>
      <c r="L30">
        <v>144069.713424738</v>
      </c>
      <c r="M30">
        <v>137273.45272958299</v>
      </c>
      <c r="P30">
        <v>692090024.56399703</v>
      </c>
      <c r="Q30">
        <v>392558183.405909</v>
      </c>
      <c r="R30">
        <v>-13355671.5651704</v>
      </c>
      <c r="S30">
        <v>395615.871231745</v>
      </c>
      <c r="T30">
        <v>210059.866846219</v>
      </c>
      <c r="W30">
        <v>471459415.50106502</v>
      </c>
      <c r="X30">
        <v>222323470.11028799</v>
      </c>
      <c r="Y30">
        <v>-9806022.6368527208</v>
      </c>
      <c r="Z30">
        <v>279012.49493398902</v>
      </c>
      <c r="AA30">
        <v>454859.91862566501</v>
      </c>
    </row>
    <row r="31" spans="2:27" x14ac:dyDescent="0.25">
      <c r="B31">
        <v>353160440.49716902</v>
      </c>
      <c r="C31">
        <v>170344561.22826499</v>
      </c>
      <c r="D31">
        <v>-1965994.82257849</v>
      </c>
      <c r="E31">
        <v>-118539.459589904</v>
      </c>
      <c r="F31">
        <v>-8233.7201476006194</v>
      </c>
      <c r="I31">
        <v>187642014.64459801</v>
      </c>
      <c r="J31">
        <v>72925319.685396507</v>
      </c>
      <c r="K31">
        <v>-951455.61618748202</v>
      </c>
      <c r="L31">
        <v>-21888.029917174401</v>
      </c>
      <c r="M31">
        <v>23089.351953194</v>
      </c>
      <c r="P31">
        <v>636157627.05588102</v>
      </c>
      <c r="Q31">
        <v>365420753.00218499</v>
      </c>
      <c r="R31">
        <v>-4208989.28324831</v>
      </c>
      <c r="S31">
        <v>-202388.983583736</v>
      </c>
      <c r="T31">
        <v>-44783.546448714304</v>
      </c>
      <c r="W31">
        <v>435101506.13646799</v>
      </c>
      <c r="X31">
        <v>209325093.74915501</v>
      </c>
      <c r="Y31">
        <v>-2185682.6995057198</v>
      </c>
      <c r="Z31">
        <v>-95196.701476133807</v>
      </c>
      <c r="AA31">
        <v>177691.48933785001</v>
      </c>
    </row>
    <row r="32" spans="2:27" x14ac:dyDescent="0.25">
      <c r="B32">
        <v>232110940.648783</v>
      </c>
      <c r="C32">
        <v>117449038.34965301</v>
      </c>
      <c r="D32">
        <v>12447532.509084299</v>
      </c>
      <c r="E32">
        <v>-75602.921184242296</v>
      </c>
      <c r="F32">
        <v>-1386721.1722842499</v>
      </c>
      <c r="I32">
        <v>123132164.893209</v>
      </c>
      <c r="J32">
        <v>51498655.858644001</v>
      </c>
      <c r="K32">
        <v>7345937.8920506304</v>
      </c>
      <c r="L32">
        <v>14765.6251842205</v>
      </c>
      <c r="M32">
        <v>-777362.87937932299</v>
      </c>
      <c r="P32">
        <v>419925703.13303298</v>
      </c>
      <c r="Q32">
        <v>249268944.683577</v>
      </c>
      <c r="R32">
        <v>19186908.725501802</v>
      </c>
      <c r="S32">
        <v>-165634.93755319499</v>
      </c>
      <c r="T32">
        <v>-2356491.0118321902</v>
      </c>
      <c r="W32">
        <v>287599465.34272403</v>
      </c>
      <c r="X32">
        <v>144799675.31972</v>
      </c>
      <c r="Y32">
        <v>16450924.331108</v>
      </c>
      <c r="Z32">
        <v>-73159.570053331205</v>
      </c>
      <c r="AA32">
        <v>-1440500.77495555</v>
      </c>
    </row>
    <row r="33" spans="2:27" x14ac:dyDescent="0.25">
      <c r="B33">
        <v>14547166.1386739</v>
      </c>
      <c r="C33">
        <v>20225661.748469301</v>
      </c>
      <c r="D33">
        <v>18944198.1289328</v>
      </c>
      <c r="E33">
        <v>-66515.967797431294</v>
      </c>
      <c r="F33">
        <v>1433747.9846540201</v>
      </c>
      <c r="I33">
        <v>7048786.3524822798</v>
      </c>
      <c r="J33">
        <v>10804351.533166301</v>
      </c>
      <c r="K33">
        <v>10832242.367789101</v>
      </c>
      <c r="L33">
        <v>7162.598953013</v>
      </c>
      <c r="M33">
        <v>856240.32470432098</v>
      </c>
      <c r="P33">
        <v>28634387.595973101</v>
      </c>
      <c r="Q33">
        <v>36708833.433790803</v>
      </c>
      <c r="R33">
        <v>29626187.614276402</v>
      </c>
      <c r="S33">
        <v>-118924.561765272</v>
      </c>
      <c r="T33">
        <v>1997807.7147890599</v>
      </c>
      <c r="W33">
        <v>17555192.9323286</v>
      </c>
      <c r="X33">
        <v>23764222.9689437</v>
      </c>
      <c r="Y33">
        <v>24913100.307326701</v>
      </c>
      <c r="Z33">
        <v>-97350.814184834395</v>
      </c>
      <c r="AA33">
        <v>1606060.09301381</v>
      </c>
    </row>
    <row r="34" spans="2:27" x14ac:dyDescent="0.25">
      <c r="B34">
        <v>10960827.110871799</v>
      </c>
      <c r="C34">
        <v>17908527.8662806</v>
      </c>
      <c r="D34">
        <v>-12235864.4170046</v>
      </c>
      <c r="E34">
        <v>309243.201854304</v>
      </c>
      <c r="F34">
        <v>-256654.320783084</v>
      </c>
      <c r="I34">
        <v>5015733.3072065404</v>
      </c>
      <c r="J34">
        <v>9631039.4316415992</v>
      </c>
      <c r="K34">
        <v>-7020000.7613658505</v>
      </c>
      <c r="L34">
        <v>115527.62850472001</v>
      </c>
      <c r="M34">
        <v>-144702.53032996901</v>
      </c>
      <c r="P34">
        <v>22379279.600793</v>
      </c>
      <c r="Q34">
        <v>32246348.364664402</v>
      </c>
      <c r="R34">
        <v>-19666590.885741901</v>
      </c>
      <c r="S34">
        <v>548317.91282280395</v>
      </c>
      <c r="T34">
        <v>-486146.433537409</v>
      </c>
      <c r="W34">
        <v>13211206.459449099</v>
      </c>
      <c r="X34">
        <v>20983934.1027954</v>
      </c>
      <c r="Y34">
        <v>-15872117.634589801</v>
      </c>
      <c r="Z34">
        <v>377709.73062068399</v>
      </c>
      <c r="AA34">
        <v>-262692.12110161799</v>
      </c>
    </row>
    <row r="35" spans="2:27" x14ac:dyDescent="0.25">
      <c r="B35">
        <v>194757917.439329</v>
      </c>
      <c r="C35">
        <v>100002008.482465</v>
      </c>
      <c r="D35">
        <v>-9384581.5975757893</v>
      </c>
      <c r="E35">
        <v>242359.29105808301</v>
      </c>
      <c r="F35">
        <v>-37257.734953670697</v>
      </c>
      <c r="I35">
        <v>102588222.33701099</v>
      </c>
      <c r="J35">
        <v>43791649.939025499</v>
      </c>
      <c r="K35">
        <v>-5524471.2732388098</v>
      </c>
      <c r="L35">
        <v>85726.402333339895</v>
      </c>
      <c r="M35">
        <v>-24669.233959450499</v>
      </c>
      <c r="P35">
        <v>353841106.86817902</v>
      </c>
      <c r="Q35">
        <v>211987603.42502099</v>
      </c>
      <c r="R35">
        <v>-14940142.328568</v>
      </c>
      <c r="S35">
        <v>421762.38051619299</v>
      </c>
      <c r="T35">
        <v>-17681.022911862401</v>
      </c>
      <c r="W35">
        <v>243324593.97682601</v>
      </c>
      <c r="X35">
        <v>124478623.77004001</v>
      </c>
      <c r="Y35">
        <v>-12254956.6556996</v>
      </c>
      <c r="Z35">
        <v>288316.64266997803</v>
      </c>
      <c r="AA35">
        <v>-22659.278000055801</v>
      </c>
    </row>
    <row r="36" spans="2:27" x14ac:dyDescent="0.25">
      <c r="B36">
        <v>329982138.55628997</v>
      </c>
      <c r="C36">
        <v>158607990.523541</v>
      </c>
      <c r="D36">
        <v>-2320178.9978327001</v>
      </c>
      <c r="E36">
        <v>-63717.969072090797</v>
      </c>
      <c r="F36">
        <v>165551.86171263101</v>
      </c>
      <c r="I36">
        <v>174654165.15958101</v>
      </c>
      <c r="J36">
        <v>67658145.497275993</v>
      </c>
      <c r="K36">
        <v>-1523199.1753022401</v>
      </c>
      <c r="L36">
        <v>-73981.982050422594</v>
      </c>
      <c r="M36">
        <v>101366.326698986</v>
      </c>
      <c r="P36">
        <v>597587673.16663802</v>
      </c>
      <c r="Q36">
        <v>341736795.61214</v>
      </c>
      <c r="R36">
        <v>-3468834.8873069198</v>
      </c>
      <c r="S36">
        <v>-123326.658511933</v>
      </c>
      <c r="T36">
        <v>281370.58044970001</v>
      </c>
      <c r="W36">
        <v>412374738.93338799</v>
      </c>
      <c r="X36">
        <v>198196216.43523201</v>
      </c>
      <c r="Y36">
        <v>-3187962.0935543799</v>
      </c>
      <c r="Z36">
        <v>-78136.521495652501</v>
      </c>
      <c r="AA36">
        <v>265195.87850160198</v>
      </c>
    </row>
    <row r="37" spans="2:27" x14ac:dyDescent="0.25">
      <c r="B37">
        <v>403704492.84815001</v>
      </c>
      <c r="C37">
        <v>188389303.79447201</v>
      </c>
      <c r="D37">
        <v>2186100.4070389499</v>
      </c>
      <c r="E37">
        <v>-229469.464338791</v>
      </c>
      <c r="F37">
        <v>229229.829093248</v>
      </c>
      <c r="I37">
        <v>213752310.67853099</v>
      </c>
      <c r="J37">
        <v>79022202.697655499</v>
      </c>
      <c r="K37">
        <v>1138781.5035031401</v>
      </c>
      <c r="L37">
        <v>-155254.59718376101</v>
      </c>
      <c r="M37">
        <v>152422.04901550399</v>
      </c>
      <c r="P37">
        <v>730230094.81873</v>
      </c>
      <c r="Q37">
        <v>409370848.44357699</v>
      </c>
      <c r="R37">
        <v>3742391.5776585699</v>
      </c>
      <c r="S37">
        <v>-379571.80282325897</v>
      </c>
      <c r="T37">
        <v>425087.11991456599</v>
      </c>
      <c r="W37">
        <v>503323527.23816001</v>
      </c>
      <c r="X37">
        <v>235037872.765802</v>
      </c>
      <c r="Y37">
        <v>2698441.8666671999</v>
      </c>
      <c r="Z37">
        <v>-279502.99019132101</v>
      </c>
      <c r="AA37">
        <v>377124.907836181</v>
      </c>
    </row>
    <row r="38" spans="2:27" x14ac:dyDescent="0.25">
      <c r="B38">
        <v>436098226.56781101</v>
      </c>
      <c r="C38">
        <v>199994591.590534</v>
      </c>
      <c r="D38">
        <v>2521930.5571529302</v>
      </c>
      <c r="E38">
        <v>-145709.734449232</v>
      </c>
      <c r="F38">
        <v>484316.21506647702</v>
      </c>
      <c r="I38">
        <v>230741023.39449</v>
      </c>
      <c r="J38">
        <v>82897626.701401204</v>
      </c>
      <c r="K38">
        <v>1406923.47282014</v>
      </c>
      <c r="L38">
        <v>-95027.629106361594</v>
      </c>
      <c r="M38">
        <v>293107.86654240999</v>
      </c>
      <c r="P38">
        <v>788041380.18119204</v>
      </c>
      <c r="Q38">
        <v>436811768.46328902</v>
      </c>
      <c r="R38">
        <v>4195647.8349903701</v>
      </c>
      <c r="S38">
        <v>-242874.62341338801</v>
      </c>
      <c r="T38">
        <v>892731.72160313302</v>
      </c>
      <c r="W38">
        <v>542485738.74190903</v>
      </c>
      <c r="X38">
        <v>248963984.758284</v>
      </c>
      <c r="Y38">
        <v>3206256.9873798499</v>
      </c>
      <c r="Z38">
        <v>-180024.94962333699</v>
      </c>
      <c r="AA38">
        <v>669582.27052680799</v>
      </c>
    </row>
    <row r="39" spans="2:27" x14ac:dyDescent="0.25">
      <c r="B39">
        <v>444451695.80032802</v>
      </c>
      <c r="C39">
        <v>202583641.84603301</v>
      </c>
      <c r="D39" s="1">
        <v>-2.96247890219092E-7</v>
      </c>
      <c r="E39" s="1">
        <v>2.9337388696149002E-7</v>
      </c>
      <c r="F39">
        <v>567074.84438312496</v>
      </c>
      <c r="I39">
        <v>235057395.55877</v>
      </c>
      <c r="J39">
        <v>83592092.930605993</v>
      </c>
      <c r="K39" s="1">
        <v>1.61199204740115E-6</v>
      </c>
      <c r="L39" s="1">
        <v>2.2025051293894601E-7</v>
      </c>
      <c r="M39">
        <v>338041.449384598</v>
      </c>
      <c r="P39">
        <v>803070768.31766796</v>
      </c>
      <c r="Q39">
        <v>443389804.08549601</v>
      </c>
      <c r="R39" s="1">
        <v>-3.2225034374278001E-6</v>
      </c>
      <c r="S39" s="1">
        <v>2.0320294424891501E-7</v>
      </c>
      <c r="T39">
        <v>1019609.86294309</v>
      </c>
      <c r="W39">
        <v>552440439.94422495</v>
      </c>
      <c r="X39">
        <v>251966662.20808899</v>
      </c>
      <c r="Y39" s="1">
        <v>2.0545521692838499E-6</v>
      </c>
      <c r="Z39" s="1">
        <v>1.0211078915745E-7</v>
      </c>
      <c r="AA39">
        <v>762866.84085665201</v>
      </c>
    </row>
    <row r="40" spans="2:27" x14ac:dyDescent="0.25">
      <c r="B40">
        <v>436098226.56781501</v>
      </c>
      <c r="C40">
        <v>199994591.59053999</v>
      </c>
      <c r="D40">
        <v>-2521930.5571532701</v>
      </c>
      <c r="E40">
        <v>145709.73444921401</v>
      </c>
      <c r="F40">
        <v>484316.21506818302</v>
      </c>
      <c r="I40">
        <v>230741023.39447099</v>
      </c>
      <c r="J40">
        <v>82897626.701387405</v>
      </c>
      <c r="K40">
        <v>-1406923.4728196</v>
      </c>
      <c r="L40">
        <v>95027.629106903507</v>
      </c>
      <c r="M40">
        <v>293107.86654087802</v>
      </c>
      <c r="P40">
        <v>788041380.18125403</v>
      </c>
      <c r="Q40">
        <v>436811768.46333098</v>
      </c>
      <c r="R40">
        <v>-4195647.8349935003</v>
      </c>
      <c r="S40">
        <v>242874.62341395899</v>
      </c>
      <c r="T40">
        <v>892731.72160456399</v>
      </c>
      <c r="W40">
        <v>542485738.74190402</v>
      </c>
      <c r="X40">
        <v>248963984.758279</v>
      </c>
      <c r="Y40">
        <v>-3206256.9873789698</v>
      </c>
      <c r="Z40">
        <v>180024.949623644</v>
      </c>
      <c r="AA40">
        <v>669582.27052591101</v>
      </c>
    </row>
    <row r="41" spans="2:27" x14ac:dyDescent="0.25">
      <c r="B41">
        <v>403704492.84814203</v>
      </c>
      <c r="C41">
        <v>188389303.79446501</v>
      </c>
      <c r="D41">
        <v>-2186100.4070393601</v>
      </c>
      <c r="E41">
        <v>229469.46433768401</v>
      </c>
      <c r="F41">
        <v>229229.829092172</v>
      </c>
      <c r="I41">
        <v>213752310.67853799</v>
      </c>
      <c r="J41">
        <v>79022202.697658896</v>
      </c>
      <c r="K41">
        <v>-1138781.50350526</v>
      </c>
      <c r="L41">
        <v>155254.59718344701</v>
      </c>
      <c r="M41">
        <v>152422.04901451699</v>
      </c>
      <c r="P41">
        <v>730230094.81875205</v>
      </c>
      <c r="Q41">
        <v>409370848.44359601</v>
      </c>
      <c r="R41">
        <v>-3742391.5776550602</v>
      </c>
      <c r="S41">
        <v>379571.80282136198</v>
      </c>
      <c r="T41">
        <v>425087.11991926102</v>
      </c>
      <c r="W41">
        <v>503323527.23817098</v>
      </c>
      <c r="X41">
        <v>235037872.76580301</v>
      </c>
      <c r="Y41">
        <v>-2698441.86666614</v>
      </c>
      <c r="Z41">
        <v>279502.99019084102</v>
      </c>
      <c r="AA41">
        <v>377124.90783476899</v>
      </c>
    </row>
    <row r="42" spans="2:27" x14ac:dyDescent="0.25">
      <c r="B42">
        <v>329982138.556256</v>
      </c>
      <c r="C42">
        <v>158607990.52351999</v>
      </c>
      <c r="D42">
        <v>2320178.9978309898</v>
      </c>
      <c r="E42">
        <v>63717.969072508698</v>
      </c>
      <c r="F42">
        <v>165551.86171291099</v>
      </c>
      <c r="I42">
        <v>174654165.15959001</v>
      </c>
      <c r="J42">
        <v>67658145.497281596</v>
      </c>
      <c r="K42">
        <v>1523199.1753011199</v>
      </c>
      <c r="L42">
        <v>73981.982050693201</v>
      </c>
      <c r="M42">
        <v>101366.32669919499</v>
      </c>
      <c r="P42">
        <v>597587673.16669202</v>
      </c>
      <c r="Q42">
        <v>341736795.61217397</v>
      </c>
      <c r="R42">
        <v>3468834.8873114502</v>
      </c>
      <c r="S42">
        <v>123326.658511567</v>
      </c>
      <c r="T42">
        <v>281370.580448177</v>
      </c>
      <c r="W42">
        <v>412374738.93339097</v>
      </c>
      <c r="X42">
        <v>198196216.43523201</v>
      </c>
      <c r="Y42">
        <v>3187962.09355347</v>
      </c>
      <c r="Z42">
        <v>78136.521496129993</v>
      </c>
      <c r="AA42">
        <v>265195.87849946303</v>
      </c>
    </row>
    <row r="43" spans="2:27" x14ac:dyDescent="0.25">
      <c r="B43">
        <v>194757917.439298</v>
      </c>
      <c r="C43">
        <v>100002008.482446</v>
      </c>
      <c r="D43">
        <v>9384581.5975761097</v>
      </c>
      <c r="E43">
        <v>-242359.291058345</v>
      </c>
      <c r="F43">
        <v>-37257.734953494299</v>
      </c>
      <c r="I43">
        <v>102588222.33701</v>
      </c>
      <c r="J43">
        <v>43791649.939024799</v>
      </c>
      <c r="K43">
        <v>5524471.2732400699</v>
      </c>
      <c r="L43">
        <v>-85726.402333735794</v>
      </c>
      <c r="M43">
        <v>-24669.233958963199</v>
      </c>
      <c r="P43">
        <v>353841106.86821002</v>
      </c>
      <c r="Q43">
        <v>211987603.425042</v>
      </c>
      <c r="R43">
        <v>14940142.328568</v>
      </c>
      <c r="S43">
        <v>-421762.38051702798</v>
      </c>
      <c r="T43">
        <v>-17681.022914932</v>
      </c>
      <c r="W43">
        <v>243324593.976816</v>
      </c>
      <c r="X43">
        <v>124478623.770034</v>
      </c>
      <c r="Y43">
        <v>12254956.6556964</v>
      </c>
      <c r="Z43">
        <v>-288316.64267056301</v>
      </c>
      <c r="AA43">
        <v>-22659.278002267001</v>
      </c>
    </row>
    <row r="44" spans="2:27" x14ac:dyDescent="0.25">
      <c r="B44">
        <v>10960827.110872</v>
      </c>
      <c r="C44">
        <v>17908527.866282199</v>
      </c>
      <c r="D44">
        <v>12235864.417005301</v>
      </c>
      <c r="E44">
        <v>-309243.20185233402</v>
      </c>
      <c r="F44">
        <v>-256654.32078194001</v>
      </c>
      <c r="I44">
        <v>5015733.3072061902</v>
      </c>
      <c r="J44">
        <v>9631039.4316413105</v>
      </c>
      <c r="K44">
        <v>7020000.7613669597</v>
      </c>
      <c r="L44">
        <v>-115527.62850370799</v>
      </c>
      <c r="M44">
        <v>-144702.53032948199</v>
      </c>
      <c r="P44">
        <v>22379279.600793999</v>
      </c>
      <c r="Q44">
        <v>32246348.364666</v>
      </c>
      <c r="R44">
        <v>19666590.885738701</v>
      </c>
      <c r="S44">
        <v>-548317.91282137996</v>
      </c>
      <c r="T44">
        <v>-486146.43353813502</v>
      </c>
      <c r="W44">
        <v>13211206.459449099</v>
      </c>
      <c r="X44">
        <v>20983934.1027967</v>
      </c>
      <c r="Y44">
        <v>15872117.6345859</v>
      </c>
      <c r="Z44">
        <v>-377709.73061902198</v>
      </c>
      <c r="AA44">
        <v>-262692.12109757902</v>
      </c>
    </row>
    <row r="45" spans="2:27" x14ac:dyDescent="0.25">
      <c r="B45">
        <v>9646344.6825956199</v>
      </c>
      <c r="C45">
        <v>17333980.337367099</v>
      </c>
      <c r="D45">
        <v>-6068561.2634776002</v>
      </c>
      <c r="E45">
        <v>306686.14413138002</v>
      </c>
      <c r="F45">
        <v>-71907.061858233996</v>
      </c>
      <c r="I45">
        <v>4328695.9932485204</v>
      </c>
      <c r="J45">
        <v>9381794.8204035498</v>
      </c>
      <c r="K45">
        <v>-3517295.8051924501</v>
      </c>
      <c r="L45">
        <v>121447.605577845</v>
      </c>
      <c r="M45">
        <v>-41658.1289403599</v>
      </c>
      <c r="P45">
        <v>20102520.040645301</v>
      </c>
      <c r="Q45">
        <v>31083080.309943799</v>
      </c>
      <c r="R45">
        <v>-9853470.2483814508</v>
      </c>
      <c r="S45">
        <v>540172.007318891</v>
      </c>
      <c r="T45">
        <v>-95343.305566099007</v>
      </c>
      <c r="W45">
        <v>11509909.1508036</v>
      </c>
      <c r="X45">
        <v>20233010.2404669</v>
      </c>
      <c r="Y45">
        <v>-7755308.3197732298</v>
      </c>
      <c r="Z45">
        <v>379641.960455628</v>
      </c>
      <c r="AA45">
        <v>-77770.534443065393</v>
      </c>
    </row>
    <row r="46" spans="2:27" x14ac:dyDescent="0.25">
      <c r="B46">
        <v>181961201.78836599</v>
      </c>
      <c r="C46">
        <v>94255546.273151696</v>
      </c>
      <c r="D46">
        <v>-4833294.5370095102</v>
      </c>
      <c r="E46">
        <v>212317.960012461</v>
      </c>
      <c r="F46">
        <v>11118.649515601501</v>
      </c>
      <c r="I46">
        <v>95997953.833605006</v>
      </c>
      <c r="J46">
        <v>41434987.743648499</v>
      </c>
      <c r="K46">
        <v>-2853578.3168149898</v>
      </c>
      <c r="L46">
        <v>72650.440892399201</v>
      </c>
      <c r="M46">
        <v>6204.7901326334704</v>
      </c>
      <c r="P46">
        <v>331556672.73463601</v>
      </c>
      <c r="Q46">
        <v>199846295.961775</v>
      </c>
      <c r="R46">
        <v>-7834213.6475897999</v>
      </c>
      <c r="S46">
        <v>371492.09002472699</v>
      </c>
      <c r="T46">
        <v>28770.236402987699</v>
      </c>
      <c r="W46">
        <v>227284549.21664</v>
      </c>
      <c r="X46">
        <v>117463168.817755</v>
      </c>
      <c r="Y46">
        <v>-6225454.9280680399</v>
      </c>
      <c r="Z46">
        <v>263830.05969195801</v>
      </c>
      <c r="AA46">
        <v>15368.7694571338</v>
      </c>
    </row>
    <row r="47" spans="2:27" x14ac:dyDescent="0.25">
      <c r="B47">
        <v>322796826.102355</v>
      </c>
      <c r="C47">
        <v>155659644.45107999</v>
      </c>
      <c r="D47">
        <v>-2054635.2551619001</v>
      </c>
      <c r="E47">
        <v>-8486.1428861672193</v>
      </c>
      <c r="F47">
        <v>26543.908506612399</v>
      </c>
      <c r="I47">
        <v>171277880.93283701</v>
      </c>
      <c r="J47">
        <v>66667987.244434103</v>
      </c>
      <c r="K47">
        <v>-1309745.98244025</v>
      </c>
      <c r="L47">
        <v>-43935.587180792798</v>
      </c>
      <c r="M47">
        <v>18892.379650167401</v>
      </c>
      <c r="P47">
        <v>586527948.02881002</v>
      </c>
      <c r="Q47">
        <v>336031901.06967801</v>
      </c>
      <c r="R47">
        <v>-3321823.6298046899</v>
      </c>
      <c r="S47">
        <v>-1908.17716859395</v>
      </c>
      <c r="T47">
        <v>82225.1223937709</v>
      </c>
      <c r="W47">
        <v>403815714.68768799</v>
      </c>
      <c r="X47">
        <v>195099664.51604199</v>
      </c>
      <c r="Y47">
        <v>-2688558.4329164</v>
      </c>
      <c r="Z47">
        <v>-5782.9202187603196</v>
      </c>
      <c r="AA47">
        <v>48012.697366273002</v>
      </c>
    </row>
    <row r="48" spans="2:27" x14ac:dyDescent="0.25">
      <c r="B48">
        <v>416618342.801952</v>
      </c>
      <c r="C48">
        <v>194503907.87340999</v>
      </c>
      <c r="D48">
        <v>164364.05422231299</v>
      </c>
      <c r="E48">
        <v>-109427.56512157401</v>
      </c>
      <c r="F48">
        <v>206287.06316392499</v>
      </c>
      <c r="I48">
        <v>221680604.14241099</v>
      </c>
      <c r="J48">
        <v>82081261.039738894</v>
      </c>
      <c r="K48">
        <v>-11952.5536547462</v>
      </c>
      <c r="L48">
        <v>-90316.417694639604</v>
      </c>
      <c r="M48">
        <v>126590.606754747</v>
      </c>
      <c r="P48">
        <v>756448728.45684004</v>
      </c>
      <c r="Q48">
        <v>423997777.570113</v>
      </c>
      <c r="R48">
        <v>300362.57737067202</v>
      </c>
      <c r="S48">
        <v>-170757.081905586</v>
      </c>
      <c r="T48">
        <v>414980.54486369801</v>
      </c>
      <c r="W48">
        <v>521058177.35039401</v>
      </c>
      <c r="X48">
        <v>244002967.25210699</v>
      </c>
      <c r="Y48">
        <v>195045.300459366</v>
      </c>
      <c r="Z48">
        <v>-135570.99374349299</v>
      </c>
      <c r="AA48">
        <v>266590.15289936698</v>
      </c>
    </row>
    <row r="49" spans="2:32" x14ac:dyDescent="0.25">
      <c r="B49">
        <v>466087712.855708</v>
      </c>
      <c r="C49">
        <v>213620119.042146</v>
      </c>
      <c r="D49">
        <v>764554.13495446497</v>
      </c>
      <c r="E49">
        <v>-105318.30586859801</v>
      </c>
      <c r="F49">
        <v>347421.33719878801</v>
      </c>
      <c r="I49">
        <v>248275342.31799799</v>
      </c>
      <c r="J49">
        <v>89250904.292896301</v>
      </c>
      <c r="K49">
        <v>389949.86130925099</v>
      </c>
      <c r="L49">
        <v>-73966.134844925706</v>
      </c>
      <c r="M49">
        <v>207869.01916504899</v>
      </c>
      <c r="P49">
        <v>846098291.91429496</v>
      </c>
      <c r="Q49">
        <v>468549530.32602698</v>
      </c>
      <c r="R49">
        <v>1271175.6677469001</v>
      </c>
      <c r="S49">
        <v>-172682.61193244599</v>
      </c>
      <c r="T49">
        <v>646628.47363334196</v>
      </c>
      <c r="W49">
        <v>582458908.206985</v>
      </c>
      <c r="X49">
        <v>267840159.861395</v>
      </c>
      <c r="Y49">
        <v>987146.88482864201</v>
      </c>
      <c r="Z49">
        <v>-130615.83009382201</v>
      </c>
      <c r="AA49">
        <v>436107.63549133198</v>
      </c>
    </row>
    <row r="50" spans="2:32" x14ac:dyDescent="0.25">
      <c r="B50">
        <v>481200868.964297</v>
      </c>
      <c r="C50">
        <v>219157124.85012299</v>
      </c>
      <c r="D50" s="1">
        <v>5.44310751138255E-7</v>
      </c>
      <c r="E50" s="1">
        <v>2.2828317014500499E-7</v>
      </c>
      <c r="F50">
        <v>342655.40836636099</v>
      </c>
      <c r="I50">
        <v>256401325.86593199</v>
      </c>
      <c r="J50">
        <v>91228363.675924405</v>
      </c>
      <c r="K50" s="1">
        <v>4.1336897993460298E-7</v>
      </c>
      <c r="L50" s="1">
        <v>-4.8415950004709895E-7</v>
      </c>
      <c r="M50">
        <v>206580.32374659501</v>
      </c>
      <c r="P50">
        <v>873480326.34750295</v>
      </c>
      <c r="Q50">
        <v>481746153.48787397</v>
      </c>
      <c r="R50" s="1">
        <v>-5.6000499171204897E-7</v>
      </c>
      <c r="S50" s="1">
        <v>1.92869993043132E-6</v>
      </c>
      <c r="T50">
        <v>641263.03786179598</v>
      </c>
      <c r="W50">
        <v>601069693.88796198</v>
      </c>
      <c r="X50">
        <v>274666661.64066797</v>
      </c>
      <c r="Y50" s="1">
        <v>-6.0300226323306603E-7</v>
      </c>
      <c r="Z50" s="1">
        <v>-4.9696973292157096E-7</v>
      </c>
      <c r="AA50">
        <v>433525.00129975402</v>
      </c>
      <c r="AF50">
        <v>0</v>
      </c>
    </row>
    <row r="51" spans="2:32" x14ac:dyDescent="0.25">
      <c r="B51">
        <v>466087712.85571301</v>
      </c>
      <c r="C51">
        <v>213620119.042151</v>
      </c>
      <c r="D51">
        <v>-764554.13495494903</v>
      </c>
      <c r="E51">
        <v>105318.30586896501</v>
      </c>
      <c r="F51">
        <v>347421.33719778701</v>
      </c>
      <c r="I51">
        <v>248275342.317972</v>
      </c>
      <c r="J51">
        <v>89250904.292879403</v>
      </c>
      <c r="K51">
        <v>-389949.86130941601</v>
      </c>
      <c r="L51">
        <v>73966.134844350803</v>
      </c>
      <c r="M51">
        <v>207869.01916501499</v>
      </c>
      <c r="P51">
        <v>846098291.91433001</v>
      </c>
      <c r="Q51">
        <v>468549530.326051</v>
      </c>
      <c r="R51">
        <v>-1271175.6677514601</v>
      </c>
      <c r="S51">
        <v>172682.611932264</v>
      </c>
      <c r="T51">
        <v>646628.47363337898</v>
      </c>
      <c r="W51">
        <v>582458908.20693302</v>
      </c>
      <c r="X51">
        <v>267840159.86136499</v>
      </c>
      <c r="Y51">
        <v>-987146.884827859</v>
      </c>
      <c r="Z51">
        <v>130615.830094587</v>
      </c>
      <c r="AA51">
        <v>436107.63549358398</v>
      </c>
      <c r="AF51">
        <f>0.1+AF50</f>
        <v>0.1</v>
      </c>
    </row>
    <row r="52" spans="2:32" x14ac:dyDescent="0.25">
      <c r="B52">
        <v>416618342.80191201</v>
      </c>
      <c r="C52">
        <v>194503907.87338799</v>
      </c>
      <c r="D52">
        <v>-164364.054225103</v>
      </c>
      <c r="E52">
        <v>109427.565120983</v>
      </c>
      <c r="F52">
        <v>206287.06316452599</v>
      </c>
      <c r="I52">
        <v>221680604.14239299</v>
      </c>
      <c r="J52">
        <v>82081261.039729103</v>
      </c>
      <c r="K52">
        <v>11952.5536549274</v>
      </c>
      <c r="L52">
        <v>90316.4176951056</v>
      </c>
      <c r="M52">
        <v>126590.606753453</v>
      </c>
      <c r="P52">
        <v>756448728.45695698</v>
      </c>
      <c r="Q52">
        <v>423997777.57020003</v>
      </c>
      <c r="R52">
        <v>-300362.57736895402</v>
      </c>
      <c r="S52">
        <v>170757.08190461199</v>
      </c>
      <c r="T52">
        <v>414980.54486336297</v>
      </c>
      <c r="W52">
        <v>521058177.35032898</v>
      </c>
      <c r="X52">
        <v>244002967.25206599</v>
      </c>
      <c r="Y52">
        <v>-195045.30045835799</v>
      </c>
      <c r="Z52">
        <v>135570.993743442</v>
      </c>
      <c r="AA52">
        <v>266590.15290283301</v>
      </c>
      <c r="AF52">
        <f t="shared" ref="AF52:AF58" si="0">0.1+AF51</f>
        <v>0.2</v>
      </c>
    </row>
    <row r="53" spans="2:32" x14ac:dyDescent="0.25">
      <c r="B53">
        <v>322796826.10232401</v>
      </c>
      <c r="C53">
        <v>155659644.45106199</v>
      </c>
      <c r="D53">
        <v>2054635.2551609799</v>
      </c>
      <c r="E53">
        <v>8486.1428873994901</v>
      </c>
      <c r="F53">
        <v>26543.9085071628</v>
      </c>
      <c r="I53">
        <v>171277880.93285301</v>
      </c>
      <c r="J53">
        <v>66667987.244443901</v>
      </c>
      <c r="K53">
        <v>1309745.98244081</v>
      </c>
      <c r="L53">
        <v>43935.587180989103</v>
      </c>
      <c r="M53">
        <v>18892.3796493769</v>
      </c>
      <c r="P53">
        <v>586527948.02886605</v>
      </c>
      <c r="Q53">
        <v>336031901.069709</v>
      </c>
      <c r="R53">
        <v>3321823.6298097898</v>
      </c>
      <c r="S53">
        <v>1908.17716875989</v>
      </c>
      <c r="T53">
        <v>82225.1223936795</v>
      </c>
      <c r="W53">
        <v>403815714.68762499</v>
      </c>
      <c r="X53">
        <v>195099664.516004</v>
      </c>
      <c r="Y53">
        <v>2688558.4329158901</v>
      </c>
      <c r="Z53">
        <v>5782.9202188848203</v>
      </c>
      <c r="AA53">
        <v>48012.697366662404</v>
      </c>
      <c r="AF53">
        <f t="shared" si="0"/>
        <v>0.30000000000000004</v>
      </c>
    </row>
    <row r="54" spans="2:32" x14ac:dyDescent="0.25">
      <c r="B54">
        <v>181961201.78835601</v>
      </c>
      <c r="C54">
        <v>94255546.273146093</v>
      </c>
      <c r="D54">
        <v>4833294.5370115899</v>
      </c>
      <c r="E54">
        <v>-212317.96001321901</v>
      </c>
      <c r="F54">
        <v>11118.6495159346</v>
      </c>
      <c r="I54">
        <v>95997953.8336211</v>
      </c>
      <c r="J54">
        <v>41434987.7436556</v>
      </c>
      <c r="K54">
        <v>2853578.3168145898</v>
      </c>
      <c r="L54">
        <v>-72650.440892826795</v>
      </c>
      <c r="M54">
        <v>6204.7901326437895</v>
      </c>
      <c r="P54">
        <v>331556672.734653</v>
      </c>
      <c r="Q54">
        <v>199846295.96178401</v>
      </c>
      <c r="R54">
        <v>7834213.6475889599</v>
      </c>
      <c r="S54">
        <v>-371492.09002554801</v>
      </c>
      <c r="T54">
        <v>28770.236402232698</v>
      </c>
      <c r="W54">
        <v>227284549.21662101</v>
      </c>
      <c r="X54">
        <v>117463168.817747</v>
      </c>
      <c r="Y54">
        <v>6225454.9280681703</v>
      </c>
      <c r="Z54">
        <v>-263830.05969207402</v>
      </c>
      <c r="AA54">
        <v>15368.769458184601</v>
      </c>
      <c r="AF54">
        <f t="shared" si="0"/>
        <v>0.4</v>
      </c>
    </row>
    <row r="55" spans="2:32" x14ac:dyDescent="0.25">
      <c r="B55">
        <v>9646344.6825956292</v>
      </c>
      <c r="C55">
        <v>17333980.337366901</v>
      </c>
      <c r="D55">
        <v>6068561.2634807397</v>
      </c>
      <c r="E55">
        <v>-306686.14412989299</v>
      </c>
      <c r="F55">
        <v>-71907.061857246706</v>
      </c>
      <c r="I55">
        <v>4328695.9932482801</v>
      </c>
      <c r="J55">
        <v>9381794.8204026408</v>
      </c>
      <c r="K55">
        <v>3517295.8051917301</v>
      </c>
      <c r="L55">
        <v>-121447.60557715299</v>
      </c>
      <c r="M55">
        <v>-41658.128939962196</v>
      </c>
      <c r="P55">
        <v>20102520.040642299</v>
      </c>
      <c r="Q55">
        <v>31083080.309940498</v>
      </c>
      <c r="R55">
        <v>9853470.2483798303</v>
      </c>
      <c r="S55">
        <v>-540172.00731625198</v>
      </c>
      <c r="T55">
        <v>-95343.305565068906</v>
      </c>
      <c r="W55">
        <v>11509909.150801601</v>
      </c>
      <c r="X55">
        <v>20233010.240465101</v>
      </c>
      <c r="Y55">
        <v>7755308.3197749704</v>
      </c>
      <c r="Z55">
        <v>-379641.96045419603</v>
      </c>
      <c r="AA55">
        <v>-77770.534446025995</v>
      </c>
      <c r="AF55">
        <f t="shared" si="0"/>
        <v>0.5</v>
      </c>
    </row>
    <row r="56" spans="2:32" s="2" customFormat="1" x14ac:dyDescent="0.25">
      <c r="B56" s="2">
        <v>9447523.7918681707</v>
      </c>
      <c r="C56" s="2">
        <v>17213800.158808298</v>
      </c>
      <c r="D56" s="18">
        <v>1.18119351100177E-6</v>
      </c>
      <c r="E56" s="2">
        <v>322226.99405812199</v>
      </c>
      <c r="F56" s="18">
        <v>8.1284815678373E-7</v>
      </c>
      <c r="I56" s="2">
        <v>4232634.5960346898</v>
      </c>
      <c r="J56" s="2">
        <v>9330972.3774244003</v>
      </c>
      <c r="K56" s="18">
        <v>-2.9079819796606898E-7</v>
      </c>
      <c r="L56" s="2">
        <v>131719.433736643</v>
      </c>
      <c r="M56" s="18">
        <v>-3.7151039578020599E-7</v>
      </c>
      <c r="P56" s="2">
        <v>19710679.0132563</v>
      </c>
      <c r="Q56" s="2">
        <v>30819388.459616501</v>
      </c>
      <c r="R56" s="18">
        <v>8.5134524852037398E-7</v>
      </c>
      <c r="S56" s="2">
        <v>565537.66794132895</v>
      </c>
      <c r="T56" s="18">
        <v>8.7228545453399399E-7</v>
      </c>
      <c r="W56" s="2">
        <v>11244544.633636</v>
      </c>
      <c r="X56" s="2">
        <v>20069039.555550002</v>
      </c>
      <c r="Y56" s="18">
        <v>1.3999815564602601E-6</v>
      </c>
      <c r="Z56" s="2">
        <v>397975.87309450097</v>
      </c>
      <c r="AA56" s="18">
        <v>3.3184187486767801E-7</v>
      </c>
      <c r="AF56">
        <f t="shared" si="0"/>
        <v>0.6</v>
      </c>
    </row>
    <row r="57" spans="2:32" s="2" customFormat="1" x14ac:dyDescent="0.25">
      <c r="B57" s="2">
        <v>178346597.78758401</v>
      </c>
      <c r="C57" s="2">
        <v>92745394.486248106</v>
      </c>
      <c r="D57" s="18">
        <v>1.83859810931608E-6</v>
      </c>
      <c r="E57" s="2">
        <v>216229.79165177399</v>
      </c>
      <c r="F57" s="18">
        <v>4.2630199459381402E-7</v>
      </c>
      <c r="I57" s="2">
        <v>94192111.439153194</v>
      </c>
      <c r="J57" s="2">
        <v>40857400.656370804</v>
      </c>
      <c r="K57" s="18">
        <v>-1.63738150149584E-7</v>
      </c>
      <c r="L57" s="2">
        <v>75323.263282125103</v>
      </c>
      <c r="M57" s="18">
        <v>2.7338865038473201E-7</v>
      </c>
      <c r="P57" s="2">
        <v>325369701.446289</v>
      </c>
      <c r="Q57" s="2">
        <v>196663970.84891099</v>
      </c>
      <c r="R57" s="18">
        <v>-6.5885251387953801E-7</v>
      </c>
      <c r="S57" s="2">
        <v>383436.90495393198</v>
      </c>
      <c r="T57" s="18">
        <v>3.96081304643303E-7</v>
      </c>
      <c r="W57" s="2">
        <v>222551320.79579201</v>
      </c>
      <c r="X57" s="2">
        <v>115519469.663736</v>
      </c>
      <c r="Y57" s="18">
        <v>1.1669835657812699E-6</v>
      </c>
      <c r="Z57" s="2">
        <v>269566.465281757</v>
      </c>
      <c r="AA57" s="18">
        <v>-1.1993543012067701E-6</v>
      </c>
      <c r="AF57">
        <f t="shared" si="0"/>
        <v>0.7</v>
      </c>
    </row>
    <row r="58" spans="2:32" s="2" customFormat="1" x14ac:dyDescent="0.25">
      <c r="B58" s="2">
        <v>320828739.458152</v>
      </c>
      <c r="C58" s="2">
        <v>154983837.515816</v>
      </c>
      <c r="D58" s="18">
        <v>1.2380330645100899E-6</v>
      </c>
      <c r="E58" s="2">
        <v>19012.994842132</v>
      </c>
      <c r="F58" s="18">
        <v>-7.7214644988998802E-7</v>
      </c>
      <c r="I58" s="2">
        <v>170480405.81624699</v>
      </c>
      <c r="J58" s="2">
        <v>66520979.568184704</v>
      </c>
      <c r="K58" s="18">
        <v>1.49955371853139E-6</v>
      </c>
      <c r="L58" s="2">
        <v>-27863.878710384801</v>
      </c>
      <c r="M58" s="18">
        <v>3.1620584195479798E-7</v>
      </c>
      <c r="P58" s="2">
        <v>583680502.33751404</v>
      </c>
      <c r="Q58" s="2">
        <v>334804729.702793</v>
      </c>
      <c r="R58" s="18">
        <v>-1.13846544991247E-6</v>
      </c>
      <c r="S58" s="2">
        <v>52044.5861982387</v>
      </c>
      <c r="T58" s="18">
        <v>1.15750299300998E-6</v>
      </c>
      <c r="W58" s="2">
        <v>401050082.07518101</v>
      </c>
      <c r="X58" s="2">
        <v>194225651.494818</v>
      </c>
      <c r="Y58" s="18">
        <v>2.2489903130917801E-6</v>
      </c>
      <c r="Z58" s="2">
        <v>27394.837518393899</v>
      </c>
      <c r="AA58" s="18">
        <v>-1.12486304715276E-7</v>
      </c>
      <c r="AF58">
        <f t="shared" si="0"/>
        <v>0.79999999999999993</v>
      </c>
    </row>
    <row r="59" spans="2:32" s="2" customFormat="1" x14ac:dyDescent="0.25">
      <c r="B59" s="2">
        <v>420453603.12155902</v>
      </c>
      <c r="C59" s="2">
        <v>196526702.47264901</v>
      </c>
      <c r="D59" s="18">
        <v>-4.9591108108870696E-7</v>
      </c>
      <c r="E59" s="2">
        <v>-88646.865126656907</v>
      </c>
      <c r="F59" s="18">
        <v>-2.4602559278719102E-6</v>
      </c>
      <c r="I59" s="2">
        <v>224191913.645165</v>
      </c>
      <c r="J59" s="2">
        <v>83179785.971278995</v>
      </c>
      <c r="K59" s="18">
        <v>5.2973518904764205E-7</v>
      </c>
      <c r="L59" s="2">
        <v>-78568.936963443295</v>
      </c>
      <c r="M59" s="18">
        <v>3.0860974220559001E-7</v>
      </c>
      <c r="P59" s="2">
        <v>764417290.51888299</v>
      </c>
      <c r="Q59" s="2">
        <v>428793893.55202198</v>
      </c>
      <c r="R59" s="18">
        <v>4.9571099225431702E-7</v>
      </c>
      <c r="S59" s="2">
        <v>-135380.03575967299</v>
      </c>
      <c r="T59" s="18">
        <v>1.5190162230283001E-6</v>
      </c>
      <c r="W59" s="2">
        <v>525764971.986808</v>
      </c>
      <c r="X59" s="2">
        <v>246660567.43430999</v>
      </c>
      <c r="Y59" s="18">
        <v>4.9902155296876995E-7</v>
      </c>
      <c r="Z59" s="2">
        <v>-108968.283304581</v>
      </c>
      <c r="AA59" s="18">
        <v>1.05365324998274E-6</v>
      </c>
      <c r="AF59">
        <f>0.1+AF58</f>
        <v>0.89999999999999991</v>
      </c>
    </row>
    <row r="60" spans="2:32" s="2" customFormat="1" x14ac:dyDescent="0.25">
      <c r="B60" s="2">
        <v>475840014.32080299</v>
      </c>
      <c r="C60" s="2">
        <v>218336312.93283701</v>
      </c>
      <c r="D60" s="18">
        <v>-1.9802428141702001E-7</v>
      </c>
      <c r="E60" s="2">
        <v>-100442.932939622</v>
      </c>
      <c r="F60" s="18">
        <v>-3.0951468943385401E-8</v>
      </c>
      <c r="I60" s="2">
        <v>254150776.52025601</v>
      </c>
      <c r="J60" s="2">
        <v>91564233.865863398</v>
      </c>
      <c r="K60" s="18">
        <v>-3.3590004022698902E-7</v>
      </c>
      <c r="L60" s="2">
        <v>-71469.492252588403</v>
      </c>
      <c r="M60" s="18">
        <v>3.7837315858268999E-7</v>
      </c>
      <c r="P60" s="2">
        <v>865060972.06338894</v>
      </c>
      <c r="Q60" s="2">
        <v>479393650.26789099</v>
      </c>
      <c r="R60" s="18">
        <v>3.8455327739939102E-6</v>
      </c>
      <c r="S60" s="2">
        <v>-161150.77303734</v>
      </c>
      <c r="T60" s="18">
        <v>2.0929701349814401E-6</v>
      </c>
      <c r="W60" s="2">
        <v>594810708.12513006</v>
      </c>
      <c r="X60" s="2">
        <v>274017912.82761401</v>
      </c>
      <c r="Y60" s="18">
        <v>1.38220639200881E-6</v>
      </c>
      <c r="Z60" s="2">
        <v>-123378.486205601</v>
      </c>
      <c r="AA60" s="18">
        <v>-2.26232259592507E-8</v>
      </c>
      <c r="AF60">
        <f>0.1+AF59</f>
        <v>0.99999999999999989</v>
      </c>
    </row>
    <row r="61" spans="2:32" s="2" customFormat="1" x14ac:dyDescent="0.25">
      <c r="B61" s="2">
        <v>493283477.231556</v>
      </c>
      <c r="C61" s="2">
        <v>224921598.64715499</v>
      </c>
      <c r="D61" s="18">
        <v>6.8230610850150697E-7</v>
      </c>
      <c r="E61" s="18">
        <v>-3.8915459299460101E-7</v>
      </c>
      <c r="F61" s="18">
        <v>-4.2713236325653302E-7</v>
      </c>
      <c r="I61" s="2">
        <v>263601427.05476299</v>
      </c>
      <c r="J61" s="2">
        <v>94009701.927925199</v>
      </c>
      <c r="K61" s="18">
        <v>-9.1471019914024499E-7</v>
      </c>
      <c r="L61" s="18">
        <v>-8.4388557297643295E-7</v>
      </c>
      <c r="M61" s="18">
        <v>7.0171518018469204E-7</v>
      </c>
      <c r="P61" s="2">
        <v>896697493.26405597</v>
      </c>
      <c r="Q61" s="2">
        <v>494914307.11577398</v>
      </c>
      <c r="R61" s="18">
        <v>3.0207179406716001E-6</v>
      </c>
      <c r="S61" s="18">
        <v>-3.9206497604027397E-8</v>
      </c>
      <c r="T61" s="18">
        <v>-8.0951485870173201E-7</v>
      </c>
      <c r="W61" s="2">
        <v>616452713.75374305</v>
      </c>
      <c r="X61" s="2">
        <v>282221339.81277001</v>
      </c>
      <c r="Y61" s="18">
        <v>1.6767771739978301E-6</v>
      </c>
      <c r="Z61" s="18">
        <v>3.7923382478766101E-7</v>
      </c>
      <c r="AA61" s="18">
        <v>-3.7188101487117798E-7</v>
      </c>
    </row>
    <row r="62" spans="2:32" s="2" customFormat="1" x14ac:dyDescent="0.25">
      <c r="B62" s="2">
        <v>475840014.32080102</v>
      </c>
      <c r="C62" s="2">
        <v>218336312.93283701</v>
      </c>
      <c r="D62" s="18">
        <v>-9.7726024250732692E-7</v>
      </c>
      <c r="E62" s="2">
        <v>100442.93293955299</v>
      </c>
      <c r="F62" s="18">
        <v>-3.1450326787307898E-8</v>
      </c>
      <c r="I62" s="2">
        <v>254150776.52024999</v>
      </c>
      <c r="J62" s="2">
        <v>91564233.8658562</v>
      </c>
      <c r="K62" s="18">
        <v>-9.7365227702539393E-7</v>
      </c>
      <c r="L62" s="2">
        <v>71469.492253125107</v>
      </c>
      <c r="M62" s="18">
        <v>7.7668482845183504E-7</v>
      </c>
      <c r="P62" s="2">
        <v>865060972.06348801</v>
      </c>
      <c r="Q62" s="2">
        <v>479393650.26795501</v>
      </c>
      <c r="R62" s="18">
        <v>-3.4666791179915899E-6</v>
      </c>
      <c r="S62" s="2">
        <v>161150.77303680501</v>
      </c>
      <c r="T62" s="18">
        <v>-6.9668749347329097E-7</v>
      </c>
      <c r="W62" s="2">
        <v>594810708.12519097</v>
      </c>
      <c r="X62" s="2">
        <v>274017912.82764602</v>
      </c>
      <c r="Y62" s="18">
        <v>3.5920675145462198E-7</v>
      </c>
      <c r="Z62" s="2">
        <v>123378.486205537</v>
      </c>
      <c r="AA62" s="18">
        <v>-5.7342549553140998E-7</v>
      </c>
    </row>
    <row r="63" spans="2:32" s="2" customFormat="1" x14ac:dyDescent="0.25">
      <c r="B63" s="2">
        <v>420453603.12158602</v>
      </c>
      <c r="C63" s="2">
        <v>196526702.472664</v>
      </c>
      <c r="D63" s="18">
        <v>-1.08647873275913E-6</v>
      </c>
      <c r="E63" s="2">
        <v>88646.865126955905</v>
      </c>
      <c r="F63" s="18">
        <v>-1.70125713339075E-6</v>
      </c>
      <c r="I63" s="2">
        <v>224191913.645138</v>
      </c>
      <c r="J63" s="2">
        <v>83179785.971267402</v>
      </c>
      <c r="K63" s="18">
        <v>9.50842149904929E-7</v>
      </c>
      <c r="L63" s="2">
        <v>78568.936964043402</v>
      </c>
      <c r="M63" s="18">
        <v>9.3496055342256996E-8</v>
      </c>
      <c r="P63" s="2">
        <v>764417290.51898098</v>
      </c>
      <c r="Q63" s="2">
        <v>428793893.552095</v>
      </c>
      <c r="R63" s="18">
        <v>-1.83723750524223E-6</v>
      </c>
      <c r="S63" s="2">
        <v>135380.035757359</v>
      </c>
      <c r="T63" s="18">
        <v>5.8866862673312404E-7</v>
      </c>
      <c r="W63" s="2">
        <v>525764971.98680699</v>
      </c>
      <c r="X63" s="2">
        <v>246660567.43430099</v>
      </c>
      <c r="Y63" s="18">
        <v>-3.0404407880268999E-6</v>
      </c>
      <c r="Z63" s="2">
        <v>108968.283305459</v>
      </c>
      <c r="AA63" s="18">
        <v>-1.0109506547451E-6</v>
      </c>
    </row>
    <row r="64" spans="2:32" s="2" customFormat="1" x14ac:dyDescent="0.25">
      <c r="B64" s="2">
        <v>320828739.45817798</v>
      </c>
      <c r="C64" s="2">
        <v>154983837.51583099</v>
      </c>
      <c r="D64" s="18">
        <v>-4.2387364374007998E-7</v>
      </c>
      <c r="E64" s="2">
        <v>-19012.9948414604</v>
      </c>
      <c r="F64" s="18">
        <v>-1.3140233932063E-6</v>
      </c>
      <c r="I64" s="2">
        <v>170480405.81623</v>
      </c>
      <c r="J64" s="2">
        <v>66520979.568179198</v>
      </c>
      <c r="K64" s="18">
        <v>8.6049294623080599E-7</v>
      </c>
      <c r="L64" s="2">
        <v>27863.878710283301</v>
      </c>
      <c r="M64" s="18">
        <v>-4.7533831093460302E-8</v>
      </c>
      <c r="P64" s="2">
        <v>583680502.33754396</v>
      </c>
      <c r="Q64" s="2">
        <v>334804729.702806</v>
      </c>
      <c r="R64" s="18">
        <v>-1.1441716196714001E-6</v>
      </c>
      <c r="S64" s="2">
        <v>-52044.586198594799</v>
      </c>
      <c r="T64" s="18">
        <v>1.3866520021110801E-6</v>
      </c>
      <c r="W64" s="2">
        <v>401050082.07518399</v>
      </c>
      <c r="X64" s="2">
        <v>194225651.49481499</v>
      </c>
      <c r="Y64" s="18">
        <v>-2.5257359084207598E-6</v>
      </c>
      <c r="Z64" s="2">
        <v>-27394.837518358399</v>
      </c>
      <c r="AA64" s="18">
        <v>-4.5997148845344798E-7</v>
      </c>
    </row>
    <row r="65" spans="2:27" s="2" customFormat="1" x14ac:dyDescent="0.25">
      <c r="B65" s="2">
        <v>178346597.78761601</v>
      </c>
      <c r="C65" s="2">
        <v>92745394.486268297</v>
      </c>
      <c r="D65" s="18">
        <v>-7.4915442382916798E-7</v>
      </c>
      <c r="E65" s="2">
        <v>-216229.791652557</v>
      </c>
      <c r="F65" s="18">
        <v>-4.84877091366798E-7</v>
      </c>
      <c r="I65" s="2">
        <v>94192111.439141795</v>
      </c>
      <c r="J65" s="2">
        <v>40857400.656364501</v>
      </c>
      <c r="K65" s="18">
        <v>-8.0766767496243098E-7</v>
      </c>
      <c r="L65" s="2">
        <v>-75323.263282517393</v>
      </c>
      <c r="M65" s="18">
        <v>-7.0930036599747805E-7</v>
      </c>
      <c r="P65" s="2">
        <v>325369701.44629002</v>
      </c>
      <c r="Q65" s="2">
        <v>196663970.84890899</v>
      </c>
      <c r="R65" s="18">
        <v>-5.3384428611025204E-7</v>
      </c>
      <c r="S65" s="2">
        <v>-383436.90495460702</v>
      </c>
      <c r="T65" s="18">
        <v>-6.8542431108653598E-7</v>
      </c>
      <c r="W65" s="2">
        <v>222551320.795793</v>
      </c>
      <c r="X65" s="2">
        <v>115519469.663737</v>
      </c>
      <c r="Y65" s="18">
        <v>9.5387804321944697E-9</v>
      </c>
      <c r="Z65" s="2">
        <v>-269566.46528205299</v>
      </c>
      <c r="AA65" s="18">
        <v>6.2755862018093499E-7</v>
      </c>
    </row>
    <row r="66" spans="2:27" s="2" customFormat="1" x14ac:dyDescent="0.25">
      <c r="B66" s="2">
        <v>9447523.7918683495</v>
      </c>
      <c r="C66" s="2">
        <v>17213800.158808101</v>
      </c>
      <c r="D66" s="18">
        <v>-8.8404340203851504E-7</v>
      </c>
      <c r="E66" s="2">
        <v>-322226.99405713001</v>
      </c>
      <c r="F66" s="18">
        <v>3.4323747968301198E-6</v>
      </c>
      <c r="I66" s="2">
        <v>4232634.5960346898</v>
      </c>
      <c r="J66" s="2">
        <v>9330972.3774248697</v>
      </c>
      <c r="K66" s="18">
        <v>-2.5742338038980999E-6</v>
      </c>
      <c r="L66" s="2">
        <v>-131719.433735592</v>
      </c>
      <c r="M66" s="18">
        <v>1.2443997547961799E-6</v>
      </c>
      <c r="P66" s="2">
        <v>19710679.013255201</v>
      </c>
      <c r="Q66" s="2">
        <v>30819388.459615901</v>
      </c>
      <c r="R66" s="18">
        <v>-1.1410447768867001E-6</v>
      </c>
      <c r="S66" s="2">
        <v>-565537.66793864698</v>
      </c>
      <c r="T66" s="18">
        <v>-2.9912916943430901E-7</v>
      </c>
      <c r="W66" s="2">
        <v>11244544.6336357</v>
      </c>
      <c r="X66" s="2">
        <v>20069039.5555485</v>
      </c>
      <c r="Y66" s="18">
        <v>-1.2379023246467101E-6</v>
      </c>
      <c r="Z66" s="2">
        <v>-397975.87309256103</v>
      </c>
      <c r="AA66" s="18">
        <v>9.6589792519807794E-7</v>
      </c>
    </row>
    <row r="67" spans="2:27" x14ac:dyDescent="0.25">
      <c r="B67">
        <v>9646344.6825950295</v>
      </c>
      <c r="C67">
        <v>17333980.337366201</v>
      </c>
      <c r="D67">
        <v>6068561.2634793604</v>
      </c>
      <c r="E67">
        <v>306686.14413131098</v>
      </c>
      <c r="F67">
        <v>71907.061854562606</v>
      </c>
      <c r="I67">
        <v>4328695.9932485502</v>
      </c>
      <c r="J67">
        <v>9381794.8204033095</v>
      </c>
      <c r="K67">
        <v>3517295.8051937399</v>
      </c>
      <c r="L67">
        <v>121447.605577903</v>
      </c>
      <c r="M67">
        <v>41658.128940370902</v>
      </c>
      <c r="P67">
        <v>20102520.0406419</v>
      </c>
      <c r="Q67">
        <v>31083080.309940401</v>
      </c>
      <c r="R67">
        <v>9853470.2483808193</v>
      </c>
      <c r="S67">
        <v>540172.00731883501</v>
      </c>
      <c r="T67">
        <v>95343.305568197</v>
      </c>
      <c r="W67">
        <v>11509909.150802299</v>
      </c>
      <c r="X67">
        <v>20233010.240465801</v>
      </c>
      <c r="Y67">
        <v>7755308.3197755096</v>
      </c>
      <c r="Z67">
        <v>379641.96045615902</v>
      </c>
      <c r="AA67">
        <v>77770.534444492994</v>
      </c>
    </row>
    <row r="68" spans="2:27" x14ac:dyDescent="0.25">
      <c r="B68">
        <v>181961201.78834799</v>
      </c>
      <c r="C68">
        <v>94255546.273141205</v>
      </c>
      <c r="D68">
        <v>4833294.53700996</v>
      </c>
      <c r="E68">
        <v>212317.96001215899</v>
      </c>
      <c r="F68">
        <v>-11118.649515593899</v>
      </c>
      <c r="I68">
        <v>95997953.833626404</v>
      </c>
      <c r="J68">
        <v>41434987.743657999</v>
      </c>
      <c r="K68">
        <v>2853578.3168159099</v>
      </c>
      <c r="L68">
        <v>72650.440892606304</v>
      </c>
      <c r="M68">
        <v>-6204.7901329525303</v>
      </c>
      <c r="P68">
        <v>331556672.73469198</v>
      </c>
      <c r="Q68">
        <v>199846295.96181199</v>
      </c>
      <c r="R68">
        <v>7834213.6475889999</v>
      </c>
      <c r="S68">
        <v>371492.09002541099</v>
      </c>
      <c r="T68">
        <v>-28770.236404310301</v>
      </c>
      <c r="W68">
        <v>227284549.21665299</v>
      </c>
      <c r="X68">
        <v>117463168.817764</v>
      </c>
      <c r="Y68">
        <v>6225454.9280687701</v>
      </c>
      <c r="Z68">
        <v>263830.05969197798</v>
      </c>
      <c r="AA68">
        <v>-15368.7694574991</v>
      </c>
    </row>
    <row r="69" spans="2:27" x14ac:dyDescent="0.25">
      <c r="B69">
        <v>322796826.10228902</v>
      </c>
      <c r="C69">
        <v>155659644.45104</v>
      </c>
      <c r="D69">
        <v>2054635.2551611101</v>
      </c>
      <c r="E69">
        <v>-8486.1428867660907</v>
      </c>
      <c r="F69">
        <v>-26543.908504757201</v>
      </c>
      <c r="I69">
        <v>171277880.93285799</v>
      </c>
      <c r="J69">
        <v>66667987.244444899</v>
      </c>
      <c r="K69">
        <v>1309745.9824413799</v>
      </c>
      <c r="L69">
        <v>-43935.587181077703</v>
      </c>
      <c r="M69">
        <v>-18892.3796502111</v>
      </c>
      <c r="P69">
        <v>586527948.02892601</v>
      </c>
      <c r="Q69">
        <v>336031901.06975502</v>
      </c>
      <c r="R69">
        <v>3321823.6298071598</v>
      </c>
      <c r="S69">
        <v>-1908.17716743387</v>
      </c>
      <c r="T69">
        <v>-82225.122389472395</v>
      </c>
      <c r="W69">
        <v>403815714.68766397</v>
      </c>
      <c r="X69">
        <v>195099664.51603201</v>
      </c>
      <c r="Y69">
        <v>2688558.4329176601</v>
      </c>
      <c r="Z69">
        <v>-5782.9202188982799</v>
      </c>
      <c r="AA69">
        <v>-48012.697366576998</v>
      </c>
    </row>
    <row r="70" spans="2:27" x14ac:dyDescent="0.25">
      <c r="B70">
        <v>416618342.80190498</v>
      </c>
      <c r="C70">
        <v>194503907.873386</v>
      </c>
      <c r="D70">
        <v>-164364.054222076</v>
      </c>
      <c r="E70">
        <v>-109427.565120737</v>
      </c>
      <c r="F70">
        <v>-206287.06316057401</v>
      </c>
      <c r="I70">
        <v>221680604.14239401</v>
      </c>
      <c r="J70">
        <v>82081261.039729401</v>
      </c>
      <c r="K70">
        <v>11952.553655689</v>
      </c>
      <c r="L70">
        <v>-90316.417695155105</v>
      </c>
      <c r="M70">
        <v>-126590.606754629</v>
      </c>
      <c r="P70">
        <v>756448728.45699</v>
      </c>
      <c r="Q70">
        <v>423997777.57021201</v>
      </c>
      <c r="R70">
        <v>-300362.57736804697</v>
      </c>
      <c r="S70">
        <v>-170757.08190683799</v>
      </c>
      <c r="T70">
        <v>-414980.54486235802</v>
      </c>
      <c r="W70">
        <v>521058177.35032898</v>
      </c>
      <c r="X70">
        <v>244002967.25207001</v>
      </c>
      <c r="Y70">
        <v>-195045.30045780001</v>
      </c>
      <c r="Z70">
        <v>-135570.99374344401</v>
      </c>
      <c r="AA70">
        <v>-266590.15290017502</v>
      </c>
    </row>
    <row r="71" spans="2:27" x14ac:dyDescent="0.25">
      <c r="B71">
        <v>466087712.85567999</v>
      </c>
      <c r="C71">
        <v>213620119.04212999</v>
      </c>
      <c r="D71">
        <v>-764554.13495296496</v>
      </c>
      <c r="E71">
        <v>-105318.30586844101</v>
      </c>
      <c r="F71">
        <v>-347421.33719955501</v>
      </c>
      <c r="I71">
        <v>248275342.31799701</v>
      </c>
      <c r="J71">
        <v>89250904.292897299</v>
      </c>
      <c r="K71">
        <v>-389949.86130908201</v>
      </c>
      <c r="L71">
        <v>-73966.134844204993</v>
      </c>
      <c r="M71">
        <v>-207869.019166529</v>
      </c>
      <c r="P71">
        <v>846098291.91438699</v>
      </c>
      <c r="Q71">
        <v>468549530.32609099</v>
      </c>
      <c r="R71">
        <v>-1271175.6677455199</v>
      </c>
      <c r="S71">
        <v>-172682.611931433</v>
      </c>
      <c r="T71">
        <v>-646628.47363559098</v>
      </c>
      <c r="W71">
        <v>582458908.20692396</v>
      </c>
      <c r="X71">
        <v>267840159.861368</v>
      </c>
      <c r="Y71">
        <v>-987146.88482508797</v>
      </c>
      <c r="Z71">
        <v>-130615.830093499</v>
      </c>
      <c r="AA71">
        <v>-436107.63549205603</v>
      </c>
    </row>
    <row r="72" spans="2:27" x14ac:dyDescent="0.25">
      <c r="B72">
        <v>481200868.96427399</v>
      </c>
      <c r="C72">
        <v>219157124.85011101</v>
      </c>
      <c r="D72" s="1">
        <v>-2.3093525669537501E-7</v>
      </c>
      <c r="E72" s="1">
        <v>-2.8932845452800398E-7</v>
      </c>
      <c r="F72">
        <v>-342655.40836829902</v>
      </c>
      <c r="I72">
        <v>256401325.865926</v>
      </c>
      <c r="J72">
        <v>91228363.675921693</v>
      </c>
      <c r="K72" s="1">
        <v>-2.4824876163620502E-6</v>
      </c>
      <c r="L72" s="1">
        <v>-3.59341356670484E-7</v>
      </c>
      <c r="M72">
        <v>-206580.32374808</v>
      </c>
      <c r="P72">
        <v>873480326.34746301</v>
      </c>
      <c r="Q72">
        <v>481746153.48784399</v>
      </c>
      <c r="R72" s="1">
        <v>1.4441138773690901E-6</v>
      </c>
      <c r="S72" s="1">
        <v>3.4151162253692699E-7</v>
      </c>
      <c r="T72">
        <v>-641263.03786224499</v>
      </c>
      <c r="W72">
        <v>601069693.88788199</v>
      </c>
      <c r="X72">
        <v>274666661.64062297</v>
      </c>
      <c r="Y72" s="1">
        <v>2.23642200580798E-6</v>
      </c>
      <c r="Z72" s="1">
        <v>-5.4436532082036095E-7</v>
      </c>
      <c r="AA72">
        <v>-433525.00130006601</v>
      </c>
    </row>
    <row r="73" spans="2:27" x14ac:dyDescent="0.25">
      <c r="B73">
        <v>466087712.855681</v>
      </c>
      <c r="C73">
        <v>213620119.042133</v>
      </c>
      <c r="D73">
        <v>764554.13495294505</v>
      </c>
      <c r="E73">
        <v>105318.305869252</v>
      </c>
      <c r="F73">
        <v>-347421.337199006</v>
      </c>
      <c r="I73">
        <v>248275342.317976</v>
      </c>
      <c r="J73">
        <v>89250904.292884603</v>
      </c>
      <c r="K73">
        <v>389949.86130779202</v>
      </c>
      <c r="L73">
        <v>73966.134845048597</v>
      </c>
      <c r="M73">
        <v>-207869.01916592501</v>
      </c>
      <c r="P73">
        <v>846098291.91429198</v>
      </c>
      <c r="Q73">
        <v>468549530.32602698</v>
      </c>
      <c r="R73">
        <v>1271175.66774704</v>
      </c>
      <c r="S73">
        <v>172682.61193441399</v>
      </c>
      <c r="T73">
        <v>-646628.47363499505</v>
      </c>
      <c r="W73">
        <v>582458908.20684397</v>
      </c>
      <c r="X73">
        <v>267840159.86131799</v>
      </c>
      <c r="Y73">
        <v>987146.88482645794</v>
      </c>
      <c r="Z73">
        <v>130615.830093664</v>
      </c>
      <c r="AA73">
        <v>-436107.63549595902</v>
      </c>
    </row>
    <row r="74" spans="2:27" x14ac:dyDescent="0.25">
      <c r="B74">
        <v>416618342.80194598</v>
      </c>
      <c r="C74">
        <v>194503907.873411</v>
      </c>
      <c r="D74">
        <v>164364.054222715</v>
      </c>
      <c r="E74">
        <v>109427.56512107899</v>
      </c>
      <c r="F74">
        <v>-206287.06316123801</v>
      </c>
      <c r="I74">
        <v>221680604.142418</v>
      </c>
      <c r="J74">
        <v>82081261.039743006</v>
      </c>
      <c r="K74">
        <v>-11952.5536540208</v>
      </c>
      <c r="L74">
        <v>90316.417694495904</v>
      </c>
      <c r="M74">
        <v>-126590.606754561</v>
      </c>
      <c r="P74">
        <v>756448728.45689702</v>
      </c>
      <c r="Q74">
        <v>423997777.570162</v>
      </c>
      <c r="R74">
        <v>300362.57736649498</v>
      </c>
      <c r="S74">
        <v>170757.08190365499</v>
      </c>
      <c r="T74">
        <v>-414980.54486313899</v>
      </c>
      <c r="W74">
        <v>521058177.35026598</v>
      </c>
      <c r="X74">
        <v>244002967.25202799</v>
      </c>
      <c r="Y74">
        <v>195045.30045546201</v>
      </c>
      <c r="Z74">
        <v>135570.99374412501</v>
      </c>
      <c r="AA74">
        <v>-266590.15290134202</v>
      </c>
    </row>
    <row r="75" spans="2:27" x14ac:dyDescent="0.25">
      <c r="B75">
        <v>322796826.10232902</v>
      </c>
      <c r="C75">
        <v>155659644.451065</v>
      </c>
      <c r="D75">
        <v>-2054635.2551607799</v>
      </c>
      <c r="E75">
        <v>8486.1428873580699</v>
      </c>
      <c r="F75">
        <v>-26543.9085050596</v>
      </c>
      <c r="I75">
        <v>171277880.93285599</v>
      </c>
      <c r="J75">
        <v>66667987.244444899</v>
      </c>
      <c r="K75">
        <v>-1309745.98244106</v>
      </c>
      <c r="L75">
        <v>43935.587181048802</v>
      </c>
      <c r="M75">
        <v>-18892.379649285602</v>
      </c>
      <c r="P75">
        <v>586527948.02882397</v>
      </c>
      <c r="Q75">
        <v>336031901.06968302</v>
      </c>
      <c r="R75">
        <v>-3321823.6298125498</v>
      </c>
      <c r="S75">
        <v>1908.1771702518199</v>
      </c>
      <c r="T75">
        <v>-82225.122394286896</v>
      </c>
      <c r="W75">
        <v>403815714.687626</v>
      </c>
      <c r="X75">
        <v>195099664.51600799</v>
      </c>
      <c r="Y75">
        <v>-2688558.4329171502</v>
      </c>
      <c r="Z75">
        <v>5782.9202188856598</v>
      </c>
      <c r="AA75">
        <v>-48012.697367718101</v>
      </c>
    </row>
    <row r="76" spans="2:27" x14ac:dyDescent="0.25">
      <c r="B76">
        <v>181961201.788358</v>
      </c>
      <c r="C76">
        <v>94255546.273150697</v>
      </c>
      <c r="D76">
        <v>-4833294.5370097803</v>
      </c>
      <c r="E76">
        <v>-212317.96001343901</v>
      </c>
      <c r="F76">
        <v>-11118.6495167299</v>
      </c>
      <c r="I76">
        <v>95997953.833615497</v>
      </c>
      <c r="J76">
        <v>41434987.743651502</v>
      </c>
      <c r="K76">
        <v>-2853578.31681534</v>
      </c>
      <c r="L76">
        <v>-72650.440892961298</v>
      </c>
      <c r="M76">
        <v>-6204.7901320419296</v>
      </c>
      <c r="P76">
        <v>331556672.73465198</v>
      </c>
      <c r="Q76">
        <v>199846295.961786</v>
      </c>
      <c r="R76">
        <v>-7834213.6475901902</v>
      </c>
      <c r="S76">
        <v>-371492.09002551401</v>
      </c>
      <c r="T76">
        <v>-28770.236402601098</v>
      </c>
      <c r="W76">
        <v>227284549.21662799</v>
      </c>
      <c r="X76">
        <v>117463168.81775001</v>
      </c>
      <c r="Y76">
        <v>-6225454.9280682299</v>
      </c>
      <c r="Z76">
        <v>-263830.05969242199</v>
      </c>
      <c r="AA76">
        <v>-15368.769458144599</v>
      </c>
    </row>
    <row r="77" spans="2:27" x14ac:dyDescent="0.25">
      <c r="B77">
        <v>9646344.68259505</v>
      </c>
      <c r="C77">
        <v>17333980.337365899</v>
      </c>
      <c r="D77">
        <v>-6068561.2634794703</v>
      </c>
      <c r="E77">
        <v>-306686.14413002401</v>
      </c>
      <c r="F77">
        <v>71907.061856713102</v>
      </c>
      <c r="I77">
        <v>4328695.9932483202</v>
      </c>
      <c r="J77">
        <v>9381794.82040295</v>
      </c>
      <c r="K77">
        <v>-3517295.80519336</v>
      </c>
      <c r="L77">
        <v>-121447.605576887</v>
      </c>
      <c r="M77">
        <v>41658.1289393201</v>
      </c>
      <c r="P77">
        <v>20102520.040642802</v>
      </c>
      <c r="Q77">
        <v>31083080.309939601</v>
      </c>
      <c r="R77">
        <v>-9853470.2483812701</v>
      </c>
      <c r="S77">
        <v>-540172.00731665897</v>
      </c>
      <c r="T77">
        <v>95343.305567647403</v>
      </c>
      <c r="W77">
        <v>11509909.150803501</v>
      </c>
      <c r="X77">
        <v>20233010.240467001</v>
      </c>
      <c r="Y77">
        <v>-7755308.3197756195</v>
      </c>
      <c r="Z77">
        <v>-379641.96045422001</v>
      </c>
      <c r="AA77">
        <v>77770.534444663601</v>
      </c>
    </row>
    <row r="78" spans="2:27" x14ac:dyDescent="0.25">
      <c r="B78">
        <v>10960827.110872401</v>
      </c>
      <c r="C78">
        <v>17908527.866282299</v>
      </c>
      <c r="D78">
        <v>12235864.4170068</v>
      </c>
      <c r="E78">
        <v>309243.20185395802</v>
      </c>
      <c r="F78">
        <v>256654.32078376599</v>
      </c>
      <c r="I78">
        <v>5015733.3072070796</v>
      </c>
      <c r="J78">
        <v>9631039.4316425603</v>
      </c>
      <c r="K78">
        <v>7020000.7613673797</v>
      </c>
      <c r="L78">
        <v>115527.628504865</v>
      </c>
      <c r="M78">
        <v>144702.53033136801</v>
      </c>
      <c r="P78">
        <v>22379279.600793902</v>
      </c>
      <c r="Q78">
        <v>32246348.364665002</v>
      </c>
      <c r="R78">
        <v>19666590.885740101</v>
      </c>
      <c r="S78">
        <v>548317.912823839</v>
      </c>
      <c r="T78">
        <v>486146.43353506399</v>
      </c>
      <c r="W78">
        <v>13211206.4594501</v>
      </c>
      <c r="X78">
        <v>20983934.102797002</v>
      </c>
      <c r="Y78">
        <v>15872117.634587999</v>
      </c>
      <c r="Z78">
        <v>377709.73062083102</v>
      </c>
      <c r="AA78">
        <v>262692.12110136403</v>
      </c>
    </row>
    <row r="79" spans="2:27" x14ac:dyDescent="0.25">
      <c r="B79">
        <v>194757917.43929401</v>
      </c>
      <c r="C79">
        <v>100002008.48244099</v>
      </c>
      <c r="D79">
        <v>9384581.5975755192</v>
      </c>
      <c r="E79">
        <v>242359.29105776301</v>
      </c>
      <c r="F79">
        <v>37257.734952649</v>
      </c>
      <c r="I79">
        <v>102588222.337</v>
      </c>
      <c r="J79">
        <v>43791649.939020596</v>
      </c>
      <c r="K79">
        <v>5524471.2732404601</v>
      </c>
      <c r="L79">
        <v>85726.402333336096</v>
      </c>
      <c r="M79">
        <v>24669.2339585794</v>
      </c>
      <c r="P79">
        <v>353841106.86823702</v>
      </c>
      <c r="Q79">
        <v>211987603.42506</v>
      </c>
      <c r="R79">
        <v>14940142.328570001</v>
      </c>
      <c r="S79">
        <v>421762.38051740901</v>
      </c>
      <c r="T79">
        <v>17681.022914130601</v>
      </c>
      <c r="W79">
        <v>243324593.97683999</v>
      </c>
      <c r="X79">
        <v>124478623.77004801</v>
      </c>
      <c r="Y79">
        <v>12254956.655699</v>
      </c>
      <c r="Z79">
        <v>288316.64267035603</v>
      </c>
      <c r="AA79">
        <v>22659.278000603699</v>
      </c>
    </row>
    <row r="80" spans="2:27" x14ac:dyDescent="0.25">
      <c r="B80">
        <v>329982138.55626702</v>
      </c>
      <c r="C80">
        <v>158607990.52352601</v>
      </c>
      <c r="D80">
        <v>2320178.9978327202</v>
      </c>
      <c r="E80">
        <v>-63717.969072462802</v>
      </c>
      <c r="F80">
        <v>-165551.86171127</v>
      </c>
      <c r="I80">
        <v>174654165.159576</v>
      </c>
      <c r="J80">
        <v>67658145.497273207</v>
      </c>
      <c r="K80">
        <v>1523199.1753014801</v>
      </c>
      <c r="L80">
        <v>-73981.982050783903</v>
      </c>
      <c r="M80">
        <v>-101366.32669961901</v>
      </c>
      <c r="P80">
        <v>597587673.16674495</v>
      </c>
      <c r="Q80">
        <v>341736795.61221498</v>
      </c>
      <c r="R80">
        <v>3468834.8873107298</v>
      </c>
      <c r="S80">
        <v>-123326.65851190301</v>
      </c>
      <c r="T80">
        <v>-281370.58045075898</v>
      </c>
      <c r="W80">
        <v>412374738.93347102</v>
      </c>
      <c r="X80">
        <v>198196216.43528101</v>
      </c>
      <c r="Y80">
        <v>3187962.0935548102</v>
      </c>
      <c r="Z80">
        <v>-78136.521495298904</v>
      </c>
      <c r="AA80">
        <v>-265195.87849917897</v>
      </c>
    </row>
    <row r="81" spans="2:27" x14ac:dyDescent="0.25">
      <c r="B81">
        <v>403704492.84813201</v>
      </c>
      <c r="C81">
        <v>188389303.79446</v>
      </c>
      <c r="D81">
        <v>-2186100.4070359501</v>
      </c>
      <c r="E81">
        <v>-229469.46433854301</v>
      </c>
      <c r="F81">
        <v>-229229.82909672099</v>
      </c>
      <c r="I81">
        <v>213752310.67854199</v>
      </c>
      <c r="J81">
        <v>79022202.697660893</v>
      </c>
      <c r="K81">
        <v>-1138781.5035044299</v>
      </c>
      <c r="L81">
        <v>-155254.59718339401</v>
      </c>
      <c r="M81">
        <v>-152422.049015514</v>
      </c>
      <c r="P81">
        <v>730230094.81881297</v>
      </c>
      <c r="Q81">
        <v>409370848.44363302</v>
      </c>
      <c r="R81">
        <v>-3742391.5776575799</v>
      </c>
      <c r="S81">
        <v>-379571.80282228597</v>
      </c>
      <c r="T81">
        <v>-425087.11991819</v>
      </c>
      <c r="W81">
        <v>503323527.238253</v>
      </c>
      <c r="X81">
        <v>235037872.76585299</v>
      </c>
      <c r="Y81">
        <v>-2698441.86666734</v>
      </c>
      <c r="Z81">
        <v>-279502.99019105901</v>
      </c>
      <c r="AA81">
        <v>-377124.90783343901</v>
      </c>
    </row>
    <row r="82" spans="2:27" x14ac:dyDescent="0.25">
      <c r="B82">
        <v>436098226.56780499</v>
      </c>
      <c r="C82">
        <v>199994591.59053001</v>
      </c>
      <c r="D82">
        <v>-2521930.55715416</v>
      </c>
      <c r="E82">
        <v>-145709.73444907099</v>
      </c>
      <c r="F82">
        <v>-484316.21506762598</v>
      </c>
      <c r="I82">
        <v>230741023.394476</v>
      </c>
      <c r="J82">
        <v>82897626.701393902</v>
      </c>
      <c r="K82">
        <v>-1406923.4728214401</v>
      </c>
      <c r="L82">
        <v>-95027.629106891007</v>
      </c>
      <c r="M82">
        <v>-293107.866542048</v>
      </c>
      <c r="P82">
        <v>788041380.18123198</v>
      </c>
      <c r="Q82">
        <v>436811768.46332002</v>
      </c>
      <c r="R82">
        <v>-4195647.8349937703</v>
      </c>
      <c r="S82">
        <v>-242874.623415662</v>
      </c>
      <c r="T82">
        <v>-892731.72160771897</v>
      </c>
      <c r="W82">
        <v>542485738.74195397</v>
      </c>
      <c r="X82">
        <v>248963984.758315</v>
      </c>
      <c r="Y82">
        <v>-3206256.9873796301</v>
      </c>
      <c r="Z82">
        <v>-180024.94962436901</v>
      </c>
      <c r="AA82">
        <v>-669582.27052328701</v>
      </c>
    </row>
    <row r="83" spans="2:27" x14ac:dyDescent="0.25">
      <c r="B83">
        <v>444451695.80032402</v>
      </c>
      <c r="C83">
        <v>202583641.846028</v>
      </c>
      <c r="D83" s="1">
        <v>-1.4469260349869701E-6</v>
      </c>
      <c r="E83" s="1">
        <v>6.7251676227897406E-8</v>
      </c>
      <c r="F83">
        <v>-567074.84438212297</v>
      </c>
      <c r="I83">
        <v>235057395.558779</v>
      </c>
      <c r="J83">
        <v>83592092.930610195</v>
      </c>
      <c r="K83" s="1">
        <v>-1.5777859516674699E-6</v>
      </c>
      <c r="L83" s="1">
        <v>-2.7480564313009402E-7</v>
      </c>
      <c r="M83">
        <v>-338041.44938405999</v>
      </c>
      <c r="P83">
        <v>803070768.31763601</v>
      </c>
      <c r="Q83">
        <v>443389804.08547401</v>
      </c>
      <c r="R83" s="1">
        <v>-6.3537299865856798E-7</v>
      </c>
      <c r="S83" s="1">
        <v>-1.54130975715816E-6</v>
      </c>
      <c r="T83">
        <v>-1019609.86294205</v>
      </c>
      <c r="W83">
        <v>552440439.94421899</v>
      </c>
      <c r="X83">
        <v>251966662.20808101</v>
      </c>
      <c r="Y83" s="1">
        <v>-7.0471651270054302E-7</v>
      </c>
      <c r="Z83" s="1">
        <v>-2.3194297682493901E-7</v>
      </c>
      <c r="AA83">
        <v>-762866.84085778496</v>
      </c>
    </row>
    <row r="84" spans="2:27" x14ac:dyDescent="0.25">
      <c r="B84">
        <v>436098226.567837</v>
      </c>
      <c r="C84">
        <v>199994591.59055299</v>
      </c>
      <c r="D84">
        <v>2521930.557155</v>
      </c>
      <c r="E84">
        <v>145709.734449201</v>
      </c>
      <c r="F84">
        <v>-484316.21506753599</v>
      </c>
      <c r="I84">
        <v>230741023.39451501</v>
      </c>
      <c r="J84">
        <v>82897626.701413795</v>
      </c>
      <c r="K84">
        <v>1406923.4728203299</v>
      </c>
      <c r="L84">
        <v>95027.629107046494</v>
      </c>
      <c r="M84">
        <v>-293107.86654058099</v>
      </c>
      <c r="P84">
        <v>788041380.18119502</v>
      </c>
      <c r="Q84">
        <v>436811768.46329099</v>
      </c>
      <c r="R84">
        <v>4195647.8349933699</v>
      </c>
      <c r="S84">
        <v>242874.623414648</v>
      </c>
      <c r="T84">
        <v>-892731.72160701803</v>
      </c>
      <c r="W84">
        <v>542485738.74189794</v>
      </c>
      <c r="X84">
        <v>248963984.75827599</v>
      </c>
      <c r="Y84">
        <v>3206256.9873788198</v>
      </c>
      <c r="Z84">
        <v>180024.949622435</v>
      </c>
      <c r="AA84">
        <v>-669582.27052452404</v>
      </c>
    </row>
    <row r="85" spans="2:27" x14ac:dyDescent="0.25">
      <c r="B85">
        <v>403704492.848176</v>
      </c>
      <c r="C85">
        <v>188389303.794487</v>
      </c>
      <c r="D85">
        <v>2186100.40703846</v>
      </c>
      <c r="E85">
        <v>229469.464338372</v>
      </c>
      <c r="F85">
        <v>-229229.829094949</v>
      </c>
      <c r="I85">
        <v>213752310.678545</v>
      </c>
      <c r="J85">
        <v>79022202.697664499</v>
      </c>
      <c r="K85">
        <v>1138781.5035057</v>
      </c>
      <c r="L85">
        <v>155254.597183145</v>
      </c>
      <c r="M85">
        <v>-152422.04901591301</v>
      </c>
      <c r="P85">
        <v>730230094.81873202</v>
      </c>
      <c r="Q85">
        <v>409370848.44358802</v>
      </c>
      <c r="R85">
        <v>3742391.5776547799</v>
      </c>
      <c r="S85">
        <v>379571.802820882</v>
      </c>
      <c r="T85">
        <v>-425087.11991755699</v>
      </c>
      <c r="W85">
        <v>503323527.238168</v>
      </c>
      <c r="X85">
        <v>235037872.76579899</v>
      </c>
      <c r="Y85">
        <v>2698441.86666905</v>
      </c>
      <c r="Z85">
        <v>279502.99019110698</v>
      </c>
      <c r="AA85">
        <v>-377124.90783504501</v>
      </c>
    </row>
    <row r="86" spans="2:27" x14ac:dyDescent="0.25">
      <c r="B86">
        <v>329982138.55633098</v>
      </c>
      <c r="C86">
        <v>158607990.52356499</v>
      </c>
      <c r="D86">
        <v>-2320178.9978325199</v>
      </c>
      <c r="E86">
        <v>63717.969072797103</v>
      </c>
      <c r="F86">
        <v>-165551.86171270499</v>
      </c>
      <c r="I86">
        <v>174654165.159596</v>
      </c>
      <c r="J86">
        <v>67658145.497283906</v>
      </c>
      <c r="K86">
        <v>-1523199.1753002801</v>
      </c>
      <c r="L86">
        <v>73981.982050262799</v>
      </c>
      <c r="M86">
        <v>-101366.326699175</v>
      </c>
      <c r="P86">
        <v>597587673.16669297</v>
      </c>
      <c r="Q86">
        <v>341736795.61217499</v>
      </c>
      <c r="R86">
        <v>-3468834.8873102302</v>
      </c>
      <c r="S86">
        <v>123326.658513245</v>
      </c>
      <c r="T86">
        <v>-281370.58045252902</v>
      </c>
      <c r="W86">
        <v>412374738.93342298</v>
      </c>
      <c r="X86">
        <v>198196216.435251</v>
      </c>
      <c r="Y86">
        <v>-3187962.0935511701</v>
      </c>
      <c r="Z86">
        <v>78136.5214956665</v>
      </c>
      <c r="AA86">
        <v>-265195.87849985802</v>
      </c>
    </row>
    <row r="87" spans="2:27" x14ac:dyDescent="0.25">
      <c r="B87">
        <v>194757917.439338</v>
      </c>
      <c r="C87">
        <v>100002008.48246799</v>
      </c>
      <c r="D87">
        <v>-9384581.5975755192</v>
      </c>
      <c r="E87">
        <v>-242359.29105901299</v>
      </c>
      <c r="F87">
        <v>37257.734953060899</v>
      </c>
      <c r="I87">
        <v>102588222.337019</v>
      </c>
      <c r="J87">
        <v>43791649.9390276</v>
      </c>
      <c r="K87">
        <v>-5524471.27324057</v>
      </c>
      <c r="L87">
        <v>-85726.402333891499</v>
      </c>
      <c r="M87">
        <v>24669.233958185199</v>
      </c>
      <c r="P87">
        <v>353841106.86821198</v>
      </c>
      <c r="Q87">
        <v>211987603.42504001</v>
      </c>
      <c r="R87">
        <v>-14940142.328568701</v>
      </c>
      <c r="S87">
        <v>-421762.38051805203</v>
      </c>
      <c r="T87">
        <v>17681.022914740399</v>
      </c>
      <c r="W87">
        <v>243324593.97681901</v>
      </c>
      <c r="X87">
        <v>124478623.770035</v>
      </c>
      <c r="Y87">
        <v>-12254956.655698501</v>
      </c>
      <c r="Z87">
        <v>-288316.64267093502</v>
      </c>
      <c r="AA87">
        <v>22659.278000315</v>
      </c>
    </row>
    <row r="88" spans="2:27" x14ac:dyDescent="0.25">
      <c r="B88">
        <v>10960827.1108735</v>
      </c>
      <c r="C88">
        <v>17908527.866282899</v>
      </c>
      <c r="D88">
        <v>-12235864.4170056</v>
      </c>
      <c r="E88">
        <v>-309243.20185282599</v>
      </c>
      <c r="F88">
        <v>256654.32078537301</v>
      </c>
      <c r="I88">
        <v>5015733.3072068002</v>
      </c>
      <c r="J88">
        <v>9631039.4316415302</v>
      </c>
      <c r="K88">
        <v>-7020000.76136823</v>
      </c>
      <c r="L88">
        <v>-115527.62850388</v>
      </c>
      <c r="M88">
        <v>144702.530331869</v>
      </c>
      <c r="P88">
        <v>22379279.600795802</v>
      </c>
      <c r="Q88">
        <v>32246348.364667501</v>
      </c>
      <c r="R88">
        <v>-19666590.8857412</v>
      </c>
      <c r="S88">
        <v>-548317.91282116005</v>
      </c>
      <c r="T88">
        <v>486146.43353912397</v>
      </c>
      <c r="W88">
        <v>13211206.459450001</v>
      </c>
      <c r="X88">
        <v>20983934.102797002</v>
      </c>
      <c r="Y88">
        <v>-15872117.634589201</v>
      </c>
      <c r="Z88">
        <v>-377709.73061914998</v>
      </c>
      <c r="AA88">
        <v>262692.12110285403</v>
      </c>
    </row>
    <row r="89" spans="2:27" x14ac:dyDescent="0.25">
      <c r="B89">
        <v>14547166.1386737</v>
      </c>
      <c r="C89">
        <v>20225661.748468898</v>
      </c>
      <c r="D89">
        <v>18944198.128933199</v>
      </c>
      <c r="E89">
        <v>66515.967798156606</v>
      </c>
      <c r="F89">
        <v>-1433747.9846532701</v>
      </c>
      <c r="I89">
        <v>7048786.3524821801</v>
      </c>
      <c r="J89">
        <v>10804351.5331662</v>
      </c>
      <c r="K89">
        <v>10832242.367788799</v>
      </c>
      <c r="L89">
        <v>-7162.5989521844804</v>
      </c>
      <c r="M89">
        <v>-856240.32470216404</v>
      </c>
      <c r="P89">
        <v>28634387.595975298</v>
      </c>
      <c r="Q89">
        <v>36708833.433791898</v>
      </c>
      <c r="R89">
        <v>29626187.614279401</v>
      </c>
      <c r="S89">
        <v>118924.56176751301</v>
      </c>
      <c r="T89">
        <v>-1997807.71478474</v>
      </c>
      <c r="W89">
        <v>17555192.932329599</v>
      </c>
      <c r="X89">
        <v>23764222.968944501</v>
      </c>
      <c r="Y89">
        <v>24913100.3073298</v>
      </c>
      <c r="Z89">
        <v>97350.814186696807</v>
      </c>
      <c r="AA89">
        <v>-1606060.09301478</v>
      </c>
    </row>
    <row r="90" spans="2:27" x14ac:dyDescent="0.25">
      <c r="B90">
        <v>232110940.64878401</v>
      </c>
      <c r="C90">
        <v>117449038.34965099</v>
      </c>
      <c r="D90">
        <v>12447532.5090854</v>
      </c>
      <c r="E90">
        <v>75602.921183805796</v>
      </c>
      <c r="F90">
        <v>1386721.17228416</v>
      </c>
      <c r="I90">
        <v>123132164.893213</v>
      </c>
      <c r="J90">
        <v>51498655.858645901</v>
      </c>
      <c r="K90">
        <v>7345937.8920489904</v>
      </c>
      <c r="L90">
        <v>-14765.625184447899</v>
      </c>
      <c r="M90">
        <v>777362.87937815103</v>
      </c>
      <c r="P90">
        <v>419925703.13301599</v>
      </c>
      <c r="Q90">
        <v>249268944.683568</v>
      </c>
      <c r="R90">
        <v>19186908.725503501</v>
      </c>
      <c r="S90">
        <v>165634.93755208299</v>
      </c>
      <c r="T90">
        <v>2356491.0118314</v>
      </c>
      <c r="W90">
        <v>287599465.34276301</v>
      </c>
      <c r="X90">
        <v>144799675.31974199</v>
      </c>
      <c r="Y90">
        <v>16450924.3311109</v>
      </c>
      <c r="Z90">
        <v>73159.570052589406</v>
      </c>
      <c r="AA90">
        <v>1440500.77495358</v>
      </c>
    </row>
    <row r="91" spans="2:27" x14ac:dyDescent="0.25">
      <c r="B91">
        <v>353160440.49717301</v>
      </c>
      <c r="C91">
        <v>170344561.22826999</v>
      </c>
      <c r="D91">
        <v>-1965994.8225769899</v>
      </c>
      <c r="E91">
        <v>118539.45958992001</v>
      </c>
      <c r="F91">
        <v>8233.72014585549</v>
      </c>
      <c r="I91">
        <v>187642014.64460099</v>
      </c>
      <c r="J91">
        <v>72925319.685396805</v>
      </c>
      <c r="K91">
        <v>-951455.61618912802</v>
      </c>
      <c r="L91">
        <v>21888.029917150099</v>
      </c>
      <c r="M91">
        <v>-23089.351954005699</v>
      </c>
      <c r="P91">
        <v>636157627.05585301</v>
      </c>
      <c r="Q91">
        <v>365420753.00217098</v>
      </c>
      <c r="R91">
        <v>-4208989.2832491798</v>
      </c>
      <c r="S91">
        <v>202388.98358405099</v>
      </c>
      <c r="T91">
        <v>44783.546443395397</v>
      </c>
      <c r="W91">
        <v>435101506.13650602</v>
      </c>
      <c r="X91">
        <v>209325093.74917999</v>
      </c>
      <c r="Y91">
        <v>-2185682.6995040602</v>
      </c>
      <c r="Z91">
        <v>95196.701476141898</v>
      </c>
      <c r="AA91">
        <v>-177691.489340072</v>
      </c>
    </row>
    <row r="92" spans="2:27" x14ac:dyDescent="0.25">
      <c r="B92">
        <v>385614826.364079</v>
      </c>
      <c r="C92">
        <v>182394834.49910799</v>
      </c>
      <c r="D92">
        <v>-7858062.0046441099</v>
      </c>
      <c r="E92">
        <v>-220484.54412105001</v>
      </c>
      <c r="F92">
        <v>-207538.63063504099</v>
      </c>
      <c r="I92">
        <v>204192935.81574401</v>
      </c>
      <c r="J92">
        <v>76839669.670915395</v>
      </c>
      <c r="K92">
        <v>-4517696.2209241604</v>
      </c>
      <c r="L92">
        <v>-144069.713424763</v>
      </c>
      <c r="M92">
        <v>-137273.45272944999</v>
      </c>
      <c r="P92">
        <v>692090024.56395197</v>
      </c>
      <c r="Q92">
        <v>392558183.40587801</v>
      </c>
      <c r="R92">
        <v>-13355671.565175099</v>
      </c>
      <c r="S92">
        <v>-395615.871231272</v>
      </c>
      <c r="T92">
        <v>-210059.86684887201</v>
      </c>
      <c r="W92">
        <v>471459415.501122</v>
      </c>
      <c r="X92">
        <v>222323470.11032501</v>
      </c>
      <c r="Y92">
        <v>-9806022.63685311</v>
      </c>
      <c r="Z92">
        <v>-279012.49493454699</v>
      </c>
      <c r="AA92">
        <v>-454859.918626839</v>
      </c>
    </row>
    <row r="93" spans="2:27" x14ac:dyDescent="0.25">
      <c r="B93">
        <v>395242574.63813698</v>
      </c>
      <c r="C93">
        <v>184458825.06076199</v>
      </c>
      <c r="D93">
        <v>-6031790.5622112304</v>
      </c>
      <c r="E93">
        <v>-171282.137788922</v>
      </c>
      <c r="F93">
        <v>66900.608291839599</v>
      </c>
      <c r="I93">
        <v>208714717.90289101</v>
      </c>
      <c r="J93">
        <v>76778909.956512496</v>
      </c>
      <c r="K93">
        <v>-3520749.1950506498</v>
      </c>
      <c r="L93">
        <v>-105471.26525030599</v>
      </c>
      <c r="M93">
        <v>18128.124034701701</v>
      </c>
      <c r="P93">
        <v>708188987.75744498</v>
      </c>
      <c r="Q93">
        <v>398256952.95828301</v>
      </c>
      <c r="R93">
        <v>-9978787.0444188602</v>
      </c>
      <c r="S93">
        <v>-291751.611724596</v>
      </c>
      <c r="T93">
        <v>229922.34607316001</v>
      </c>
      <c r="W93">
        <v>480978754.28845298</v>
      </c>
      <c r="X93">
        <v>223632491.523229</v>
      </c>
      <c r="Y93">
        <v>-7560996.4191532703</v>
      </c>
      <c r="Z93">
        <v>-208758.04621691699</v>
      </c>
      <c r="AA93">
        <v>-144109.837560368</v>
      </c>
    </row>
    <row r="94" spans="2:27" x14ac:dyDescent="0.25">
      <c r="B94">
        <v>395895418.147039</v>
      </c>
      <c r="C94">
        <v>183835716.72253701</v>
      </c>
      <c r="D94" s="1">
        <v>2.3037864593788998E-6</v>
      </c>
      <c r="E94" s="1">
        <v>2.06602635444142E-7</v>
      </c>
      <c r="F94">
        <v>93951.931580380406</v>
      </c>
      <c r="I94">
        <v>208799980.324</v>
      </c>
      <c r="J94">
        <v>76153434.739824906</v>
      </c>
      <c r="K94" s="1">
        <v>3.8431608118116898E-7</v>
      </c>
      <c r="L94" s="1">
        <v>-5.6454155128449202E-8</v>
      </c>
      <c r="M94">
        <v>35419.634372615001</v>
      </c>
      <c r="P94">
        <v>709016673.32929099</v>
      </c>
      <c r="Q94">
        <v>397434600.411641</v>
      </c>
      <c r="R94" s="1">
        <v>-1.8425198504701299E-6</v>
      </c>
      <c r="S94" s="1">
        <v>1.0850635590031699E-7</v>
      </c>
      <c r="T94">
        <v>247723.16571287799</v>
      </c>
      <c r="W94">
        <v>481144007.06859601</v>
      </c>
      <c r="X94">
        <v>222499718.84396401</v>
      </c>
      <c r="Y94" s="1">
        <v>-2.4390610633418002E-6</v>
      </c>
      <c r="Z94" s="1">
        <v>-4.75847627967596E-7</v>
      </c>
      <c r="AA94">
        <v>-107579.425402672</v>
      </c>
    </row>
    <row r="95" spans="2:27" x14ac:dyDescent="0.25">
      <c r="B95">
        <v>395242574.63822699</v>
      </c>
      <c r="C95">
        <v>184458825.06081599</v>
      </c>
      <c r="D95">
        <v>6031790.5622129403</v>
      </c>
      <c r="E95">
        <v>171282.13778934401</v>
      </c>
      <c r="F95">
        <v>66900.608292529098</v>
      </c>
      <c r="I95">
        <v>208714717.90290299</v>
      </c>
      <c r="J95">
        <v>76778909.956518099</v>
      </c>
      <c r="K95">
        <v>3520749.1950510601</v>
      </c>
      <c r="L95">
        <v>105471.265250472</v>
      </c>
      <c r="M95">
        <v>18128.1240343231</v>
      </c>
      <c r="P95">
        <v>708188987.75743401</v>
      </c>
      <c r="Q95">
        <v>398256952.958269</v>
      </c>
      <c r="R95">
        <v>9978787.0444185399</v>
      </c>
      <c r="S95">
        <v>291751.61172522802</v>
      </c>
      <c r="T95">
        <v>229922.34607717599</v>
      </c>
      <c r="W95">
        <v>480978754.28841501</v>
      </c>
      <c r="X95">
        <v>223632491.52319899</v>
      </c>
      <c r="Y95">
        <v>7560996.4191516303</v>
      </c>
      <c r="Z95">
        <v>208758.04621634501</v>
      </c>
      <c r="AA95">
        <v>-144109.83755770299</v>
      </c>
    </row>
    <row r="96" spans="2:27" x14ac:dyDescent="0.25">
      <c r="B96">
        <v>385614826.36414999</v>
      </c>
      <c r="C96">
        <v>182394834.49914801</v>
      </c>
      <c r="D96">
        <v>7858062.0046440298</v>
      </c>
      <c r="E96">
        <v>220484.54412035001</v>
      </c>
      <c r="F96">
        <v>-207538.63063688899</v>
      </c>
      <c r="I96">
        <v>204192935.81579199</v>
      </c>
      <c r="J96">
        <v>76839669.670941696</v>
      </c>
      <c r="K96">
        <v>4517696.2209238699</v>
      </c>
      <c r="L96">
        <v>144069.71342456699</v>
      </c>
      <c r="M96">
        <v>-137273.45273003299</v>
      </c>
      <c r="P96">
        <v>692090024.56401801</v>
      </c>
      <c r="Q96">
        <v>392558183.405927</v>
      </c>
      <c r="R96">
        <v>13355671.5651727</v>
      </c>
      <c r="S96">
        <v>395615.87123052002</v>
      </c>
      <c r="T96">
        <v>-210059.86684793001</v>
      </c>
      <c r="W96">
        <v>471459415.50107098</v>
      </c>
      <c r="X96">
        <v>222323470.11029401</v>
      </c>
      <c r="Y96">
        <v>9806022.6368551906</v>
      </c>
      <c r="Z96">
        <v>279012.49493434402</v>
      </c>
      <c r="AA96">
        <v>-454859.91862562299</v>
      </c>
    </row>
    <row r="97" spans="2:27" x14ac:dyDescent="0.25">
      <c r="B97">
        <v>353160440.49721998</v>
      </c>
      <c r="C97">
        <v>170344561.22829801</v>
      </c>
      <c r="D97">
        <v>1965994.82257727</v>
      </c>
      <c r="E97">
        <v>-118539.459590329</v>
      </c>
      <c r="F97">
        <v>8233.7201454739297</v>
      </c>
      <c r="I97">
        <v>187642014.64461401</v>
      </c>
      <c r="J97">
        <v>72925319.685403198</v>
      </c>
      <c r="K97">
        <v>951455.61618885305</v>
      </c>
      <c r="L97">
        <v>-21888.029917454802</v>
      </c>
      <c r="M97">
        <v>-23089.3519538244</v>
      </c>
      <c r="P97">
        <v>636157627.05584705</v>
      </c>
      <c r="Q97">
        <v>365420753.00216198</v>
      </c>
      <c r="R97">
        <v>4208989.2832497302</v>
      </c>
      <c r="S97">
        <v>-202388.983584106</v>
      </c>
      <c r="T97">
        <v>44783.5464475954</v>
      </c>
      <c r="W97">
        <v>435101506.13642299</v>
      </c>
      <c r="X97">
        <v>209325093.74913001</v>
      </c>
      <c r="Y97">
        <v>2185682.6995065301</v>
      </c>
      <c r="Z97">
        <v>-95196.701476390197</v>
      </c>
      <c r="AA97">
        <v>-177691.48933882901</v>
      </c>
    </row>
    <row r="98" spans="2:27" x14ac:dyDescent="0.25">
      <c r="B98">
        <v>232110940.64881</v>
      </c>
      <c r="C98">
        <v>117449038.34966899</v>
      </c>
      <c r="D98">
        <v>-12447532.5090866</v>
      </c>
      <c r="E98">
        <v>-75602.921184291496</v>
      </c>
      <c r="F98">
        <v>1386721.17228373</v>
      </c>
      <c r="I98">
        <v>123132164.893206</v>
      </c>
      <c r="J98">
        <v>51498655.858640201</v>
      </c>
      <c r="K98">
        <v>-7345937.8920495296</v>
      </c>
      <c r="L98">
        <v>14765.625184095699</v>
      </c>
      <c r="M98">
        <v>777362.87937867595</v>
      </c>
      <c r="P98">
        <v>419925703.132999</v>
      </c>
      <c r="Q98">
        <v>249268944.68355399</v>
      </c>
      <c r="R98">
        <v>-19186908.725501198</v>
      </c>
      <c r="S98">
        <v>-165634.937553036</v>
      </c>
      <c r="T98">
        <v>2356491.0118317101</v>
      </c>
      <c r="W98">
        <v>287599465.34270698</v>
      </c>
      <c r="X98">
        <v>144799675.31970999</v>
      </c>
      <c r="Y98">
        <v>-16450924.3311087</v>
      </c>
      <c r="Z98">
        <v>-73159.570052808602</v>
      </c>
      <c r="AA98">
        <v>1440500.7749540601</v>
      </c>
    </row>
    <row r="99" spans="2:27" x14ac:dyDescent="0.25">
      <c r="B99">
        <v>14547166.138674499</v>
      </c>
      <c r="C99">
        <v>20225661.748468701</v>
      </c>
      <c r="D99">
        <v>-18944198.128934201</v>
      </c>
      <c r="E99">
        <v>-66515.967797289704</v>
      </c>
      <c r="F99">
        <v>-1433747.98465362</v>
      </c>
      <c r="I99">
        <v>7048786.3524821904</v>
      </c>
      <c r="J99">
        <v>10804351.533166001</v>
      </c>
      <c r="K99">
        <v>-10832242.367788499</v>
      </c>
      <c r="L99">
        <v>7162.598953359</v>
      </c>
      <c r="M99">
        <v>-856240.32470278896</v>
      </c>
      <c r="P99">
        <v>28634387.595975298</v>
      </c>
      <c r="Q99">
        <v>36708833.433792301</v>
      </c>
      <c r="R99">
        <v>-29626187.614276901</v>
      </c>
      <c r="S99">
        <v>-118924.561764714</v>
      </c>
      <c r="T99">
        <v>-1997807.7147874699</v>
      </c>
      <c r="W99">
        <v>17555192.9323285</v>
      </c>
      <c r="X99">
        <v>23764222.968943499</v>
      </c>
      <c r="Y99">
        <v>-24913100.3073285</v>
      </c>
      <c r="Z99">
        <v>-97350.814184572999</v>
      </c>
      <c r="AA99">
        <v>-1606060.0930155599</v>
      </c>
    </row>
    <row r="100" spans="2:27" x14ac:dyDescent="0.25">
      <c r="B100">
        <v>62905224.693095297</v>
      </c>
      <c r="C100">
        <v>41765802.079559103</v>
      </c>
      <c r="D100">
        <v>37075098.612686098</v>
      </c>
      <c r="E100">
        <v>2429553.0365261701</v>
      </c>
      <c r="F100">
        <v>-5486534.1644459199</v>
      </c>
      <c r="I100">
        <v>32661550.488058999</v>
      </c>
      <c r="J100">
        <v>19726249.6435287</v>
      </c>
      <c r="K100">
        <v>22080716.595748499</v>
      </c>
      <c r="L100">
        <v>1209236.4887443599</v>
      </c>
      <c r="M100">
        <v>-2811003.0731239398</v>
      </c>
      <c r="P100">
        <v>118248455.459457</v>
      </c>
      <c r="Q100">
        <v>85722981.977275103</v>
      </c>
      <c r="R100">
        <v>56702075.118142001</v>
      </c>
      <c r="S100">
        <v>4323848.5140628302</v>
      </c>
      <c r="T100">
        <v>-10156081.715107599</v>
      </c>
      <c r="W100">
        <v>77685898.691070005</v>
      </c>
      <c r="X100">
        <v>50588643.835713796</v>
      </c>
      <c r="Y100">
        <v>47347080.240323603</v>
      </c>
      <c r="Z100">
        <v>2639419.40754154</v>
      </c>
      <c r="AA100">
        <v>-6038418.8711969601</v>
      </c>
    </row>
    <row r="101" spans="2:27" x14ac:dyDescent="0.25">
      <c r="B101">
        <v>343214461.14389497</v>
      </c>
      <c r="C101">
        <v>168434879.845467</v>
      </c>
      <c r="D101">
        <v>6316368.6083623096</v>
      </c>
      <c r="E101">
        <v>131078.93032569901</v>
      </c>
      <c r="F101">
        <v>1162377.4528471499</v>
      </c>
      <c r="I101">
        <v>184974518.85506999</v>
      </c>
      <c r="J101">
        <v>73712478.561948806</v>
      </c>
      <c r="K101">
        <v>4187414.3765423102</v>
      </c>
      <c r="L101">
        <v>31384.4424811553</v>
      </c>
      <c r="M101">
        <v>543767.66792178794</v>
      </c>
      <c r="P101">
        <v>620060847.35498297</v>
      </c>
      <c r="Q101">
        <v>361356202.12202001</v>
      </c>
      <c r="R101">
        <v>6928262.9861953799</v>
      </c>
      <c r="S101">
        <v>201832.01828705499</v>
      </c>
      <c r="T101">
        <v>2479213.0921371202</v>
      </c>
      <c r="W101">
        <v>418365563.16776699</v>
      </c>
      <c r="X101">
        <v>204788956.047153</v>
      </c>
      <c r="Y101">
        <v>7785023.8630181402</v>
      </c>
      <c r="Z101">
        <v>95415.962953806898</v>
      </c>
      <c r="AA101">
        <v>1105783.2372346099</v>
      </c>
    </row>
    <row r="102" spans="2:27" x14ac:dyDescent="0.25">
      <c r="B102">
        <v>417250337.43564302</v>
      </c>
      <c r="C102">
        <v>205992443.76254001</v>
      </c>
      <c r="D102">
        <v>-13261594.568956399</v>
      </c>
      <c r="E102">
        <v>-711879.68730179197</v>
      </c>
      <c r="F102">
        <v>2425648.4027724802</v>
      </c>
      <c r="I102">
        <v>226238675.99925801</v>
      </c>
      <c r="J102">
        <v>90272731.913235903</v>
      </c>
      <c r="K102">
        <v>-7457721.8940064702</v>
      </c>
      <c r="L102">
        <v>-411899.22118462197</v>
      </c>
      <c r="M102">
        <v>1257554.6157046501</v>
      </c>
      <c r="P102">
        <v>742516160.37371695</v>
      </c>
      <c r="Q102">
        <v>436166774.218162</v>
      </c>
      <c r="R102">
        <v>-23422562.8426359</v>
      </c>
      <c r="S102">
        <v>-1142227.14140308</v>
      </c>
      <c r="T102">
        <v>4600834.9761374602</v>
      </c>
      <c r="W102">
        <v>492166602.39241302</v>
      </c>
      <c r="X102">
        <v>243341791.855169</v>
      </c>
      <c r="Y102">
        <v>-16843592.9549766</v>
      </c>
      <c r="Z102">
        <v>-835250.61832762498</v>
      </c>
      <c r="AA102">
        <v>2501714.9328719</v>
      </c>
    </row>
    <row r="103" spans="2:27" x14ac:dyDescent="0.25">
      <c r="B103">
        <v>412916086.57243699</v>
      </c>
      <c r="C103">
        <v>202974790.85394299</v>
      </c>
      <c r="D103">
        <v>-16039146.916250501</v>
      </c>
      <c r="E103">
        <v>-282127.443512992</v>
      </c>
      <c r="F103">
        <v>2035352.3019359801</v>
      </c>
      <c r="I103">
        <v>223746172.815191</v>
      </c>
      <c r="J103">
        <v>88458526.318026707</v>
      </c>
      <c r="K103">
        <v>-9352833.3269320708</v>
      </c>
      <c r="L103">
        <v>-165170.19321279399</v>
      </c>
      <c r="M103">
        <v>1089326.48959249</v>
      </c>
      <c r="P103">
        <v>730895907.56607604</v>
      </c>
      <c r="Q103">
        <v>428610375.92917597</v>
      </c>
      <c r="R103">
        <v>-26890554.811769299</v>
      </c>
      <c r="S103">
        <v>-470736.36405961099</v>
      </c>
      <c r="T103">
        <v>3854343.12948727</v>
      </c>
      <c r="W103">
        <v>481314647.77000302</v>
      </c>
      <c r="X103">
        <v>236829275.993736</v>
      </c>
      <c r="Y103">
        <v>-20074685.126861501</v>
      </c>
      <c r="Z103">
        <v>-336019.816082037</v>
      </c>
      <c r="AA103">
        <v>2133262.8892705399</v>
      </c>
    </row>
    <row r="104" spans="2:27" x14ac:dyDescent="0.25">
      <c r="B104">
        <v>405028911.92330903</v>
      </c>
      <c r="C104">
        <v>198384680.49662101</v>
      </c>
      <c r="D104">
        <v>-10094797.394894</v>
      </c>
      <c r="E104">
        <v>-128176.15649517201</v>
      </c>
      <c r="F104">
        <v>2221222.8341450798</v>
      </c>
      <c r="I104">
        <v>219052431.98418301</v>
      </c>
      <c r="J104">
        <v>86005648.165535301</v>
      </c>
      <c r="K104">
        <v>-5971185.0477324398</v>
      </c>
      <c r="L104">
        <v>-76748.736284591199</v>
      </c>
      <c r="M104">
        <v>1211933.84106697</v>
      </c>
      <c r="P104">
        <v>716237264.35687101</v>
      </c>
      <c r="Q104">
        <v>419217032.37592399</v>
      </c>
      <c r="R104">
        <v>-16631617.163731899</v>
      </c>
      <c r="S104">
        <v>-219530.354916921</v>
      </c>
      <c r="T104">
        <v>4243525.4576300001</v>
      </c>
      <c r="W104">
        <v>469476729.77728301</v>
      </c>
      <c r="X104">
        <v>229969901.52549401</v>
      </c>
      <c r="Y104">
        <v>-12549351.772592301</v>
      </c>
      <c r="Z104">
        <v>-151842.08087124399</v>
      </c>
      <c r="AA104">
        <v>2374537.6411551801</v>
      </c>
    </row>
    <row r="105" spans="2:27" x14ac:dyDescent="0.25">
      <c r="B105">
        <v>401706432.18725199</v>
      </c>
      <c r="C105">
        <v>196432658.983071</v>
      </c>
      <c r="D105" s="1">
        <v>2.0561928977258499E-6</v>
      </c>
      <c r="E105" s="1">
        <v>3.1197851058095699E-7</v>
      </c>
      <c r="F105">
        <v>2364416.2592065502</v>
      </c>
      <c r="I105">
        <v>217071138.47459599</v>
      </c>
      <c r="J105">
        <v>84974205.395055205</v>
      </c>
      <c r="K105" s="1">
        <v>6.8689769250340802E-7</v>
      </c>
      <c r="L105" s="1">
        <v>2.9059447115287201E-7</v>
      </c>
      <c r="M105">
        <v>1296339.89143887</v>
      </c>
      <c r="P105">
        <v>710248872.16004801</v>
      </c>
      <c r="Q105">
        <v>415298298.01394302</v>
      </c>
      <c r="R105" s="1">
        <v>-5.6665157899260501E-8</v>
      </c>
      <c r="S105" s="1">
        <v>2.5740155251696701E-7</v>
      </c>
      <c r="T105">
        <v>4503149.4263493102</v>
      </c>
      <c r="W105">
        <v>464915685.40194798</v>
      </c>
      <c r="X105">
        <v>227270210.42248201</v>
      </c>
      <c r="Y105" s="1">
        <v>-2.7292917366139599E-6</v>
      </c>
      <c r="Z105" s="1">
        <v>2.56273779086769E-7</v>
      </c>
      <c r="AA105">
        <v>2544369.1589832301</v>
      </c>
    </row>
    <row r="106" spans="2:27" x14ac:dyDescent="0.25">
      <c r="B106">
        <v>405028911.92327201</v>
      </c>
      <c r="C106">
        <v>198384680.496602</v>
      </c>
      <c r="D106">
        <v>10094797.394895799</v>
      </c>
      <c r="E106">
        <v>128176.15649604599</v>
      </c>
      <c r="F106">
        <v>2221222.8341439301</v>
      </c>
      <c r="I106">
        <v>219052431.98419499</v>
      </c>
      <c r="J106">
        <v>86005648.165540799</v>
      </c>
      <c r="K106">
        <v>5971185.0477340501</v>
      </c>
      <c r="L106">
        <v>76748.736285306295</v>
      </c>
      <c r="M106">
        <v>1211933.8410666899</v>
      </c>
      <c r="P106">
        <v>716237264.35687697</v>
      </c>
      <c r="Q106">
        <v>419217032.37592697</v>
      </c>
      <c r="R106">
        <v>16631617.1637355</v>
      </c>
      <c r="S106">
        <v>219530.35491865501</v>
      </c>
      <c r="T106">
        <v>4243525.45763049</v>
      </c>
      <c r="W106">
        <v>469476729.777246</v>
      </c>
      <c r="X106">
        <v>229969901.52546901</v>
      </c>
      <c r="Y106">
        <v>12549351.77259</v>
      </c>
      <c r="Z106">
        <v>151842.080871888</v>
      </c>
      <c r="AA106">
        <v>2374537.6411566399</v>
      </c>
    </row>
    <row r="107" spans="2:27" x14ac:dyDescent="0.25">
      <c r="B107">
        <v>412916086.57244003</v>
      </c>
      <c r="C107">
        <v>202974790.853948</v>
      </c>
      <c r="D107">
        <v>16039146.9162506</v>
      </c>
      <c r="E107">
        <v>282127.44351417798</v>
      </c>
      <c r="F107">
        <v>2035352.30193626</v>
      </c>
      <c r="I107">
        <v>223746172.81519699</v>
      </c>
      <c r="J107">
        <v>88458526.318031907</v>
      </c>
      <c r="K107">
        <v>9352833.3269314002</v>
      </c>
      <c r="L107">
        <v>165170.193213291</v>
      </c>
      <c r="M107">
        <v>1089326.48959204</v>
      </c>
      <c r="P107">
        <v>730895907.56606805</v>
      </c>
      <c r="Q107">
        <v>428610375.92917401</v>
      </c>
      <c r="R107">
        <v>26890554.8117688</v>
      </c>
      <c r="S107">
        <v>470736.36406168598</v>
      </c>
      <c r="T107">
        <v>3854343.1294849101</v>
      </c>
      <c r="W107">
        <v>481314647.76998901</v>
      </c>
      <c r="X107">
        <v>236829275.993725</v>
      </c>
      <c r="Y107">
        <v>20074685.126863498</v>
      </c>
      <c r="Z107">
        <v>336019.81608335499</v>
      </c>
      <c r="AA107">
        <v>2133262.88927186</v>
      </c>
    </row>
    <row r="108" spans="2:27" x14ac:dyDescent="0.25">
      <c r="B108">
        <v>417250337.43566197</v>
      </c>
      <c r="C108">
        <v>205992443.76255101</v>
      </c>
      <c r="D108">
        <v>13261594.568956301</v>
      </c>
      <c r="E108">
        <v>711879.68730254297</v>
      </c>
      <c r="F108">
        <v>2425648.40277236</v>
      </c>
      <c r="I108">
        <v>226238675.999259</v>
      </c>
      <c r="J108">
        <v>90272731.913237706</v>
      </c>
      <c r="K108">
        <v>7457721.8940039696</v>
      </c>
      <c r="L108">
        <v>411899.22118497099</v>
      </c>
      <c r="M108">
        <v>1257554.615704</v>
      </c>
      <c r="P108">
        <v>742516160.37375104</v>
      </c>
      <c r="Q108">
        <v>436166774.21818298</v>
      </c>
      <c r="R108">
        <v>23422562.842632901</v>
      </c>
      <c r="S108">
        <v>1142227.1414044099</v>
      </c>
      <c r="T108">
        <v>4600834.9761367599</v>
      </c>
      <c r="W108">
        <v>492166602.39240199</v>
      </c>
      <c r="X108">
        <v>243341791.85516199</v>
      </c>
      <c r="Y108">
        <v>16843592.9549786</v>
      </c>
      <c r="Z108">
        <v>835250.61832855199</v>
      </c>
      <c r="AA108">
        <v>2501714.9328734102</v>
      </c>
    </row>
    <row r="109" spans="2:27" x14ac:dyDescent="0.25">
      <c r="B109">
        <v>343214461.14391202</v>
      </c>
      <c r="C109">
        <v>168434879.845478</v>
      </c>
      <c r="D109">
        <v>-6316368.6083631199</v>
      </c>
      <c r="E109">
        <v>-131078.93032566499</v>
      </c>
      <c r="F109">
        <v>1162377.45284666</v>
      </c>
      <c r="I109">
        <v>184974518.855068</v>
      </c>
      <c r="J109">
        <v>73712478.5619459</v>
      </c>
      <c r="K109">
        <v>-4187414.37654272</v>
      </c>
      <c r="L109">
        <v>-31384.4424809499</v>
      </c>
      <c r="M109">
        <v>543767.66792254499</v>
      </c>
      <c r="P109">
        <v>620060847.35498595</v>
      </c>
      <c r="Q109">
        <v>361356202.12202001</v>
      </c>
      <c r="R109">
        <v>-6928262.9861962199</v>
      </c>
      <c r="S109">
        <v>-201832.01828731399</v>
      </c>
      <c r="T109">
        <v>2479213.0921397</v>
      </c>
      <c r="W109">
        <v>418365563.16775799</v>
      </c>
      <c r="X109">
        <v>204788956.047144</v>
      </c>
      <c r="Y109">
        <v>-7785023.8630152596</v>
      </c>
      <c r="Z109">
        <v>-95415.962953615293</v>
      </c>
      <c r="AA109">
        <v>1105783.23723651</v>
      </c>
    </row>
    <row r="110" spans="2:27" x14ac:dyDescent="0.25">
      <c r="B110">
        <v>62905224.693095401</v>
      </c>
      <c r="C110">
        <v>41765802.079558901</v>
      </c>
      <c r="D110">
        <v>-37075098.612688102</v>
      </c>
      <c r="E110">
        <v>-2429553.0365253501</v>
      </c>
      <c r="F110">
        <v>-5486534.1644451302</v>
      </c>
      <c r="I110">
        <v>32661550.488058802</v>
      </c>
      <c r="J110">
        <v>19726249.643528301</v>
      </c>
      <c r="K110">
        <v>-22080716.595747299</v>
      </c>
      <c r="L110">
        <v>-1209236.4887437699</v>
      </c>
      <c r="M110">
        <v>-2811003.0731225298</v>
      </c>
      <c r="P110">
        <v>118248455.459457</v>
      </c>
      <c r="Q110">
        <v>85722981.9772726</v>
      </c>
      <c r="R110">
        <v>-56702075.118141003</v>
      </c>
      <c r="S110">
        <v>-4323848.5140610998</v>
      </c>
      <c r="T110">
        <v>-10156081.7151074</v>
      </c>
      <c r="W110">
        <v>77685898.691070095</v>
      </c>
      <c r="X110">
        <v>50588643.835713603</v>
      </c>
      <c r="Y110">
        <v>-47347080.240320504</v>
      </c>
      <c r="Z110">
        <v>-2639419.4075404601</v>
      </c>
      <c r="AA110">
        <v>-6038418.8712001797</v>
      </c>
    </row>
    <row r="111" spans="2:27" x14ac:dyDescent="0.25">
      <c r="B111">
        <v>101417789.60864601</v>
      </c>
      <c r="C111">
        <v>46456758.181972697</v>
      </c>
      <c r="D111">
        <v>94496434.539677307</v>
      </c>
      <c r="E111">
        <v>-2204652.4794553402</v>
      </c>
      <c r="F111">
        <v>21792486.900568798</v>
      </c>
      <c r="I111">
        <v>53511747.199218802</v>
      </c>
      <c r="J111">
        <v>19249893.2952944</v>
      </c>
      <c r="K111">
        <v>58529273.862355903</v>
      </c>
      <c r="L111">
        <v>-1478310.97496197</v>
      </c>
      <c r="M111">
        <v>11236405.001858201</v>
      </c>
      <c r="P111">
        <v>187755414.421065</v>
      </c>
      <c r="Q111">
        <v>104505996.881488</v>
      </c>
      <c r="R111">
        <v>139408064.920531</v>
      </c>
      <c r="S111">
        <v>-2926380.7384359599</v>
      </c>
      <c r="T111">
        <v>39446625.541630901</v>
      </c>
      <c r="W111">
        <v>126457198.80356</v>
      </c>
      <c r="X111">
        <v>58350763.016044699</v>
      </c>
      <c r="Y111">
        <v>108175655.045591</v>
      </c>
      <c r="Z111">
        <v>-2414787.7476699301</v>
      </c>
      <c r="AA111">
        <v>24126363.6019472</v>
      </c>
    </row>
    <row r="112" spans="2:27" x14ac:dyDescent="0.25">
      <c r="B112">
        <v>717779637.00890696</v>
      </c>
      <c r="C112">
        <v>352841380.82865202</v>
      </c>
      <c r="D112">
        <v>-8733822.6181132309</v>
      </c>
      <c r="E112">
        <v>976247.00325399404</v>
      </c>
      <c r="F112">
        <v>4553402.0867396202</v>
      </c>
      <c r="I112">
        <v>391647075.66714901</v>
      </c>
      <c r="J112">
        <v>154280933.641422</v>
      </c>
      <c r="K112">
        <v>-2953439.83535012</v>
      </c>
      <c r="L112">
        <v>541815.28557509906</v>
      </c>
      <c r="M112">
        <v>2138274.0153309498</v>
      </c>
      <c r="P112">
        <v>1281252903.4456899</v>
      </c>
      <c r="Q112">
        <v>754978805.18777597</v>
      </c>
      <c r="R112">
        <v>-20973742.831946298</v>
      </c>
      <c r="S112">
        <v>1900204.0154303799</v>
      </c>
      <c r="T112">
        <v>9020790.8433256205</v>
      </c>
      <c r="W112">
        <v>836370763.93407094</v>
      </c>
      <c r="X112">
        <v>417860657.52565801</v>
      </c>
      <c r="Y112">
        <v>-14702181.544134401</v>
      </c>
      <c r="Z112">
        <v>1084441.0290548</v>
      </c>
      <c r="AA112">
        <v>5354261.0361670498</v>
      </c>
    </row>
    <row r="113" spans="2:27" x14ac:dyDescent="0.25">
      <c r="B113">
        <v>617485518.26074195</v>
      </c>
      <c r="C113">
        <v>305276434.80510801</v>
      </c>
      <c r="D113">
        <v>-22525116.516792599</v>
      </c>
      <c r="E113">
        <v>1580310.7655062799</v>
      </c>
      <c r="F113">
        <v>4410203.2909374395</v>
      </c>
      <c r="I113">
        <v>338331660.73101503</v>
      </c>
      <c r="J113">
        <v>134228170.75345001</v>
      </c>
      <c r="K113">
        <v>-12631813.616395</v>
      </c>
      <c r="L113">
        <v>865666.11074924294</v>
      </c>
      <c r="M113">
        <v>2201884.0487579</v>
      </c>
      <c r="P113">
        <v>1094689669.0206599</v>
      </c>
      <c r="Q113">
        <v>648081696.380059</v>
      </c>
      <c r="R113">
        <v>-39237489.382159904</v>
      </c>
      <c r="S113">
        <v>2487372.1182279298</v>
      </c>
      <c r="T113">
        <v>8727517.9394525494</v>
      </c>
      <c r="W113">
        <v>715219477.80488396</v>
      </c>
      <c r="X113">
        <v>359672158.742428</v>
      </c>
      <c r="Y113">
        <v>-28835699.566732399</v>
      </c>
      <c r="Z113">
        <v>1753112.14534176</v>
      </c>
      <c r="AA113">
        <v>5449473.3339327304</v>
      </c>
    </row>
    <row r="114" spans="2:27" x14ac:dyDescent="0.25">
      <c r="B114">
        <v>627344983.25966203</v>
      </c>
      <c r="C114">
        <v>310163308.64566201</v>
      </c>
      <c r="D114">
        <v>-21780127.515127402</v>
      </c>
      <c r="E114">
        <v>164684.63434093699</v>
      </c>
      <c r="F114">
        <v>6205640.2177752703</v>
      </c>
      <c r="I114">
        <v>343757563.70561397</v>
      </c>
      <c r="J114">
        <v>136343460.138695</v>
      </c>
      <c r="K114">
        <v>-12758119.815863499</v>
      </c>
      <c r="L114">
        <v>86905.661437865303</v>
      </c>
      <c r="M114">
        <v>3214044.6501862798</v>
      </c>
      <c r="P114">
        <v>1112336319.1838801</v>
      </c>
      <c r="Q114">
        <v>658630982.05061901</v>
      </c>
      <c r="R114">
        <v>-36063724.440031499</v>
      </c>
      <c r="S114">
        <v>219402.94795976501</v>
      </c>
      <c r="T114">
        <v>11835504.708032699</v>
      </c>
      <c r="W114">
        <v>725453469.04472494</v>
      </c>
      <c r="X114">
        <v>364910814.08487099</v>
      </c>
      <c r="Y114">
        <v>-27070709.831837699</v>
      </c>
      <c r="Z114">
        <v>176882.71684808299</v>
      </c>
      <c r="AA114">
        <v>7544353.27302399</v>
      </c>
    </row>
    <row r="115" spans="2:27" x14ac:dyDescent="0.25">
      <c r="B115">
        <v>618764390.07895303</v>
      </c>
      <c r="C115">
        <v>305984695.91810203</v>
      </c>
      <c r="D115">
        <v>-12353854.8785655</v>
      </c>
      <c r="E115">
        <v>-21405.1145281752</v>
      </c>
      <c r="F115">
        <v>6551129.2266221698</v>
      </c>
      <c r="I115">
        <v>339048397.59930599</v>
      </c>
      <c r="J115">
        <v>134506626.024997</v>
      </c>
      <c r="K115">
        <v>-7341791.8554515</v>
      </c>
      <c r="L115">
        <v>-7831.2373627877696</v>
      </c>
      <c r="M115">
        <v>3429676.1991989301</v>
      </c>
      <c r="P115">
        <v>1097586327.98949</v>
      </c>
      <c r="Q115">
        <v>650035180.90502405</v>
      </c>
      <c r="R115">
        <v>-20186106.588895399</v>
      </c>
      <c r="S115">
        <v>-41005.706175085797</v>
      </c>
      <c r="T115">
        <v>12380079.2868382</v>
      </c>
      <c r="W115">
        <v>715418552.441908</v>
      </c>
      <c r="X115">
        <v>359946662.49495602</v>
      </c>
      <c r="Y115">
        <v>-15264900.9523123</v>
      </c>
      <c r="Z115">
        <v>-28770.4985709254</v>
      </c>
      <c r="AA115">
        <v>7978924.79942434</v>
      </c>
    </row>
    <row r="116" spans="2:27" x14ac:dyDescent="0.25">
      <c r="B116">
        <v>619467239.96143603</v>
      </c>
      <c r="C116">
        <v>306372702.63471502</v>
      </c>
      <c r="D116" s="1">
        <v>-6.4086634665727605E-7</v>
      </c>
      <c r="E116" s="1">
        <v>1.40033080242574E-7</v>
      </c>
      <c r="F116">
        <v>6643799.3636640301</v>
      </c>
      <c r="I116">
        <v>339439602.72003603</v>
      </c>
      <c r="J116">
        <v>134683566.36008099</v>
      </c>
      <c r="K116" s="1">
        <v>1.4848774299025501E-7</v>
      </c>
      <c r="L116" s="1">
        <v>-1.47127138916403E-7</v>
      </c>
      <c r="M116">
        <v>3491717.54244143</v>
      </c>
      <c r="P116">
        <v>1099057611.5566001</v>
      </c>
      <c r="Q116">
        <v>650976236.83446503</v>
      </c>
      <c r="R116" s="1">
        <v>-1.3465760275721601E-6</v>
      </c>
      <c r="S116" s="1">
        <v>-8.3859777078032504E-7</v>
      </c>
      <c r="T116">
        <v>12544364.219872201</v>
      </c>
      <c r="W116">
        <v>716149205.29784596</v>
      </c>
      <c r="X116">
        <v>360364351.40541101</v>
      </c>
      <c r="Y116" s="1">
        <v>-3.2192328944802301E-6</v>
      </c>
      <c r="Z116" s="1">
        <v>-8.4983184933662398E-9</v>
      </c>
      <c r="AA116">
        <v>8098558.1368961101</v>
      </c>
    </row>
    <row r="117" spans="2:27" x14ac:dyDescent="0.25">
      <c r="B117">
        <v>618764390.07896399</v>
      </c>
      <c r="C117">
        <v>305984695.91810697</v>
      </c>
      <c r="D117">
        <v>12353854.8785666</v>
      </c>
      <c r="E117">
        <v>21405.114527526799</v>
      </c>
      <c r="F117">
        <v>6551129.2266228599</v>
      </c>
      <c r="I117">
        <v>339048397.59931397</v>
      </c>
      <c r="J117">
        <v>134506626.02500099</v>
      </c>
      <c r="K117">
        <v>7341791.8554528402</v>
      </c>
      <c r="L117">
        <v>7831.23736245291</v>
      </c>
      <c r="M117">
        <v>3429676.1991989701</v>
      </c>
      <c r="P117">
        <v>1097586327.98949</v>
      </c>
      <c r="Q117">
        <v>650035180.90502298</v>
      </c>
      <c r="R117">
        <v>20186106.588897198</v>
      </c>
      <c r="S117">
        <v>41005.706173508697</v>
      </c>
      <c r="T117">
        <v>12380079.2868391</v>
      </c>
      <c r="W117">
        <v>715418552.44191098</v>
      </c>
      <c r="X117">
        <v>359946662.49495697</v>
      </c>
      <c r="Y117">
        <v>15264900.952311199</v>
      </c>
      <c r="Z117">
        <v>28770.498570970001</v>
      </c>
      <c r="AA117">
        <v>7978924.7994249798</v>
      </c>
    </row>
    <row r="118" spans="2:27" x14ac:dyDescent="0.25">
      <c r="B118">
        <v>627344983.25966096</v>
      </c>
      <c r="C118">
        <v>310163308.64566201</v>
      </c>
      <c r="D118">
        <v>21780127.515128199</v>
      </c>
      <c r="E118">
        <v>-164684.63434215001</v>
      </c>
      <c r="F118">
        <v>6205640.2177749099</v>
      </c>
      <c r="I118">
        <v>343757563.70561397</v>
      </c>
      <c r="J118">
        <v>136343460.138695</v>
      </c>
      <c r="K118">
        <v>12758119.815862499</v>
      </c>
      <c r="L118">
        <v>-86905.661437867893</v>
      </c>
      <c r="M118">
        <v>3214044.6501854798</v>
      </c>
      <c r="P118">
        <v>1112336319.1839001</v>
      </c>
      <c r="Q118">
        <v>658630982.050632</v>
      </c>
      <c r="R118">
        <v>36063724.440033197</v>
      </c>
      <c r="S118">
        <v>-219402.94796119299</v>
      </c>
      <c r="T118">
        <v>11835504.7080328</v>
      </c>
      <c r="W118">
        <v>725453469.04471505</v>
      </c>
      <c r="X118">
        <v>364910814.08486599</v>
      </c>
      <c r="Y118">
        <v>27070709.831840999</v>
      </c>
      <c r="Z118">
        <v>-176882.716849155</v>
      </c>
      <c r="AA118">
        <v>7544353.2730229702</v>
      </c>
    </row>
    <row r="119" spans="2:27" x14ac:dyDescent="0.25">
      <c r="B119">
        <v>617485518.26073897</v>
      </c>
      <c r="C119">
        <v>305276434.805107</v>
      </c>
      <c r="D119">
        <v>22525116.516792301</v>
      </c>
      <c r="E119">
        <v>-1580310.7655060601</v>
      </c>
      <c r="F119">
        <v>4410203.2909369403</v>
      </c>
      <c r="I119">
        <v>338331660.73101801</v>
      </c>
      <c r="J119">
        <v>134228170.75345099</v>
      </c>
      <c r="K119">
        <v>12631813.6163921</v>
      </c>
      <c r="L119">
        <v>-865666.11074921896</v>
      </c>
      <c r="M119">
        <v>2201884.0487578898</v>
      </c>
      <c r="P119">
        <v>1094689669.0206499</v>
      </c>
      <c r="Q119">
        <v>648081696.38005197</v>
      </c>
      <c r="R119">
        <v>39237489.382156201</v>
      </c>
      <c r="S119">
        <v>-2487372.1182287601</v>
      </c>
      <c r="T119">
        <v>8727517.9394515008</v>
      </c>
      <c r="W119">
        <v>715219477.80488598</v>
      </c>
      <c r="X119">
        <v>359672158.74242902</v>
      </c>
      <c r="Y119">
        <v>28835699.566732801</v>
      </c>
      <c r="Z119">
        <v>-1753112.1453420401</v>
      </c>
      <c r="AA119">
        <v>5449473.3339348296</v>
      </c>
    </row>
    <row r="120" spans="2:27" x14ac:dyDescent="0.25">
      <c r="B120">
        <v>717779637.00890899</v>
      </c>
      <c r="C120">
        <v>352841380.82865399</v>
      </c>
      <c r="D120">
        <v>8733822.6181127094</v>
      </c>
      <c r="E120">
        <v>-976247.00325423898</v>
      </c>
      <c r="F120">
        <v>4553402.0867408002</v>
      </c>
      <c r="I120">
        <v>391647075.66715199</v>
      </c>
      <c r="J120">
        <v>154280933.64142299</v>
      </c>
      <c r="K120">
        <v>2953439.8353498299</v>
      </c>
      <c r="L120">
        <v>-541815.28557559999</v>
      </c>
      <c r="M120">
        <v>2138274.0153323198</v>
      </c>
      <c r="P120">
        <v>1281252903.4456999</v>
      </c>
      <c r="Q120">
        <v>754978805.187783</v>
      </c>
      <c r="R120">
        <v>20973742.831945501</v>
      </c>
      <c r="S120">
        <v>-1900204.0154309999</v>
      </c>
      <c r="T120">
        <v>9020790.8433285002</v>
      </c>
      <c r="W120">
        <v>836370763.934075</v>
      </c>
      <c r="X120">
        <v>417860657.52565998</v>
      </c>
      <c r="Y120">
        <v>14702181.544135001</v>
      </c>
      <c r="Z120">
        <v>-1084441.02905492</v>
      </c>
      <c r="AA120">
        <v>5354261.0361690503</v>
      </c>
    </row>
    <row r="121" spans="2:27" x14ac:dyDescent="0.25">
      <c r="B121">
        <v>101417789.60864601</v>
      </c>
      <c r="C121">
        <v>46456758.181973003</v>
      </c>
      <c r="D121">
        <v>-94496434.539677307</v>
      </c>
      <c r="E121">
        <v>2204652.4794558599</v>
      </c>
      <c r="F121">
        <v>21792486.900571</v>
      </c>
      <c r="I121">
        <v>53511747.199217699</v>
      </c>
      <c r="J121">
        <v>19249893.295294099</v>
      </c>
      <c r="K121">
        <v>-58529273.862352997</v>
      </c>
      <c r="L121">
        <v>1478310.9749620401</v>
      </c>
      <c r="M121">
        <v>11236405.001858599</v>
      </c>
      <c r="P121">
        <v>187755414.421065</v>
      </c>
      <c r="Q121">
        <v>104505996.881488</v>
      </c>
      <c r="R121">
        <v>-139408064.92052901</v>
      </c>
      <c r="S121">
        <v>2926380.7384354002</v>
      </c>
      <c r="T121">
        <v>39446625.541633397</v>
      </c>
      <c r="W121">
        <v>126457198.803562</v>
      </c>
      <c r="X121">
        <v>58350763.016045503</v>
      </c>
      <c r="Y121">
        <v>-108175655.045588</v>
      </c>
      <c r="Z121">
        <v>2414787.7476700102</v>
      </c>
      <c r="AA121">
        <v>24126363.601950198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topLeftCell="M50" workbookViewId="0">
      <selection activeCell="S56" sqref="S56:S66"/>
    </sheetView>
  </sheetViews>
  <sheetFormatPr defaultRowHeight="14" x14ac:dyDescent="0.25"/>
  <cols>
    <col min="4" max="4" width="10.453125" customWidth="1"/>
    <col min="5" max="5" width="11.26953125" customWidth="1"/>
    <col min="6" max="6" width="10.6328125" customWidth="1"/>
    <col min="11" max="11" width="10.36328125" customWidth="1"/>
    <col min="12" max="12" width="11.1796875" customWidth="1"/>
    <col min="13" max="13" width="10.453125" customWidth="1"/>
    <col min="19" max="20" width="10.26953125" customWidth="1"/>
    <col min="27" max="27" width="11" customWidth="1"/>
    <col min="34" max="37" width="10.26953125" bestFit="1" customWidth="1"/>
  </cols>
  <sheetData>
    <row r="1" spans="1:37" x14ac:dyDescent="0.25">
      <c r="A1" s="2" t="s">
        <v>210</v>
      </c>
      <c r="B1">
        <v>137011110.142048</v>
      </c>
      <c r="C1">
        <v>62120716.440688103</v>
      </c>
      <c r="D1">
        <v>-121870311.79963499</v>
      </c>
      <c r="E1">
        <v>-1824180.31233386</v>
      </c>
      <c r="F1">
        <v>-19890579.7550947</v>
      </c>
      <c r="H1" s="2" t="s">
        <v>211</v>
      </c>
      <c r="I1">
        <v>72524998.142043397</v>
      </c>
      <c r="J1">
        <v>25591574.499374099</v>
      </c>
      <c r="K1">
        <v>-73949073.323663607</v>
      </c>
      <c r="L1">
        <v>-1296558.1332965901</v>
      </c>
      <c r="M1">
        <v>-9165655.0296895094</v>
      </c>
      <c r="P1" s="2" t="s">
        <v>212</v>
      </c>
      <c r="Q1">
        <v>248477413.30435699</v>
      </c>
      <c r="R1">
        <v>137388161.417377</v>
      </c>
      <c r="S1">
        <v>-177510615.11922899</v>
      </c>
      <c r="T1">
        <v>-2471945.4559388999</v>
      </c>
      <c r="U1">
        <v>-37866557.071298502</v>
      </c>
      <c r="X1" s="2" t="s">
        <v>213</v>
      </c>
      <c r="Y1">
        <v>306332042.41003102</v>
      </c>
      <c r="Z1">
        <v>136684596.256428</v>
      </c>
      <c r="AA1">
        <v>-218561647.339443</v>
      </c>
      <c r="AB1">
        <v>2044613.40741435</v>
      </c>
      <c r="AC1">
        <v>7021717.5482229097</v>
      </c>
      <c r="AH1" s="4"/>
      <c r="AI1" s="4"/>
      <c r="AJ1" s="4"/>
      <c r="AK1" s="4"/>
    </row>
    <row r="2" spans="1:37" x14ac:dyDescent="0.25">
      <c r="B2">
        <v>828452294.63388097</v>
      </c>
      <c r="C2">
        <v>405874286.53516102</v>
      </c>
      <c r="D2">
        <v>13031939.1244769</v>
      </c>
      <c r="E2">
        <v>850300.35090838501</v>
      </c>
      <c r="F2">
        <v>-4086926.08837122</v>
      </c>
      <c r="I2">
        <v>436774960.935054</v>
      </c>
      <c r="J2">
        <v>171104510.11927301</v>
      </c>
      <c r="K2">
        <v>5766795.5937225204</v>
      </c>
      <c r="L2">
        <v>443208.05827784998</v>
      </c>
      <c r="M2">
        <v>-1612063.18059297</v>
      </c>
      <c r="Q2">
        <v>1481038059.23193</v>
      </c>
      <c r="R2">
        <v>870762573.11491096</v>
      </c>
      <c r="S2">
        <v>28815833.734809998</v>
      </c>
      <c r="T2">
        <v>1752674.25352419</v>
      </c>
      <c r="U2">
        <v>-8785497.2570094503</v>
      </c>
      <c r="Y2">
        <v>1018746779.23666</v>
      </c>
      <c r="Z2">
        <v>498461297.60320401</v>
      </c>
      <c r="AA2">
        <v>46053931.258069798</v>
      </c>
      <c r="AB2">
        <v>-585119.83021279704</v>
      </c>
      <c r="AC2">
        <v>1042196.98117316</v>
      </c>
      <c r="AH2" s="4"/>
      <c r="AI2" s="4"/>
      <c r="AJ2" s="4"/>
      <c r="AK2" s="4"/>
    </row>
    <row r="3" spans="1:37" x14ac:dyDescent="0.25">
      <c r="B3">
        <v>701702898.39407504</v>
      </c>
      <c r="C3">
        <v>346089834.35394001</v>
      </c>
      <c r="D3">
        <v>26742449.432146698</v>
      </c>
      <c r="E3">
        <v>1409520.4542745401</v>
      </c>
      <c r="F3">
        <v>-4311336.2424851097</v>
      </c>
      <c r="I3">
        <v>370004806.62439001</v>
      </c>
      <c r="J3">
        <v>146231413.11634001</v>
      </c>
      <c r="K3">
        <v>14910804.4886533</v>
      </c>
      <c r="L3">
        <v>716806.58685700595</v>
      </c>
      <c r="M3">
        <v>-1987334.73185228</v>
      </c>
      <c r="Q3">
        <v>1249372644.2608099</v>
      </c>
      <c r="R3">
        <v>738551291.83253896</v>
      </c>
      <c r="S3">
        <v>46646167.064236201</v>
      </c>
      <c r="T3">
        <v>2326116.1757090599</v>
      </c>
      <c r="U3">
        <v>-9038432.9947343692</v>
      </c>
      <c r="Y3">
        <v>787247020.49777603</v>
      </c>
      <c r="Z3">
        <v>389824553.11027998</v>
      </c>
      <c r="AA3">
        <v>45316844.313253202</v>
      </c>
      <c r="AB3">
        <v>-764316.05082994001</v>
      </c>
      <c r="AC3">
        <v>-2120822.23051047</v>
      </c>
      <c r="AH3" s="4"/>
      <c r="AI3" s="4"/>
      <c r="AJ3" s="4"/>
      <c r="AK3" s="4"/>
    </row>
    <row r="4" spans="1:37" x14ac:dyDescent="0.25">
      <c r="B4">
        <v>712891714.01617706</v>
      </c>
      <c r="C4">
        <v>351845206.92457598</v>
      </c>
      <c r="D4">
        <v>26142484.029619399</v>
      </c>
      <c r="E4">
        <v>145245.67931360501</v>
      </c>
      <c r="F4">
        <v>-6114421.1882887799</v>
      </c>
      <c r="I4">
        <v>375838105.61433703</v>
      </c>
      <c r="J4">
        <v>148659103.609359</v>
      </c>
      <c r="K4">
        <v>15130079.062751999</v>
      </c>
      <c r="L4">
        <v>66021.877535369204</v>
      </c>
      <c r="M4">
        <v>-2968256.7442515199</v>
      </c>
      <c r="Q4">
        <v>1268942485.9387</v>
      </c>
      <c r="R4">
        <v>750538030.16188395</v>
      </c>
      <c r="S4">
        <v>43171495.872210599</v>
      </c>
      <c r="T4">
        <v>199408.90671740301</v>
      </c>
      <c r="U4">
        <v>-12253053.5988438</v>
      </c>
      <c r="Y4">
        <v>796441215.52160203</v>
      </c>
      <c r="Z4">
        <v>396118993.14782101</v>
      </c>
      <c r="AA4">
        <v>43386095.766692899</v>
      </c>
      <c r="AB4">
        <v>-125567.184019441</v>
      </c>
      <c r="AC4">
        <v>-2946213.3942405898</v>
      </c>
      <c r="AH4" s="4"/>
      <c r="AI4" s="4"/>
      <c r="AJ4" s="4"/>
      <c r="AK4" s="4"/>
    </row>
    <row r="5" spans="1:37" x14ac:dyDescent="0.25">
      <c r="B5">
        <v>703446736.82334495</v>
      </c>
      <c r="C5">
        <v>347263984.59116799</v>
      </c>
      <c r="D5">
        <v>15017179.4921018</v>
      </c>
      <c r="E5">
        <v>-24816.259423130101</v>
      </c>
      <c r="F5">
        <v>-6530619.9878073502</v>
      </c>
      <c r="I5">
        <v>370857344.63266802</v>
      </c>
      <c r="J5">
        <v>146731094.958415</v>
      </c>
      <c r="K5">
        <v>8820957.4731602594</v>
      </c>
      <c r="L5">
        <v>-9236.4857706005005</v>
      </c>
      <c r="M5">
        <v>-3226741.6565342201</v>
      </c>
      <c r="Q5">
        <v>1252485504.36676</v>
      </c>
      <c r="R5">
        <v>740972420.62207496</v>
      </c>
      <c r="S5">
        <v>24391464.750620499</v>
      </c>
      <c r="T5">
        <v>-47436.3939617098</v>
      </c>
      <c r="U5">
        <v>-12923673.9283095</v>
      </c>
      <c r="Y5">
        <v>787469574.89507198</v>
      </c>
      <c r="Z5">
        <v>391838810.74634099</v>
      </c>
      <c r="AA5">
        <v>25647030.8015901</v>
      </c>
      <c r="AB5">
        <v>-44986.967211932802</v>
      </c>
      <c r="AC5">
        <v>-3641616.78937543</v>
      </c>
      <c r="AH5" s="4"/>
      <c r="AI5" s="4"/>
      <c r="AJ5" s="4"/>
      <c r="AK5" s="4"/>
    </row>
    <row r="6" spans="1:37" x14ac:dyDescent="0.25">
      <c r="B6">
        <v>704281021.435166</v>
      </c>
      <c r="C6">
        <v>347728939.89455903</v>
      </c>
      <c r="D6" s="1">
        <v>-2.2282474674284501E-6</v>
      </c>
      <c r="E6" s="1">
        <v>3.23052518069744E-7</v>
      </c>
      <c r="F6">
        <v>-6650132.2927743597</v>
      </c>
      <c r="I6">
        <v>371308911.97035497</v>
      </c>
      <c r="J6">
        <v>146939028.79325601</v>
      </c>
      <c r="K6" s="1">
        <v>2.0015868358313999E-6</v>
      </c>
      <c r="L6" s="1">
        <v>1.9455910660326501E-8</v>
      </c>
      <c r="M6">
        <v>-3306600.4418856399</v>
      </c>
      <c r="Q6">
        <v>1254123655.6951499</v>
      </c>
      <c r="R6">
        <v>742030888.43179905</v>
      </c>
      <c r="S6" s="1">
        <v>-9.8987948149442694E-7</v>
      </c>
      <c r="T6" s="1">
        <v>-2.01049260795116E-7</v>
      </c>
      <c r="U6">
        <v>-13132437.424893999</v>
      </c>
      <c r="Y6">
        <v>788439321.77335298</v>
      </c>
      <c r="Z6">
        <v>392434228.87852901</v>
      </c>
      <c r="AA6" s="1">
        <v>5.5839336710050702E-7</v>
      </c>
      <c r="AB6" s="1">
        <v>3.3210380934178797E-7</v>
      </c>
      <c r="AC6">
        <v>-3890259.5925501701</v>
      </c>
      <c r="AH6" s="4"/>
      <c r="AI6" s="4"/>
      <c r="AJ6" s="4"/>
      <c r="AK6" s="4"/>
    </row>
    <row r="7" spans="1:37" x14ac:dyDescent="0.25">
      <c r="B7">
        <v>703446736.82333899</v>
      </c>
      <c r="C7">
        <v>347263984.59116501</v>
      </c>
      <c r="D7">
        <v>-15017179.492103299</v>
      </c>
      <c r="E7">
        <v>24816.259422105501</v>
      </c>
      <c r="F7">
        <v>-6530619.9878074899</v>
      </c>
      <c r="I7">
        <v>370857344.63267303</v>
      </c>
      <c r="J7">
        <v>146731094.958417</v>
      </c>
      <c r="K7">
        <v>-8820957.4731577002</v>
      </c>
      <c r="L7">
        <v>9236.4857703769994</v>
      </c>
      <c r="M7">
        <v>-3226741.6565341</v>
      </c>
      <c r="Q7">
        <v>1252485504.36677</v>
      </c>
      <c r="R7">
        <v>740972420.62207699</v>
      </c>
      <c r="S7">
        <v>-24391464.7506213</v>
      </c>
      <c r="T7">
        <v>47436.3939612018</v>
      </c>
      <c r="U7">
        <v>-12923673.9283079</v>
      </c>
      <c r="Y7">
        <v>787469574.89507103</v>
      </c>
      <c r="Z7">
        <v>391838810.74634099</v>
      </c>
      <c r="AA7">
        <v>-25647030.801591199</v>
      </c>
      <c r="AB7">
        <v>44986.967211830597</v>
      </c>
      <c r="AC7">
        <v>-3641616.7893746002</v>
      </c>
      <c r="AH7" s="4"/>
      <c r="AI7" s="4"/>
      <c r="AJ7" s="4"/>
      <c r="AK7" s="4"/>
    </row>
    <row r="8" spans="1:37" x14ac:dyDescent="0.25">
      <c r="B8">
        <v>712891714.01618195</v>
      </c>
      <c r="C8">
        <v>351845206.92457902</v>
      </c>
      <c r="D8">
        <v>-26142484.029616199</v>
      </c>
      <c r="E8">
        <v>-145245.67931301001</v>
      </c>
      <c r="F8">
        <v>-6114421.1882887902</v>
      </c>
      <c r="I8">
        <v>375838105.614344</v>
      </c>
      <c r="J8">
        <v>148659103.60936201</v>
      </c>
      <c r="K8">
        <v>-15130079.062751999</v>
      </c>
      <c r="L8">
        <v>-66021.877535232503</v>
      </c>
      <c r="M8">
        <v>-2968256.7442519199</v>
      </c>
      <c r="Q8">
        <v>1268942485.9386899</v>
      </c>
      <c r="R8">
        <v>750538030.16188097</v>
      </c>
      <c r="S8">
        <v>-43171495.8722068</v>
      </c>
      <c r="T8">
        <v>-199408.90671776101</v>
      </c>
      <c r="U8">
        <v>-12253053.598846899</v>
      </c>
      <c r="Y8">
        <v>796441215.52160501</v>
      </c>
      <c r="Z8">
        <v>396118993.14782298</v>
      </c>
      <c r="AA8">
        <v>-43386095.766695298</v>
      </c>
      <c r="AB8">
        <v>125567.184019016</v>
      </c>
      <c r="AC8">
        <v>-2946213.3942403002</v>
      </c>
      <c r="AH8" s="4"/>
      <c r="AI8" s="4"/>
      <c r="AJ8" s="4"/>
      <c r="AK8" s="4"/>
    </row>
    <row r="9" spans="1:37" x14ac:dyDescent="0.25">
      <c r="B9">
        <v>701702898.394081</v>
      </c>
      <c r="C9">
        <v>346089834.35394299</v>
      </c>
      <c r="D9">
        <v>-26742449.4321445</v>
      </c>
      <c r="E9">
        <v>-1409520.45427466</v>
      </c>
      <c r="F9">
        <v>-4311336.2424864797</v>
      </c>
      <c r="I9">
        <v>370004806.62439603</v>
      </c>
      <c r="J9">
        <v>146231413.11634201</v>
      </c>
      <c r="K9">
        <v>-14910804.488655601</v>
      </c>
      <c r="L9">
        <v>-716806.58685683704</v>
      </c>
      <c r="M9">
        <v>-1987334.7318529601</v>
      </c>
      <c r="Q9">
        <v>1249372644.2608099</v>
      </c>
      <c r="R9">
        <v>738551291.83254194</v>
      </c>
      <c r="S9">
        <v>-46646167.064232998</v>
      </c>
      <c r="T9">
        <v>-2326116.17570836</v>
      </c>
      <c r="U9">
        <v>-9038432.9947318509</v>
      </c>
      <c r="Y9">
        <v>787247020.49777603</v>
      </c>
      <c r="Z9">
        <v>389824553.11027998</v>
      </c>
      <c r="AA9">
        <v>-45316844.313261099</v>
      </c>
      <c r="AB9">
        <v>764316.05083125294</v>
      </c>
      <c r="AC9">
        <v>-2120822.2305102199</v>
      </c>
      <c r="AH9" s="4"/>
      <c r="AI9" s="4"/>
      <c r="AJ9" s="4"/>
      <c r="AK9" s="4"/>
    </row>
    <row r="10" spans="1:37" x14ac:dyDescent="0.25">
      <c r="B10">
        <v>828452294.63388395</v>
      </c>
      <c r="C10">
        <v>405874286.53516299</v>
      </c>
      <c r="D10">
        <v>-13031939.1244778</v>
      </c>
      <c r="E10">
        <v>-850300.35090799304</v>
      </c>
      <c r="F10">
        <v>-4086926.0883732899</v>
      </c>
      <c r="I10">
        <v>436774960.935058</v>
      </c>
      <c r="J10">
        <v>171104510.119275</v>
      </c>
      <c r="K10">
        <v>-5766795.5937230904</v>
      </c>
      <c r="L10">
        <v>-443208.058278226</v>
      </c>
      <c r="M10">
        <v>-1612063.18059335</v>
      </c>
      <c r="Q10">
        <v>1481038059.23193</v>
      </c>
      <c r="R10">
        <v>870762573.11491394</v>
      </c>
      <c r="S10">
        <v>-28815833.734806601</v>
      </c>
      <c r="T10">
        <v>-1752674.2535245901</v>
      </c>
      <c r="U10">
        <v>-8785497.2570114397</v>
      </c>
      <c r="Y10">
        <v>1018746779.23669</v>
      </c>
      <c r="Z10">
        <v>498461297.60321701</v>
      </c>
      <c r="AA10">
        <v>-46053931.258070998</v>
      </c>
      <c r="AB10">
        <v>585119.83021311101</v>
      </c>
      <c r="AC10">
        <v>1042196.98117374</v>
      </c>
      <c r="AH10" s="4"/>
      <c r="AI10" s="4"/>
      <c r="AJ10" s="4"/>
      <c r="AK10" s="4"/>
    </row>
    <row r="11" spans="1:37" x14ac:dyDescent="0.25">
      <c r="B11">
        <v>137011110.14204401</v>
      </c>
      <c r="C11">
        <v>62120716.440685697</v>
      </c>
      <c r="D11">
        <v>121870311.799632</v>
      </c>
      <c r="E11">
        <v>1824180.31233306</v>
      </c>
      <c r="F11">
        <v>-19890579.755093701</v>
      </c>
      <c r="I11">
        <v>72524998.142041102</v>
      </c>
      <c r="J11">
        <v>25591574.499373298</v>
      </c>
      <c r="K11">
        <v>73949073.323663607</v>
      </c>
      <c r="L11">
        <v>1296558.13329676</v>
      </c>
      <c r="M11">
        <v>-9165655.0296889208</v>
      </c>
      <c r="Q11">
        <v>248477413.304351</v>
      </c>
      <c r="R11">
        <v>137388161.417373</v>
      </c>
      <c r="S11">
        <v>177510615.11923</v>
      </c>
      <c r="T11">
        <v>2471945.4559388901</v>
      </c>
      <c r="U11">
        <v>-37866557.071298897</v>
      </c>
      <c r="Y11">
        <v>306332042.41002101</v>
      </c>
      <c r="Z11">
        <v>136684596.256423</v>
      </c>
      <c r="AA11">
        <v>218561647.33943999</v>
      </c>
      <c r="AB11">
        <v>-2044613.4074148401</v>
      </c>
      <c r="AC11">
        <v>7021717.5482229097</v>
      </c>
      <c r="AH11" s="4"/>
      <c r="AI11" s="4"/>
      <c r="AJ11" s="4"/>
      <c r="AK11" s="4"/>
    </row>
    <row r="12" spans="1:37" x14ac:dyDescent="0.25">
      <c r="B12">
        <v>82567310.107486293</v>
      </c>
      <c r="C12">
        <v>51710975.356036201</v>
      </c>
      <c r="D12">
        <v>-57158478.490491398</v>
      </c>
      <c r="E12">
        <v>2347777.0796937002</v>
      </c>
      <c r="F12">
        <v>4862580.2877269899</v>
      </c>
      <c r="I12">
        <v>42944280.416914403</v>
      </c>
      <c r="J12">
        <v>23626695.955020301</v>
      </c>
      <c r="K12">
        <v>-34771302.267135203</v>
      </c>
      <c r="L12">
        <v>1033615.05912965</v>
      </c>
      <c r="M12">
        <v>2193136.9995349101</v>
      </c>
      <c r="Q12">
        <v>152261635.17240101</v>
      </c>
      <c r="R12">
        <v>106254144.736632</v>
      </c>
      <c r="S12">
        <v>-85541119.134270102</v>
      </c>
      <c r="T12">
        <v>4308284.7071599402</v>
      </c>
      <c r="U12">
        <v>9561706.7001937404</v>
      </c>
      <c r="Y12">
        <v>170766842.500994</v>
      </c>
      <c r="Z12">
        <v>88976955.726441294</v>
      </c>
      <c r="AA12">
        <v>-163543443.015946</v>
      </c>
      <c r="AB12">
        <v>-1158.5213597443701</v>
      </c>
      <c r="AC12">
        <v>-2813398.5416173702</v>
      </c>
      <c r="AH12" s="4"/>
    </row>
    <row r="13" spans="1:37" x14ac:dyDescent="0.25">
      <c r="B13">
        <v>458999103.321639</v>
      </c>
      <c r="C13">
        <v>218901987.37891299</v>
      </c>
      <c r="D13">
        <v>-14052194.4700037</v>
      </c>
      <c r="E13">
        <v>133374.44228054999</v>
      </c>
      <c r="F13">
        <v>-774431.56415925198</v>
      </c>
      <c r="I13">
        <v>246488211.91288701</v>
      </c>
      <c r="J13">
        <v>93605463.937230602</v>
      </c>
      <c r="K13">
        <v>-9410903.3152223304</v>
      </c>
      <c r="L13">
        <v>6108.4448246913398</v>
      </c>
      <c r="M13">
        <v>-207307.934496275</v>
      </c>
      <c r="Q13">
        <v>815059210.67546701</v>
      </c>
      <c r="R13">
        <v>466236741.83491302</v>
      </c>
      <c r="S13">
        <v>-17074248.784254398</v>
      </c>
      <c r="T13">
        <v>196028.669066779</v>
      </c>
      <c r="U13">
        <v>-1964557.32637581</v>
      </c>
      <c r="Y13">
        <v>985604862.60777795</v>
      </c>
      <c r="Z13">
        <v>437416421.05290699</v>
      </c>
      <c r="AA13">
        <v>-56680921.227779798</v>
      </c>
      <c r="AB13">
        <v>-96291.781309261103</v>
      </c>
      <c r="AC13">
        <v>2704968.7531285398</v>
      </c>
      <c r="AH13" s="4"/>
    </row>
    <row r="14" spans="1:37" x14ac:dyDescent="0.25">
      <c r="B14">
        <v>541506792.72963798</v>
      </c>
      <c r="C14">
        <v>261725253.107858</v>
      </c>
      <c r="D14">
        <v>14554677.6011358</v>
      </c>
      <c r="E14">
        <v>-694555.76426368102</v>
      </c>
      <c r="F14">
        <v>-1706870.9979192601</v>
      </c>
      <c r="I14">
        <v>289663442.25133801</v>
      </c>
      <c r="J14">
        <v>111598128.46383099</v>
      </c>
      <c r="K14">
        <v>7907072.7705063904</v>
      </c>
      <c r="L14">
        <v>-394241.96738855803</v>
      </c>
      <c r="M14">
        <v>-678972.59990971</v>
      </c>
      <c r="Q14">
        <v>949605468.76723397</v>
      </c>
      <c r="R14">
        <v>549864296.18132305</v>
      </c>
      <c r="S14">
        <v>26198235.276207499</v>
      </c>
      <c r="T14">
        <v>-1163067.36121036</v>
      </c>
      <c r="U14">
        <v>-3677994.9941906999</v>
      </c>
      <c r="Y14">
        <v>1041588134.35893</v>
      </c>
      <c r="Z14">
        <v>474317067.46940601</v>
      </c>
      <c r="AA14">
        <v>17970807.560315501</v>
      </c>
      <c r="AB14">
        <v>-196449.189375435</v>
      </c>
      <c r="AC14">
        <v>4702387.3919675304</v>
      </c>
      <c r="AH14" s="4"/>
    </row>
    <row r="15" spans="1:37" x14ac:dyDescent="0.25">
      <c r="B15">
        <v>538564538.85076201</v>
      </c>
      <c r="C15">
        <v>259611776.237845</v>
      </c>
      <c r="D15">
        <v>19349984.2113057</v>
      </c>
      <c r="E15">
        <v>-304902.13873492501</v>
      </c>
      <c r="F15">
        <v>-1415975.525132</v>
      </c>
      <c r="I15">
        <v>287575487.06151497</v>
      </c>
      <c r="J15">
        <v>110102897.98930299</v>
      </c>
      <c r="K15">
        <v>11149805.5114318</v>
      </c>
      <c r="L15">
        <v>-175924.364325526</v>
      </c>
      <c r="M15">
        <v>-598969.34180594503</v>
      </c>
      <c r="Q15">
        <v>938354203.33638597</v>
      </c>
      <c r="R15">
        <v>542872442.43633699</v>
      </c>
      <c r="S15">
        <v>32247413.548637498</v>
      </c>
      <c r="T15">
        <v>-518240.06042373902</v>
      </c>
      <c r="U15">
        <v>-3058066.9171939399</v>
      </c>
      <c r="Y15">
        <v>1036183803.51746</v>
      </c>
      <c r="Z15">
        <v>472718325.997931</v>
      </c>
      <c r="AA15">
        <v>32933802.2513768</v>
      </c>
      <c r="AB15">
        <v>-293351.09163156297</v>
      </c>
      <c r="AC15">
        <v>3998303.37019083</v>
      </c>
    </row>
    <row r="16" spans="1:37" x14ac:dyDescent="0.25">
      <c r="B16">
        <v>531789892.74664098</v>
      </c>
      <c r="C16">
        <v>255453682.39975601</v>
      </c>
      <c r="D16">
        <v>12363593.817248</v>
      </c>
      <c r="E16">
        <v>-140859.731614722</v>
      </c>
      <c r="F16">
        <v>-1655589.37762301</v>
      </c>
      <c r="I16">
        <v>283529517.65814602</v>
      </c>
      <c r="J16">
        <v>107825501.710315</v>
      </c>
      <c r="K16">
        <v>7238512.3245870303</v>
      </c>
      <c r="L16">
        <v>-83440.514961930297</v>
      </c>
      <c r="M16">
        <v>-757482.65954125195</v>
      </c>
      <c r="Q16">
        <v>924323022.55939102</v>
      </c>
      <c r="R16">
        <v>533734488.70957297</v>
      </c>
      <c r="S16">
        <v>20183059.867661301</v>
      </c>
      <c r="T16">
        <v>-244187.75368094799</v>
      </c>
      <c r="U16">
        <v>-3528028.3286073399</v>
      </c>
      <c r="Y16">
        <v>1034913071.60955</v>
      </c>
      <c r="Z16">
        <v>470748991.51610899</v>
      </c>
      <c r="AA16">
        <v>21768880.595451102</v>
      </c>
      <c r="AB16">
        <v>-147166.350821442</v>
      </c>
      <c r="AC16">
        <v>3474806.05589324</v>
      </c>
    </row>
    <row r="17" spans="2:29" x14ac:dyDescent="0.25">
      <c r="B17">
        <v>528731735.15893698</v>
      </c>
      <c r="C17">
        <v>253562707.83131799</v>
      </c>
      <c r="D17" s="1">
        <v>-2.73273690254428E-6</v>
      </c>
      <c r="E17" s="1">
        <v>8.1876805779757005E-8</v>
      </c>
      <c r="F17">
        <v>-1811876.6314806601</v>
      </c>
      <c r="I17">
        <v>281727265.46633399</v>
      </c>
      <c r="J17">
        <v>106817546.980168</v>
      </c>
      <c r="K17" s="1">
        <v>2.50516040978255E-6</v>
      </c>
      <c r="L17" s="1">
        <v>-2.1315145204425802E-9</v>
      </c>
      <c r="M17">
        <v>-848350.79261555604</v>
      </c>
      <c r="Q17">
        <v>918445276.25285697</v>
      </c>
      <c r="R17">
        <v>529799430.85853702</v>
      </c>
      <c r="S17" s="1">
        <v>-1.4224715414457E-6</v>
      </c>
      <c r="T17" s="1">
        <v>4.11291694035754E-8</v>
      </c>
      <c r="U17">
        <v>-3811897.6783692399</v>
      </c>
      <c r="Y17">
        <v>1033963455.83593</v>
      </c>
      <c r="Z17">
        <v>469554180.21247703</v>
      </c>
      <c r="AA17" s="1">
        <v>9.29692760109901E-7</v>
      </c>
      <c r="AB17" s="1">
        <v>-1.46223101182841E-7</v>
      </c>
      <c r="AC17">
        <v>3311389.1429431201</v>
      </c>
    </row>
    <row r="18" spans="2:29" x14ac:dyDescent="0.25">
      <c r="B18">
        <v>531789892.74663198</v>
      </c>
      <c r="C18">
        <v>255453682.39975199</v>
      </c>
      <c r="D18">
        <v>-12363593.8172505</v>
      </c>
      <c r="E18">
        <v>140859.731615058</v>
      </c>
      <c r="F18">
        <v>-1655589.3776219301</v>
      </c>
      <c r="I18">
        <v>283529517.65812802</v>
      </c>
      <c r="J18">
        <v>107825501.71030501</v>
      </c>
      <c r="K18">
        <v>-7238512.32458454</v>
      </c>
      <c r="L18">
        <v>83440.5149618453</v>
      </c>
      <c r="M18">
        <v>-757482.65954180295</v>
      </c>
      <c r="Q18">
        <v>924323022.55940294</v>
      </c>
      <c r="R18">
        <v>533734488.70958298</v>
      </c>
      <c r="S18">
        <v>-20183059.867661402</v>
      </c>
      <c r="T18">
        <v>244187.75368161101</v>
      </c>
      <c r="U18">
        <v>-3528028.3286060798</v>
      </c>
      <c r="Y18">
        <v>1034913071.60957</v>
      </c>
      <c r="Z18">
        <v>470748991.51611698</v>
      </c>
      <c r="AA18">
        <v>-21768880.595449898</v>
      </c>
      <c r="AB18">
        <v>147166.350821214</v>
      </c>
      <c r="AC18">
        <v>3474806.0558937299</v>
      </c>
    </row>
    <row r="19" spans="2:29" x14ac:dyDescent="0.25">
      <c r="B19">
        <v>538564538.85074794</v>
      </c>
      <c r="C19">
        <v>259611776.23783901</v>
      </c>
      <c r="D19">
        <v>-19349984.211302798</v>
      </c>
      <c r="E19">
        <v>304902.13873402798</v>
      </c>
      <c r="F19">
        <v>-1415975.5251316801</v>
      </c>
      <c r="I19">
        <v>287575487.06149399</v>
      </c>
      <c r="J19">
        <v>110102897.989291</v>
      </c>
      <c r="K19">
        <v>-11149805.5114327</v>
      </c>
      <c r="L19">
        <v>175924.36432535501</v>
      </c>
      <c r="M19">
        <v>-598969.34180672199</v>
      </c>
      <c r="Q19">
        <v>938354203.33639503</v>
      </c>
      <c r="R19">
        <v>542872442.43634403</v>
      </c>
      <c r="S19">
        <v>-32247413.548634201</v>
      </c>
      <c r="T19">
        <v>518240.06042377098</v>
      </c>
      <c r="U19">
        <v>-3058066.9171950598</v>
      </c>
      <c r="Y19">
        <v>1036183803.5175</v>
      </c>
      <c r="Z19">
        <v>472718325.99794799</v>
      </c>
      <c r="AA19">
        <v>-32933802.251379699</v>
      </c>
      <c r="AB19">
        <v>293351.09163158399</v>
      </c>
      <c r="AC19">
        <v>3998303.3701901101</v>
      </c>
    </row>
    <row r="20" spans="2:29" x14ac:dyDescent="0.25">
      <c r="B20">
        <v>541506792.72959197</v>
      </c>
      <c r="C20">
        <v>261725253.107831</v>
      </c>
      <c r="D20">
        <v>-14554677.601134401</v>
      </c>
      <c r="E20">
        <v>694555.76426356798</v>
      </c>
      <c r="F20">
        <v>-1706870.9979213399</v>
      </c>
      <c r="I20">
        <v>289663442.25132</v>
      </c>
      <c r="J20">
        <v>111598128.46382099</v>
      </c>
      <c r="K20">
        <v>-7907072.7705079904</v>
      </c>
      <c r="L20">
        <v>394241.96738872898</v>
      </c>
      <c r="M20">
        <v>-678972.59990965505</v>
      </c>
      <c r="Q20">
        <v>949605468.76725805</v>
      </c>
      <c r="R20">
        <v>549864296.18133903</v>
      </c>
      <c r="S20">
        <v>-26198235.276203498</v>
      </c>
      <c r="T20">
        <v>1163067.3612100701</v>
      </c>
      <c r="U20">
        <v>-3677994.99418863</v>
      </c>
      <c r="Y20">
        <v>1041588134.35893</v>
      </c>
      <c r="Z20">
        <v>474317067.46941102</v>
      </c>
      <c r="AA20">
        <v>-17970807.5603237</v>
      </c>
      <c r="AB20">
        <v>196449.189375772</v>
      </c>
      <c r="AC20">
        <v>4702387.3919674503</v>
      </c>
    </row>
    <row r="21" spans="2:29" x14ac:dyDescent="0.25">
      <c r="B21">
        <v>458999103.321612</v>
      </c>
      <c r="C21">
        <v>218901987.37889701</v>
      </c>
      <c r="D21">
        <v>14052194.470003299</v>
      </c>
      <c r="E21">
        <v>-133374.442280905</v>
      </c>
      <c r="F21">
        <v>-774431.56415982405</v>
      </c>
      <c r="I21">
        <v>246488211.91287401</v>
      </c>
      <c r="J21">
        <v>93605463.937225804</v>
      </c>
      <c r="K21">
        <v>9410903.3152220603</v>
      </c>
      <c r="L21">
        <v>-6108.4448247869695</v>
      </c>
      <c r="M21">
        <v>-207307.93449671601</v>
      </c>
      <c r="Q21">
        <v>815059210.67547297</v>
      </c>
      <c r="R21">
        <v>466236741.83491802</v>
      </c>
      <c r="S21">
        <v>17074248.784258001</v>
      </c>
      <c r="T21">
        <v>-196028.66906767801</v>
      </c>
      <c r="U21">
        <v>-1964557.32637566</v>
      </c>
      <c r="Y21">
        <v>985604862.607777</v>
      </c>
      <c r="Z21">
        <v>437416421.05290997</v>
      </c>
      <c r="AA21">
        <v>56680921.227776699</v>
      </c>
      <c r="AB21">
        <v>96291.781308829202</v>
      </c>
      <c r="AC21">
        <v>2704968.7531286101</v>
      </c>
    </row>
    <row r="22" spans="2:29" x14ac:dyDescent="0.25">
      <c r="B22">
        <v>82567310.1074844</v>
      </c>
      <c r="C22">
        <v>51710975.356035598</v>
      </c>
      <c r="D22">
        <v>57158478.490489498</v>
      </c>
      <c r="E22">
        <v>-2347777.0796923102</v>
      </c>
      <c r="F22">
        <v>4862580.2877284205</v>
      </c>
      <c r="I22">
        <v>42944280.416914001</v>
      </c>
      <c r="J22">
        <v>23626695.955020599</v>
      </c>
      <c r="K22">
        <v>34771302.267134897</v>
      </c>
      <c r="L22">
        <v>-1033615.05912915</v>
      </c>
      <c r="M22">
        <v>2193136.99953447</v>
      </c>
      <c r="Q22">
        <v>152261635.1724</v>
      </c>
      <c r="R22">
        <v>106254144.736632</v>
      </c>
      <c r="S22">
        <v>85541119.134271294</v>
      </c>
      <c r="T22">
        <v>-4308284.7071580896</v>
      </c>
      <c r="U22">
        <v>9561706.7001932804</v>
      </c>
      <c r="Y22">
        <v>170766842.50099099</v>
      </c>
      <c r="Z22">
        <v>88976955.726440996</v>
      </c>
      <c r="AA22">
        <v>163543443.01594299</v>
      </c>
      <c r="AB22">
        <v>1158.52136003703</v>
      </c>
      <c r="AC22">
        <v>-2813398.5416180198</v>
      </c>
    </row>
    <row r="23" spans="2:29" x14ac:dyDescent="0.25">
      <c r="B23">
        <v>17640389.963176802</v>
      </c>
      <c r="C23">
        <v>23290274.7087682</v>
      </c>
      <c r="D23">
        <v>-30548823.7814123</v>
      </c>
      <c r="E23">
        <v>310358.04122464999</v>
      </c>
      <c r="F23">
        <v>1322015.3397876199</v>
      </c>
      <c r="I23">
        <v>8474321.8009926397</v>
      </c>
      <c r="J23">
        <v>11972616.3764692</v>
      </c>
      <c r="K23">
        <v>-18346829.964336999</v>
      </c>
      <c r="L23">
        <v>127868.083974461</v>
      </c>
      <c r="M23">
        <v>774359.271843847</v>
      </c>
      <c r="Q23">
        <v>34429086.690047197</v>
      </c>
      <c r="R23">
        <v>42608345.7624579</v>
      </c>
      <c r="S23">
        <v>-46428986.764569201</v>
      </c>
      <c r="T23">
        <v>460453.81244130601</v>
      </c>
      <c r="U23">
        <v>1897695.9840470599</v>
      </c>
      <c r="Y23">
        <v>27869414.237356499</v>
      </c>
      <c r="Z23">
        <v>28750356.848030701</v>
      </c>
      <c r="AA23">
        <v>-94609171.680496603</v>
      </c>
      <c r="AB23">
        <v>1769567.0132279</v>
      </c>
      <c r="AC23">
        <v>-399994.44728705601</v>
      </c>
    </row>
    <row r="24" spans="2:29" x14ac:dyDescent="0.25">
      <c r="B24">
        <v>323846482.61049402</v>
      </c>
      <c r="C24">
        <v>159642687.04720899</v>
      </c>
      <c r="D24">
        <v>-20220724.1563714</v>
      </c>
      <c r="E24">
        <v>191687.64560654599</v>
      </c>
      <c r="F24">
        <v>-1154621.4491991701</v>
      </c>
      <c r="I24">
        <v>174022505.190828</v>
      </c>
      <c r="J24">
        <v>69626790.356320798</v>
      </c>
      <c r="K24">
        <v>-12454252.7486945</v>
      </c>
      <c r="L24">
        <v>33793.445664581101</v>
      </c>
      <c r="M24">
        <v>-592542.27696243604</v>
      </c>
      <c r="Q24">
        <v>571665518.80353606</v>
      </c>
      <c r="R24">
        <v>333627547.31374902</v>
      </c>
      <c r="S24">
        <v>-30482720.478476699</v>
      </c>
      <c r="T24">
        <v>329471.44735684001</v>
      </c>
      <c r="U24">
        <v>-2044334.6111212799</v>
      </c>
      <c r="Y24">
        <v>771614675.75827396</v>
      </c>
      <c r="Z24">
        <v>359528540.33206099</v>
      </c>
      <c r="AA24">
        <v>-63415337.920462601</v>
      </c>
      <c r="AB24">
        <v>801575.76343533199</v>
      </c>
      <c r="AC24">
        <v>1441391.9954233901</v>
      </c>
    </row>
    <row r="25" spans="2:29" x14ac:dyDescent="0.25">
      <c r="B25">
        <v>492160712.71017098</v>
      </c>
      <c r="C25">
        <v>233769651.28485</v>
      </c>
      <c r="D25">
        <v>732615.32095894497</v>
      </c>
      <c r="E25">
        <v>87316.480507738597</v>
      </c>
      <c r="F25">
        <v>269964.669376062</v>
      </c>
      <c r="I25">
        <v>264515086.344731</v>
      </c>
      <c r="J25">
        <v>100115587.27021</v>
      </c>
      <c r="K25">
        <v>-76249.941679458701</v>
      </c>
      <c r="L25">
        <v>-17898.309779478099</v>
      </c>
      <c r="M25">
        <v>224913.06524563601</v>
      </c>
      <c r="Q25">
        <v>865603079.05709195</v>
      </c>
      <c r="R25">
        <v>492076288.65180999</v>
      </c>
      <c r="S25">
        <v>2586732.5578656001</v>
      </c>
      <c r="T25">
        <v>166537.74369285701</v>
      </c>
      <c r="U25">
        <v>418069.40273717197</v>
      </c>
      <c r="Y25">
        <v>1165216302.3297901</v>
      </c>
      <c r="Z25">
        <v>536105025.92250198</v>
      </c>
      <c r="AA25">
        <v>-7937905.1082840404</v>
      </c>
      <c r="AB25">
        <v>-279001.43102596101</v>
      </c>
      <c r="AC25">
        <v>2356478.0214357902</v>
      </c>
    </row>
    <row r="26" spans="2:29" x14ac:dyDescent="0.25">
      <c r="B26">
        <v>542378183.60726297</v>
      </c>
      <c r="C26">
        <v>253656394.58261499</v>
      </c>
      <c r="D26">
        <v>9219470.0322440509</v>
      </c>
      <c r="E26">
        <v>-260478.65740600301</v>
      </c>
      <c r="F26">
        <v>566903.21883711405</v>
      </c>
      <c r="I26">
        <v>290982985.85466999</v>
      </c>
      <c r="J26">
        <v>107384488.340561</v>
      </c>
      <c r="K26">
        <v>5157915.1375471996</v>
      </c>
      <c r="L26">
        <v>-172682.71159066699</v>
      </c>
      <c r="M26">
        <v>384315.662288133</v>
      </c>
      <c r="Q26">
        <v>949028768.36281502</v>
      </c>
      <c r="R26">
        <v>534023554.33058798</v>
      </c>
      <c r="S26">
        <v>15567413.3631397</v>
      </c>
      <c r="T26">
        <v>-459554.8061931</v>
      </c>
      <c r="U26">
        <v>820241.95328614605</v>
      </c>
      <c r="Y26">
        <v>1299605921.2706101</v>
      </c>
      <c r="Z26">
        <v>594008619.53420699</v>
      </c>
      <c r="AA26">
        <v>14175113.1232685</v>
      </c>
      <c r="AB26">
        <v>-430657.68409063399</v>
      </c>
      <c r="AC26">
        <v>3042779.0187299699</v>
      </c>
    </row>
    <row r="27" spans="2:29" x14ac:dyDescent="0.25">
      <c r="B27">
        <v>559224152.66150999</v>
      </c>
      <c r="C27">
        <v>258714398.54203501</v>
      </c>
      <c r="D27">
        <v>7402494.5417032205</v>
      </c>
      <c r="E27">
        <v>-196958.26249591701</v>
      </c>
      <c r="F27">
        <v>339503.70668590203</v>
      </c>
      <c r="I27">
        <v>299504059.978737</v>
      </c>
      <c r="J27">
        <v>108553326.86632299</v>
      </c>
      <c r="K27">
        <v>4264221.0525462497</v>
      </c>
      <c r="L27">
        <v>-121721.93326911</v>
      </c>
      <c r="M27">
        <v>263950.46359957999</v>
      </c>
      <c r="Q27">
        <v>976093663.73807502</v>
      </c>
      <c r="R27">
        <v>545384694.93061197</v>
      </c>
      <c r="S27">
        <v>12105820.7950068</v>
      </c>
      <c r="T27">
        <v>-334394.10457012098</v>
      </c>
      <c r="U27">
        <v>440468.73740218597</v>
      </c>
      <c r="Y27">
        <v>1350206604.22967</v>
      </c>
      <c r="Z27">
        <v>613561038.62656105</v>
      </c>
      <c r="AA27">
        <v>13199734.8494204</v>
      </c>
      <c r="AB27">
        <v>-275137.50203796802</v>
      </c>
      <c r="AC27">
        <v>3284201.2248423798</v>
      </c>
    </row>
    <row r="28" spans="2:29" x14ac:dyDescent="0.25">
      <c r="B28">
        <v>561820435.20368195</v>
      </c>
      <c r="C28">
        <v>258839679.723667</v>
      </c>
      <c r="D28" s="1">
        <v>-1.0562653187662399E-6</v>
      </c>
      <c r="E28" s="1">
        <v>8.8584783952683197E-8</v>
      </c>
      <c r="F28">
        <v>312418.69823351601</v>
      </c>
      <c r="I28">
        <v>300705254.004767</v>
      </c>
      <c r="J28">
        <v>108235534.61728001</v>
      </c>
      <c r="K28" s="1">
        <v>3.5228149499744198E-6</v>
      </c>
      <c r="L28" s="1">
        <v>-5.2157702157273902E-8</v>
      </c>
      <c r="M28">
        <v>246509.16294135599</v>
      </c>
      <c r="Q28">
        <v>979799048.24827302</v>
      </c>
      <c r="R28">
        <v>545969619.97383499</v>
      </c>
      <c r="S28" s="1">
        <v>-3.9989245124161201E-6</v>
      </c>
      <c r="T28" s="1">
        <v>-2.26660631597042E-7</v>
      </c>
      <c r="U28">
        <v>422522.422024792</v>
      </c>
      <c r="Y28">
        <v>1362780042.15698</v>
      </c>
      <c r="Z28">
        <v>617751428.96714199</v>
      </c>
      <c r="AA28" s="1">
        <v>1.8415448721498301E-7</v>
      </c>
      <c r="AB28" s="1">
        <v>-4.64133336208761E-7</v>
      </c>
      <c r="AC28">
        <v>3267863.8594819</v>
      </c>
    </row>
    <row r="29" spans="2:29" x14ac:dyDescent="0.25">
      <c r="B29">
        <v>559224152.66154397</v>
      </c>
      <c r="C29">
        <v>258714398.54205799</v>
      </c>
      <c r="D29">
        <v>-7402494.5417036004</v>
      </c>
      <c r="E29">
        <v>196958.26249596299</v>
      </c>
      <c r="F29">
        <v>339503.70668757602</v>
      </c>
      <c r="I29">
        <v>299504059.97874397</v>
      </c>
      <c r="J29">
        <v>108553326.866318</v>
      </c>
      <c r="K29">
        <v>-4264221.0525446096</v>
      </c>
      <c r="L29">
        <v>121721.933268451</v>
      </c>
      <c r="M29">
        <v>263950.46359985002</v>
      </c>
      <c r="Q29">
        <v>976093663.73808801</v>
      </c>
      <c r="R29">
        <v>545384694.93062794</v>
      </c>
      <c r="S29">
        <v>-12105820.795005299</v>
      </c>
      <c r="T29">
        <v>334394.10457130999</v>
      </c>
      <c r="U29">
        <v>440468.737406481</v>
      </c>
      <c r="Y29">
        <v>1350206604.22965</v>
      </c>
      <c r="Z29">
        <v>613561038.62655306</v>
      </c>
      <c r="AA29">
        <v>-13199734.8494223</v>
      </c>
      <c r="AB29">
        <v>275137.50203710201</v>
      </c>
      <c r="AC29">
        <v>3284201.2248439598</v>
      </c>
    </row>
    <row r="30" spans="2:29" x14ac:dyDescent="0.25">
      <c r="B30">
        <v>542378183.607252</v>
      </c>
      <c r="C30">
        <v>253656394.582607</v>
      </c>
      <c r="D30">
        <v>-9219470.0322448798</v>
      </c>
      <c r="E30">
        <v>260478.65740537399</v>
      </c>
      <c r="F30">
        <v>566903.21883639297</v>
      </c>
      <c r="I30">
        <v>290982985.85462999</v>
      </c>
      <c r="J30">
        <v>107384488.34053899</v>
      </c>
      <c r="K30">
        <v>-5157915.1375514297</v>
      </c>
      <c r="L30">
        <v>172682.71159092401</v>
      </c>
      <c r="M30">
        <v>384315.66228704201</v>
      </c>
      <c r="Q30">
        <v>949028768.36288202</v>
      </c>
      <c r="R30">
        <v>534023554.33063501</v>
      </c>
      <c r="S30">
        <v>-15567413.3631343</v>
      </c>
      <c r="T30">
        <v>459554.806192177</v>
      </c>
      <c r="U30">
        <v>820241.95328583696</v>
      </c>
      <c r="Y30">
        <v>1299605921.27057</v>
      </c>
      <c r="Z30">
        <v>594008619.53417897</v>
      </c>
      <c r="AA30">
        <v>-14175113.123270201</v>
      </c>
      <c r="AB30">
        <v>430657.68408925901</v>
      </c>
      <c r="AC30">
        <v>3042779.0187327499</v>
      </c>
    </row>
    <row r="31" spans="2:29" x14ac:dyDescent="0.25">
      <c r="B31">
        <v>492160712.71014601</v>
      </c>
      <c r="C31">
        <v>233769651.28483501</v>
      </c>
      <c r="D31">
        <v>-732615.32096030004</v>
      </c>
      <c r="E31">
        <v>-87316.480507600107</v>
      </c>
      <c r="F31">
        <v>269964.669374611</v>
      </c>
      <c r="I31">
        <v>264515086.344679</v>
      </c>
      <c r="J31">
        <v>100115587.27018701</v>
      </c>
      <c r="K31">
        <v>76249.9416782435</v>
      </c>
      <c r="L31">
        <v>17898.309779599502</v>
      </c>
      <c r="M31">
        <v>224913.06524558901</v>
      </c>
      <c r="Q31">
        <v>865603079.05709195</v>
      </c>
      <c r="R31">
        <v>492076288.65180701</v>
      </c>
      <c r="S31">
        <v>-2586732.5578624601</v>
      </c>
      <c r="T31">
        <v>-166537.74369226099</v>
      </c>
      <c r="U31">
        <v>418069.40273512399</v>
      </c>
      <c r="Y31">
        <v>1165216302.3297901</v>
      </c>
      <c r="Z31">
        <v>536105025.92250299</v>
      </c>
      <c r="AA31">
        <v>7937905.1082782904</v>
      </c>
      <c r="AB31">
        <v>279001.43102711299</v>
      </c>
      <c r="AC31">
        <v>2356478.0214357101</v>
      </c>
    </row>
    <row r="32" spans="2:29" x14ac:dyDescent="0.25">
      <c r="B32">
        <v>323846482.610457</v>
      </c>
      <c r="C32">
        <v>159642687.04718599</v>
      </c>
      <c r="D32">
        <v>20220724.1563721</v>
      </c>
      <c r="E32">
        <v>-191687.64560723599</v>
      </c>
      <c r="F32">
        <v>-1154621.4491991799</v>
      </c>
      <c r="I32">
        <v>174022505.19080299</v>
      </c>
      <c r="J32">
        <v>69626790.356311202</v>
      </c>
      <c r="K32">
        <v>12454252.748695601</v>
      </c>
      <c r="L32">
        <v>-33793.445664766703</v>
      </c>
      <c r="M32">
        <v>-592542.276962679</v>
      </c>
      <c r="Q32">
        <v>571665518.80356896</v>
      </c>
      <c r="R32">
        <v>333627547.31377</v>
      </c>
      <c r="S32">
        <v>30482720.478477798</v>
      </c>
      <c r="T32">
        <v>-329471.44735741999</v>
      </c>
      <c r="U32">
        <v>-2044334.6111218799</v>
      </c>
      <c r="Y32">
        <v>771614675.75830495</v>
      </c>
      <c r="Z32">
        <v>359528540.332084</v>
      </c>
      <c r="AA32">
        <v>63415337.920461603</v>
      </c>
      <c r="AB32">
        <v>-801575.76343655295</v>
      </c>
      <c r="AC32">
        <v>1441391.99542312</v>
      </c>
    </row>
    <row r="33" spans="2:29" x14ac:dyDescent="0.25">
      <c r="B33">
        <v>17640389.963175699</v>
      </c>
      <c r="C33">
        <v>23290274.708768599</v>
      </c>
      <c r="D33">
        <v>30548823.781412601</v>
      </c>
      <c r="E33">
        <v>-310358.04122279701</v>
      </c>
      <c r="F33">
        <v>1322015.33978908</v>
      </c>
      <c r="I33">
        <v>8474321.8009921405</v>
      </c>
      <c r="J33">
        <v>11972616.376468699</v>
      </c>
      <c r="K33">
        <v>18346829.964337301</v>
      </c>
      <c r="L33">
        <v>-127868.08397365701</v>
      </c>
      <c r="M33">
        <v>774359.271844459</v>
      </c>
      <c r="Q33">
        <v>34429086.690046698</v>
      </c>
      <c r="R33">
        <v>42608345.762458198</v>
      </c>
      <c r="S33">
        <v>46428986.764567897</v>
      </c>
      <c r="T33">
        <v>-460453.81243929203</v>
      </c>
      <c r="U33">
        <v>1897695.9840488399</v>
      </c>
      <c r="Y33">
        <v>27869414.237355102</v>
      </c>
      <c r="Z33">
        <v>28750356.848028701</v>
      </c>
      <c r="AA33">
        <v>94609171.680492997</v>
      </c>
      <c r="AB33">
        <v>-1769567.0132267701</v>
      </c>
      <c r="AC33">
        <v>-399994.44728725997</v>
      </c>
    </row>
    <row r="34" spans="2:29" x14ac:dyDescent="0.25">
      <c r="B34">
        <v>13430845.882374501</v>
      </c>
      <c r="C34">
        <v>20800995.881710701</v>
      </c>
      <c r="D34">
        <v>-18418108.5336437</v>
      </c>
      <c r="E34">
        <v>497236.08461165801</v>
      </c>
      <c r="F34">
        <v>-169532.34297492399</v>
      </c>
      <c r="I34">
        <v>6126144.6181847304</v>
      </c>
      <c r="J34">
        <v>10788699.362721</v>
      </c>
      <c r="K34">
        <v>-10945547.283051001</v>
      </c>
      <c r="L34">
        <v>207392.07916092101</v>
      </c>
      <c r="M34">
        <v>-84033.446842374906</v>
      </c>
      <c r="Q34">
        <v>27033703.4894877</v>
      </c>
      <c r="R34">
        <v>37624471.179110996</v>
      </c>
      <c r="S34">
        <v>-28896307.3830477</v>
      </c>
      <c r="T34">
        <v>841400.94219425705</v>
      </c>
      <c r="U34">
        <v>-385893.29554805701</v>
      </c>
      <c r="Y34">
        <v>21863415.732390501</v>
      </c>
      <c r="Z34">
        <v>26588366.9687142</v>
      </c>
      <c r="AA34">
        <v>-51408245.465775497</v>
      </c>
      <c r="AB34">
        <v>1461165.1637595401</v>
      </c>
      <c r="AC34">
        <v>582741.77192583098</v>
      </c>
    </row>
    <row r="35" spans="2:29" x14ac:dyDescent="0.25">
      <c r="B35">
        <v>273244262.565265</v>
      </c>
      <c r="C35">
        <v>137458738.94851699</v>
      </c>
      <c r="D35">
        <v>-14092099.7524438</v>
      </c>
      <c r="E35">
        <v>378606.58177122101</v>
      </c>
      <c r="F35">
        <v>-57321.9121172331</v>
      </c>
      <c r="I35">
        <v>146491892.74478701</v>
      </c>
      <c r="J35">
        <v>60378737.452188797</v>
      </c>
      <c r="K35">
        <v>-8557703.4195562992</v>
      </c>
      <c r="L35">
        <v>148992.470709908</v>
      </c>
      <c r="M35">
        <v>-40454.586172080497</v>
      </c>
      <c r="Q35">
        <v>484063054.62430298</v>
      </c>
      <c r="R35">
        <v>286200291.82108802</v>
      </c>
      <c r="S35">
        <v>-22024781.000997301</v>
      </c>
      <c r="T35">
        <v>637845.73267397203</v>
      </c>
      <c r="U35">
        <v>-16909.6627856503</v>
      </c>
      <c r="Y35">
        <v>660974983.47480702</v>
      </c>
      <c r="Z35">
        <v>318727021.61021</v>
      </c>
      <c r="AA35">
        <v>-39399424.238881499</v>
      </c>
      <c r="AB35">
        <v>1051790.4307850699</v>
      </c>
      <c r="AC35">
        <v>-112098.250946177</v>
      </c>
    </row>
    <row r="36" spans="2:29" x14ac:dyDescent="0.25">
      <c r="B36">
        <v>464277912.17815399</v>
      </c>
      <c r="C36">
        <v>221260886.19403201</v>
      </c>
      <c r="D36">
        <v>-4027422.5715189702</v>
      </c>
      <c r="E36">
        <v>-9483.5945571578704</v>
      </c>
      <c r="F36">
        <v>224530.578970061</v>
      </c>
      <c r="I36">
        <v>250021672.90281501</v>
      </c>
      <c r="J36">
        <v>95425262.731018499</v>
      </c>
      <c r="K36">
        <v>-2722611.0719008199</v>
      </c>
      <c r="L36">
        <v>-52190.065074014798</v>
      </c>
      <c r="M36">
        <v>135569.26404697401</v>
      </c>
      <c r="Q36">
        <v>820195073.35655797</v>
      </c>
      <c r="R36">
        <v>466384998.657336</v>
      </c>
      <c r="S36">
        <v>-6055204.5657787798</v>
      </c>
      <c r="T36">
        <v>-38905.199945589397</v>
      </c>
      <c r="U36">
        <v>428883.67958627798</v>
      </c>
      <c r="Y36">
        <v>1130401656.35379</v>
      </c>
      <c r="Z36">
        <v>530817531.792849</v>
      </c>
      <c r="AA36">
        <v>-13887445.1383148</v>
      </c>
      <c r="AB36">
        <v>331229.24389603402</v>
      </c>
      <c r="AC36">
        <v>617312.16361072205</v>
      </c>
    </row>
    <row r="37" spans="2:29" x14ac:dyDescent="0.25">
      <c r="B37">
        <v>569363106.06088698</v>
      </c>
      <c r="C37">
        <v>264872359.84026</v>
      </c>
      <c r="D37">
        <v>2418712.0470589702</v>
      </c>
      <c r="E37">
        <v>-233097.21924639601</v>
      </c>
      <c r="F37">
        <v>394979.28548814502</v>
      </c>
      <c r="I37">
        <v>306769976.32625097</v>
      </c>
      <c r="J37">
        <v>112817058.299578</v>
      </c>
      <c r="K37">
        <v>1172151.8200201299</v>
      </c>
      <c r="L37">
        <v>-162753.39676739799</v>
      </c>
      <c r="M37">
        <v>257364.00573048199</v>
      </c>
      <c r="Q37">
        <v>1004500405.18516</v>
      </c>
      <c r="R37">
        <v>561829528.17450202</v>
      </c>
      <c r="S37">
        <v>4080916.4452786301</v>
      </c>
      <c r="T37">
        <v>-388143.78795613197</v>
      </c>
      <c r="U37">
        <v>737163.00735909701</v>
      </c>
      <c r="Y37">
        <v>1390367942.47823</v>
      </c>
      <c r="Z37">
        <v>644519270.34635699</v>
      </c>
      <c r="AA37">
        <v>2827211.7943784301</v>
      </c>
      <c r="AB37">
        <v>-151908.46135316201</v>
      </c>
      <c r="AC37">
        <v>1480113.8225234</v>
      </c>
    </row>
    <row r="38" spans="2:29" x14ac:dyDescent="0.25">
      <c r="B38">
        <v>616864965.83745301</v>
      </c>
      <c r="C38">
        <v>282876246.615282</v>
      </c>
      <c r="D38">
        <v>3153705.868789</v>
      </c>
      <c r="E38">
        <v>-165580.82476703799</v>
      </c>
      <c r="F38">
        <v>670339.34652724396</v>
      </c>
      <c r="I38">
        <v>332293996.38647598</v>
      </c>
      <c r="J38">
        <v>119423044.32789899</v>
      </c>
      <c r="K38">
        <v>1741332.39996371</v>
      </c>
      <c r="L38">
        <v>-109470.531788889</v>
      </c>
      <c r="M38">
        <v>402988.01857625699</v>
      </c>
      <c r="Q38">
        <v>1086940681.95647</v>
      </c>
      <c r="R38">
        <v>602208964.36000395</v>
      </c>
      <c r="S38">
        <v>5137610.2321674004</v>
      </c>
      <c r="T38">
        <v>-273225.50013125601</v>
      </c>
      <c r="U38">
        <v>1253599.89678236</v>
      </c>
      <c r="Y38">
        <v>1512057354.6740501</v>
      </c>
      <c r="Z38">
        <v>694982719.45142305</v>
      </c>
      <c r="AA38">
        <v>6009787.3517652899</v>
      </c>
      <c r="AB38">
        <v>-224151.693267366</v>
      </c>
      <c r="AC38">
        <v>1720083.24022311</v>
      </c>
    </row>
    <row r="39" spans="2:29" x14ac:dyDescent="0.25">
      <c r="B39">
        <v>629645273.90069604</v>
      </c>
      <c r="C39">
        <v>287272316.85425198</v>
      </c>
      <c r="D39" s="1">
        <v>1.81566792889498E-6</v>
      </c>
      <c r="E39" s="1">
        <v>7.4804120231419802E-8</v>
      </c>
      <c r="F39">
        <v>754984.34928005305</v>
      </c>
      <c r="I39">
        <v>339131679.39751899</v>
      </c>
      <c r="J39">
        <v>120878258.30447599</v>
      </c>
      <c r="K39" s="1">
        <v>2.9016373446211202E-6</v>
      </c>
      <c r="L39" s="1">
        <v>-5.1919050747528704E-7</v>
      </c>
      <c r="M39">
        <v>446303.91141047201</v>
      </c>
      <c r="Q39">
        <v>1109116727.6998401</v>
      </c>
      <c r="R39">
        <v>612455331.18319499</v>
      </c>
      <c r="S39" s="1">
        <v>-1.97498593479395E-6</v>
      </c>
      <c r="T39" s="1">
        <v>1.21939228847623E-6</v>
      </c>
      <c r="U39">
        <v>1391426.14944274</v>
      </c>
      <c r="Y39">
        <v>1546878954.2523301</v>
      </c>
      <c r="Z39">
        <v>708716709.68965197</v>
      </c>
      <c r="AA39" s="1">
        <v>5.9026497183367602E-6</v>
      </c>
      <c r="AB39" s="1">
        <v>-1.2291275197640099E-6</v>
      </c>
      <c r="AC39">
        <v>1757344.67048869</v>
      </c>
    </row>
    <row r="40" spans="2:29" x14ac:dyDescent="0.25">
      <c r="B40">
        <v>616864965.837448</v>
      </c>
      <c r="C40">
        <v>282876246.61528301</v>
      </c>
      <c r="D40">
        <v>-3153705.8687885799</v>
      </c>
      <c r="E40">
        <v>165580.82476662999</v>
      </c>
      <c r="F40">
        <v>670339.34652769403</v>
      </c>
      <c r="I40">
        <v>332293996.38641202</v>
      </c>
      <c r="J40">
        <v>119423044.327856</v>
      </c>
      <c r="K40">
        <v>-1741332.3999617901</v>
      </c>
      <c r="L40">
        <v>109470.53178915499</v>
      </c>
      <c r="M40">
        <v>402988.01857485302</v>
      </c>
      <c r="Q40">
        <v>1086940681.9565001</v>
      </c>
      <c r="R40">
        <v>602208964.36003494</v>
      </c>
      <c r="S40">
        <v>-5137610.2321677497</v>
      </c>
      <c r="T40">
        <v>273225.50013043801</v>
      </c>
      <c r="U40">
        <v>1253599.8967808699</v>
      </c>
      <c r="Y40">
        <v>1512057354.6740799</v>
      </c>
      <c r="Z40">
        <v>694982719.45142996</v>
      </c>
      <c r="AA40">
        <v>-6009787.35176099</v>
      </c>
      <c r="AB40">
        <v>224151.69326892</v>
      </c>
      <c r="AC40">
        <v>1720083.24021657</v>
      </c>
    </row>
    <row r="41" spans="2:29" x14ac:dyDescent="0.25">
      <c r="B41">
        <v>569363106.06086802</v>
      </c>
      <c r="C41">
        <v>264872359.84024599</v>
      </c>
      <c r="D41">
        <v>-2418712.04706374</v>
      </c>
      <c r="E41">
        <v>233097.219245377</v>
      </c>
      <c r="F41">
        <v>394979.28548695397</v>
      </c>
      <c r="I41">
        <v>306769976.32621598</v>
      </c>
      <c r="J41">
        <v>112817058.299558</v>
      </c>
      <c r="K41">
        <v>-1172151.8200231399</v>
      </c>
      <c r="L41">
        <v>162753.396767828</v>
      </c>
      <c r="M41">
        <v>257364.00572906199</v>
      </c>
      <c r="Q41">
        <v>1004500405.18511</v>
      </c>
      <c r="R41">
        <v>561829528.17447603</v>
      </c>
      <c r="S41">
        <v>-4080916.4452753798</v>
      </c>
      <c r="T41">
        <v>388143.787955345</v>
      </c>
      <c r="U41">
        <v>737163.00736092497</v>
      </c>
      <c r="Y41">
        <v>1390367942.47825</v>
      </c>
      <c r="Z41">
        <v>644519270.34635997</v>
      </c>
      <c r="AA41">
        <v>-2827211.7943814001</v>
      </c>
      <c r="AB41">
        <v>151908.46135313399</v>
      </c>
      <c r="AC41">
        <v>1480113.82251709</v>
      </c>
    </row>
    <row r="42" spans="2:29" x14ac:dyDescent="0.25">
      <c r="B42">
        <v>464277912.178123</v>
      </c>
      <c r="C42">
        <v>221260886.19401601</v>
      </c>
      <c r="D42">
        <v>4027422.5715154698</v>
      </c>
      <c r="E42">
        <v>9483.5945588064606</v>
      </c>
      <c r="F42">
        <v>224530.57897248099</v>
      </c>
      <c r="I42">
        <v>250021672.90278399</v>
      </c>
      <c r="J42">
        <v>95425262.731006101</v>
      </c>
      <c r="K42">
        <v>2722611.0718986299</v>
      </c>
      <c r="L42">
        <v>52190.065074471597</v>
      </c>
      <c r="M42">
        <v>135569.264046884</v>
      </c>
      <c r="Q42">
        <v>820195073.35659599</v>
      </c>
      <c r="R42">
        <v>466384998.65735799</v>
      </c>
      <c r="S42">
        <v>6055204.5657816799</v>
      </c>
      <c r="T42">
        <v>38905.199945622502</v>
      </c>
      <c r="U42">
        <v>428883.67958578002</v>
      </c>
      <c r="Y42">
        <v>1130401656.3538101</v>
      </c>
      <c r="Z42">
        <v>530817531.792862</v>
      </c>
      <c r="AA42">
        <v>13887445.1383093</v>
      </c>
      <c r="AB42">
        <v>-331229.24389557599</v>
      </c>
      <c r="AC42">
        <v>617312.16360700305</v>
      </c>
    </row>
    <row r="43" spans="2:29" x14ac:dyDescent="0.25">
      <c r="B43">
        <v>273244262.56524003</v>
      </c>
      <c r="C43">
        <v>137458738.948504</v>
      </c>
      <c r="D43">
        <v>14092099.752446201</v>
      </c>
      <c r="E43">
        <v>-378606.58177227201</v>
      </c>
      <c r="F43">
        <v>-57321.912116381602</v>
      </c>
      <c r="I43">
        <v>146491892.74477601</v>
      </c>
      <c r="J43">
        <v>60378737.452185899</v>
      </c>
      <c r="K43">
        <v>8557703.4195570499</v>
      </c>
      <c r="L43">
        <v>-148992.47071037401</v>
      </c>
      <c r="M43">
        <v>-40454.586171773699</v>
      </c>
      <c r="Q43">
        <v>484063054.62431097</v>
      </c>
      <c r="R43">
        <v>286200291.82109201</v>
      </c>
      <c r="S43">
        <v>22024781.000997499</v>
      </c>
      <c r="T43">
        <v>-637845.73267481301</v>
      </c>
      <c r="U43">
        <v>-16909.662786794801</v>
      </c>
      <c r="Y43">
        <v>660974983.47478795</v>
      </c>
      <c r="Z43">
        <v>318727021.61020601</v>
      </c>
      <c r="AA43">
        <v>39399424.238875702</v>
      </c>
      <c r="AB43">
        <v>-1051790.43078672</v>
      </c>
      <c r="AC43">
        <v>-112098.25094901701</v>
      </c>
    </row>
    <row r="44" spans="2:29" x14ac:dyDescent="0.25">
      <c r="B44">
        <v>13430845.8823746</v>
      </c>
      <c r="C44">
        <v>20800995.881712001</v>
      </c>
      <c r="D44">
        <v>18418108.533647001</v>
      </c>
      <c r="E44">
        <v>-497236.08460959501</v>
      </c>
      <c r="F44">
        <v>-169532.34297549099</v>
      </c>
      <c r="I44">
        <v>6126144.6181839705</v>
      </c>
      <c r="J44">
        <v>10788699.3627203</v>
      </c>
      <c r="K44">
        <v>10945547.283051601</v>
      </c>
      <c r="L44">
        <v>-207392.07915959699</v>
      </c>
      <c r="M44">
        <v>-84033.446842183504</v>
      </c>
      <c r="Q44">
        <v>27033703.489486299</v>
      </c>
      <c r="R44">
        <v>37624471.179109797</v>
      </c>
      <c r="S44">
        <v>28896307.383045599</v>
      </c>
      <c r="T44">
        <v>-841400.94219257601</v>
      </c>
      <c r="U44">
        <v>-385893.29554655799</v>
      </c>
      <c r="Y44">
        <v>21863415.732390199</v>
      </c>
      <c r="Z44">
        <v>26588366.968715899</v>
      </c>
      <c r="AA44">
        <v>51408245.465769701</v>
      </c>
      <c r="AB44">
        <v>-1461165.16375713</v>
      </c>
      <c r="AC44">
        <v>582741.77192888001</v>
      </c>
    </row>
    <row r="45" spans="2:29" x14ac:dyDescent="0.25">
      <c r="B45">
        <v>11408399.222798601</v>
      </c>
      <c r="C45">
        <v>19914511.1814695</v>
      </c>
      <c r="D45">
        <v>-8740214.9484639503</v>
      </c>
      <c r="E45">
        <v>487077.25917094899</v>
      </c>
      <c r="F45">
        <v>-57085.919390473202</v>
      </c>
      <c r="I45">
        <v>5029281.8064471604</v>
      </c>
      <c r="J45">
        <v>10392168.2374523</v>
      </c>
      <c r="K45">
        <v>-5178569.2644107901</v>
      </c>
      <c r="L45">
        <v>210626.63965282301</v>
      </c>
      <c r="M45">
        <v>-30951.8389643433</v>
      </c>
      <c r="Q45">
        <v>23615176.249439798</v>
      </c>
      <c r="R45">
        <v>35853112.680344701</v>
      </c>
      <c r="S45">
        <v>-13921160.133906599</v>
      </c>
      <c r="T45">
        <v>829196.72553967999</v>
      </c>
      <c r="U45">
        <v>-82234.879623656103</v>
      </c>
      <c r="Y45">
        <v>16028268.3128326</v>
      </c>
      <c r="Z45">
        <v>23991580.726797201</v>
      </c>
      <c r="AA45">
        <v>-22454476.6309673</v>
      </c>
      <c r="AB45">
        <v>1413904.8418783001</v>
      </c>
      <c r="AC45">
        <v>89632.863133694496</v>
      </c>
    </row>
    <row r="46" spans="2:29" x14ac:dyDescent="0.25">
      <c r="B46">
        <v>253349865.254509</v>
      </c>
      <c r="C46">
        <v>128961796.85104799</v>
      </c>
      <c r="D46">
        <v>-6979430.0501268404</v>
      </c>
      <c r="E46">
        <v>358869.60840134101</v>
      </c>
      <c r="F46">
        <v>-5849.06643388869</v>
      </c>
      <c r="I46">
        <v>135755109.090013</v>
      </c>
      <c r="J46">
        <v>56880760.043095797</v>
      </c>
      <c r="K46">
        <v>-4207765.4488068204</v>
      </c>
      <c r="L46">
        <v>143905.76479499499</v>
      </c>
      <c r="M46">
        <v>-7853.7914124482204</v>
      </c>
      <c r="Q46">
        <v>450745175.24907899</v>
      </c>
      <c r="R46">
        <v>268671272.37436301</v>
      </c>
      <c r="S46">
        <v>-11122737.3838537</v>
      </c>
      <c r="T46">
        <v>607636.629846817</v>
      </c>
      <c r="U46">
        <v>18420.953251106501</v>
      </c>
      <c r="Y46">
        <v>602652722.34112895</v>
      </c>
      <c r="Z46">
        <v>295769439.41285002</v>
      </c>
      <c r="AA46">
        <v>-18131968.0030558</v>
      </c>
      <c r="AB46">
        <v>1129499.51924355</v>
      </c>
      <c r="AC46">
        <v>-111015.288713842</v>
      </c>
    </row>
    <row r="47" spans="2:29" x14ac:dyDescent="0.25">
      <c r="B47">
        <v>450906454.59728998</v>
      </c>
      <c r="C47">
        <v>216222971.237221</v>
      </c>
      <c r="D47">
        <v>-3026070.85202963</v>
      </c>
      <c r="E47">
        <v>65046.016180488397</v>
      </c>
      <c r="F47">
        <v>30453.8823777158</v>
      </c>
      <c r="I47">
        <v>242933338.771501</v>
      </c>
      <c r="J47">
        <v>93652815.386623502</v>
      </c>
      <c r="K47">
        <v>-1957663.47307172</v>
      </c>
      <c r="L47">
        <v>-11832.397944906799</v>
      </c>
      <c r="M47">
        <v>17252.699664681801</v>
      </c>
      <c r="Q47">
        <v>800154933.48732698</v>
      </c>
      <c r="R47">
        <v>456779134.30416697</v>
      </c>
      <c r="S47">
        <v>-4845117.0034220796</v>
      </c>
      <c r="T47">
        <v>118345.966827129</v>
      </c>
      <c r="U47">
        <v>112312.784390318</v>
      </c>
      <c r="Y47">
        <v>1081618775.87307</v>
      </c>
      <c r="Z47">
        <v>514415371.25485301</v>
      </c>
      <c r="AA47">
        <v>-8229500.2823538696</v>
      </c>
      <c r="AB47">
        <v>507365.89847055299</v>
      </c>
      <c r="AC47">
        <v>68252.829624660604</v>
      </c>
    </row>
    <row r="48" spans="2:29" x14ac:dyDescent="0.25">
      <c r="B48">
        <v>582295569.94056106</v>
      </c>
      <c r="C48">
        <v>271737653.85419703</v>
      </c>
      <c r="D48">
        <v>116267.114911653</v>
      </c>
      <c r="E48">
        <v>-100172.771569939</v>
      </c>
      <c r="F48">
        <v>241705.28115045599</v>
      </c>
      <c r="I48">
        <v>314488851.87967801</v>
      </c>
      <c r="J48">
        <v>116381503.58053</v>
      </c>
      <c r="K48">
        <v>-82528.799637091404</v>
      </c>
      <c r="L48">
        <v>-93091.132561886698</v>
      </c>
      <c r="M48">
        <v>141949.81778839999</v>
      </c>
      <c r="Q48">
        <v>1032743074.35711</v>
      </c>
      <c r="R48">
        <v>578643961.53798199</v>
      </c>
      <c r="S48">
        <v>180891.99922358399</v>
      </c>
      <c r="T48">
        <v>-150143.14728794101</v>
      </c>
      <c r="U48">
        <v>504552.99277297</v>
      </c>
      <c r="Y48">
        <v>1398619689.92397</v>
      </c>
      <c r="Z48">
        <v>654534942.41704094</v>
      </c>
      <c r="AA48">
        <v>-265966.63067199499</v>
      </c>
      <c r="AB48">
        <v>-4460.3158391791403</v>
      </c>
      <c r="AC48">
        <v>383253.989320822</v>
      </c>
    </row>
    <row r="49" spans="2:29" x14ac:dyDescent="0.25">
      <c r="B49">
        <v>652001070.14305305</v>
      </c>
      <c r="C49">
        <v>299519738.84134698</v>
      </c>
      <c r="D49">
        <v>978047.50350117194</v>
      </c>
      <c r="E49">
        <v>-116171.553504824</v>
      </c>
      <c r="F49">
        <v>405165.429973925</v>
      </c>
      <c r="I49">
        <v>352494501.13046598</v>
      </c>
      <c r="J49">
        <v>127273871.43585999</v>
      </c>
      <c r="K49">
        <v>498607.77282406599</v>
      </c>
      <c r="L49">
        <v>-84274.992982273994</v>
      </c>
      <c r="M49">
        <v>233943.52552899101</v>
      </c>
      <c r="Q49">
        <v>1156092735.98335</v>
      </c>
      <c r="R49">
        <v>641040630.98906898</v>
      </c>
      <c r="S49">
        <v>1571796.87758287</v>
      </c>
      <c r="T49">
        <v>-186063.63715133301</v>
      </c>
      <c r="U49">
        <v>780142.13508329995</v>
      </c>
      <c r="Y49">
        <v>1567947661.9753599</v>
      </c>
      <c r="Z49">
        <v>726278443.84252906</v>
      </c>
      <c r="AA49">
        <v>2004568.66162163</v>
      </c>
      <c r="AB49">
        <v>-139659.59033906701</v>
      </c>
      <c r="AC49">
        <v>604667.52374428499</v>
      </c>
    </row>
    <row r="50" spans="2:29" x14ac:dyDescent="0.25">
      <c r="B50">
        <v>673338182.31714499</v>
      </c>
      <c r="C50">
        <v>307650902.39384502</v>
      </c>
      <c r="D50" s="1">
        <v>6.0925958678126303E-7</v>
      </c>
      <c r="E50" s="1">
        <v>2.77919752988964E-7</v>
      </c>
      <c r="F50">
        <v>412602.51324829302</v>
      </c>
      <c r="I50">
        <v>364125497.93573803</v>
      </c>
      <c r="J50">
        <v>130344725.931569</v>
      </c>
      <c r="K50" s="1">
        <v>-5.1567985792644301E-7</v>
      </c>
      <c r="L50" s="1">
        <v>-6.6436950874049195E-7</v>
      </c>
      <c r="M50">
        <v>240473.96634360799</v>
      </c>
      <c r="Q50">
        <v>1193827601.2490799</v>
      </c>
      <c r="R50">
        <v>659631794.44488394</v>
      </c>
      <c r="S50" s="1">
        <v>-9.5437280833721203E-7</v>
      </c>
      <c r="T50" s="1">
        <v>6.4640698838047704E-7</v>
      </c>
      <c r="U50">
        <v>793082.76762283396</v>
      </c>
      <c r="Y50">
        <v>1619642399.5976801</v>
      </c>
      <c r="Z50">
        <v>747474066.19749999</v>
      </c>
      <c r="AA50" s="1">
        <v>-3.3972974051721398E-6</v>
      </c>
      <c r="AB50" s="1">
        <v>-2.5796907721087299E-7</v>
      </c>
      <c r="AC50">
        <v>694744.41746039398</v>
      </c>
    </row>
    <row r="51" spans="2:29" x14ac:dyDescent="0.25">
      <c r="B51">
        <v>652001070.14300394</v>
      </c>
      <c r="C51">
        <v>299519738.84131801</v>
      </c>
      <c r="D51">
        <v>-978047.50350235705</v>
      </c>
      <c r="E51">
        <v>116171.553504048</v>
      </c>
      <c r="F51">
        <v>405165.42997440603</v>
      </c>
      <c r="I51">
        <v>352494501.13041002</v>
      </c>
      <c r="J51">
        <v>127273871.435821</v>
      </c>
      <c r="K51">
        <v>-498607.77282541199</v>
      </c>
      <c r="L51">
        <v>84274.992982332406</v>
      </c>
      <c r="M51">
        <v>233943.525529623</v>
      </c>
      <c r="Q51">
        <v>1156092735.9833601</v>
      </c>
      <c r="R51">
        <v>641040630.98908305</v>
      </c>
      <c r="S51">
        <v>-1571796.87758806</v>
      </c>
      <c r="T51">
        <v>186063.637151909</v>
      </c>
      <c r="U51">
        <v>780142.13508592802</v>
      </c>
      <c r="Y51">
        <v>1567947661.9751899</v>
      </c>
      <c r="Z51">
        <v>726278443.84243</v>
      </c>
      <c r="AA51">
        <v>-2004568.6616202199</v>
      </c>
      <c r="AB51">
        <v>139659.59033933599</v>
      </c>
      <c r="AC51">
        <v>604667.52375010902</v>
      </c>
    </row>
    <row r="52" spans="2:29" x14ac:dyDescent="0.25">
      <c r="B52">
        <v>582295569.94052196</v>
      </c>
      <c r="C52">
        <v>271737653.85417497</v>
      </c>
      <c r="D52">
        <v>-116267.11491475</v>
      </c>
      <c r="E52">
        <v>100172.771570086</v>
      </c>
      <c r="F52">
        <v>241705.28114932601</v>
      </c>
      <c r="I52">
        <v>314488851.87960303</v>
      </c>
      <c r="J52">
        <v>116381503.58048999</v>
      </c>
      <c r="K52">
        <v>82528.7996366671</v>
      </c>
      <c r="L52">
        <v>93091.132562223997</v>
      </c>
      <c r="M52">
        <v>141949.81778905701</v>
      </c>
      <c r="Q52">
        <v>1032743074.35717</v>
      </c>
      <c r="R52">
        <v>578643961.53802395</v>
      </c>
      <c r="S52">
        <v>-180891.99922010599</v>
      </c>
      <c r="T52">
        <v>150143.14728607601</v>
      </c>
      <c r="U52">
        <v>504552.99277505802</v>
      </c>
      <c r="Y52">
        <v>1398619689.9238701</v>
      </c>
      <c r="Z52">
        <v>654534942.41698003</v>
      </c>
      <c r="AA52">
        <v>265966.63067638298</v>
      </c>
      <c r="AB52">
        <v>4460.3158382108204</v>
      </c>
      <c r="AC52">
        <v>383253.989330941</v>
      </c>
    </row>
    <row r="53" spans="2:29" x14ac:dyDescent="0.25">
      <c r="B53">
        <v>450906454.59729499</v>
      </c>
      <c r="C53">
        <v>216222971.23722899</v>
      </c>
      <c r="D53">
        <v>3026070.8520302898</v>
      </c>
      <c r="E53">
        <v>-65046.016179548802</v>
      </c>
      <c r="F53">
        <v>30453.8823770524</v>
      </c>
      <c r="I53">
        <v>242933338.77148899</v>
      </c>
      <c r="J53">
        <v>93652815.386623606</v>
      </c>
      <c r="K53">
        <v>1957663.47307351</v>
      </c>
      <c r="L53">
        <v>11832.3979456214</v>
      </c>
      <c r="M53">
        <v>17252.699665279499</v>
      </c>
      <c r="Q53">
        <v>800154933.48737097</v>
      </c>
      <c r="R53">
        <v>456779134.30418801</v>
      </c>
      <c r="S53">
        <v>4845117.0034286203</v>
      </c>
      <c r="T53">
        <v>-118345.966825793</v>
      </c>
      <c r="U53">
        <v>112312.784387098</v>
      </c>
      <c r="Y53">
        <v>1081618775.87292</v>
      </c>
      <c r="Z53">
        <v>514415371.25476998</v>
      </c>
      <c r="AA53">
        <v>8229500.2823527297</v>
      </c>
      <c r="AB53">
        <v>-507365.89846761199</v>
      </c>
      <c r="AC53">
        <v>68252.829622037098</v>
      </c>
    </row>
    <row r="54" spans="2:29" x14ac:dyDescent="0.25">
      <c r="B54">
        <v>253349865.25453499</v>
      </c>
      <c r="C54">
        <v>128961796.851062</v>
      </c>
      <c r="D54">
        <v>6979430.0501288604</v>
      </c>
      <c r="E54">
        <v>-358869.60840245499</v>
      </c>
      <c r="F54">
        <v>-5849.0664341074698</v>
      </c>
      <c r="I54">
        <v>135755109.09000799</v>
      </c>
      <c r="J54">
        <v>56880760.043093801</v>
      </c>
      <c r="K54">
        <v>4207765.4488075497</v>
      </c>
      <c r="L54">
        <v>-143905.764795233</v>
      </c>
      <c r="M54">
        <v>-7853.7914123603696</v>
      </c>
      <c r="Q54">
        <v>450745175.249084</v>
      </c>
      <c r="R54">
        <v>268671272.37436002</v>
      </c>
      <c r="S54">
        <v>11122737.383853</v>
      </c>
      <c r="T54">
        <v>-607636.62984705996</v>
      </c>
      <c r="U54">
        <v>18420.953250066701</v>
      </c>
      <c r="Y54">
        <v>602652722.34109104</v>
      </c>
      <c r="Z54">
        <v>295769439.41284198</v>
      </c>
      <c r="AA54">
        <v>18131968.003055502</v>
      </c>
      <c r="AB54">
        <v>-1129499.51924456</v>
      </c>
      <c r="AC54">
        <v>-111015.28871172199</v>
      </c>
    </row>
    <row r="55" spans="2:29" x14ac:dyDescent="0.25">
      <c r="B55">
        <v>11408399.222798999</v>
      </c>
      <c r="C55">
        <v>19914511.1814701</v>
      </c>
      <c r="D55">
        <v>8740214.9484656993</v>
      </c>
      <c r="E55">
        <v>-487077.25916941301</v>
      </c>
      <c r="F55">
        <v>-57085.919389773597</v>
      </c>
      <c r="I55">
        <v>5029281.8064472098</v>
      </c>
      <c r="J55">
        <v>10392168.237452099</v>
      </c>
      <c r="K55">
        <v>5178569.2644104799</v>
      </c>
      <c r="L55">
        <v>-210626.63965193499</v>
      </c>
      <c r="M55">
        <v>-30951.838963994</v>
      </c>
      <c r="Q55">
        <v>23615176.249439899</v>
      </c>
      <c r="R55">
        <v>35853112.680346303</v>
      </c>
      <c r="S55">
        <v>13921160.133904099</v>
      </c>
      <c r="T55">
        <v>-829196.72553638101</v>
      </c>
      <c r="U55">
        <v>-82234.879623560104</v>
      </c>
      <c r="Y55">
        <v>16028268.312832</v>
      </c>
      <c r="Z55">
        <v>23991580.726797398</v>
      </c>
      <c r="AA55">
        <v>22454476.630968001</v>
      </c>
      <c r="AB55">
        <v>-1413904.8418765501</v>
      </c>
      <c r="AC55">
        <v>89632.863133443694</v>
      </c>
    </row>
    <row r="56" spans="2:29" x14ac:dyDescent="0.25">
      <c r="B56" s="2">
        <v>11096666.570405301</v>
      </c>
      <c r="C56" s="2">
        <v>19731279.775598299</v>
      </c>
      <c r="D56" s="18">
        <v>2.5127810658886999E-6</v>
      </c>
      <c r="E56" s="2">
        <v>498365.91186583799</v>
      </c>
      <c r="F56" s="18">
        <v>1.7455167835578299E-6</v>
      </c>
      <c r="I56" s="2">
        <v>4868809.9948560102</v>
      </c>
      <c r="J56" s="2">
        <v>10311902.325957401</v>
      </c>
      <c r="K56" s="18">
        <v>-1.49697007145733E-6</v>
      </c>
      <c r="L56" s="2">
        <v>218038.71115774501</v>
      </c>
      <c r="M56" s="18">
        <v>-1.5089317457750399E-6</v>
      </c>
      <c r="Q56" s="2">
        <v>23037578.550207499</v>
      </c>
      <c r="R56" s="2">
        <v>35468126.577672899</v>
      </c>
      <c r="S56" s="18">
        <v>-2.5526969693601102E-6</v>
      </c>
      <c r="T56" s="2">
        <v>851149.621002845</v>
      </c>
      <c r="U56" s="18">
        <v>1.1118245311081401E-6</v>
      </c>
      <c r="Y56" s="2">
        <v>15084092.9545743</v>
      </c>
      <c r="Z56" s="2">
        <v>23447410.6683353</v>
      </c>
      <c r="AA56" s="18">
        <v>1.6989361029118299E-6</v>
      </c>
      <c r="AB56" s="2">
        <v>1389966.49584118</v>
      </c>
      <c r="AC56" s="18">
        <v>1.7768470570445101E-6</v>
      </c>
    </row>
    <row r="57" spans="2:29" x14ac:dyDescent="0.25">
      <c r="B57" s="2">
        <v>247467444.43794399</v>
      </c>
      <c r="C57" s="2">
        <v>126546284.440061</v>
      </c>
      <c r="D57" s="18">
        <v>2.4558830773457902E-6</v>
      </c>
      <c r="E57" s="2">
        <v>362129.83945175598</v>
      </c>
      <c r="F57" s="18">
        <v>-9.6406802185811102E-7</v>
      </c>
      <c r="I57" s="2">
        <v>132573668.961338</v>
      </c>
      <c r="J57" s="2">
        <v>55894622.0759051</v>
      </c>
      <c r="K57" s="18">
        <v>-2.733722794801E-7</v>
      </c>
      <c r="L57" s="2">
        <v>145808.863473648</v>
      </c>
      <c r="M57" s="18">
        <v>8.0290556070394803E-7</v>
      </c>
      <c r="Q57" s="2">
        <v>441043498.13440102</v>
      </c>
      <c r="R57" s="2">
        <v>263750497.50678301</v>
      </c>
      <c r="S57" s="18">
        <v>-3.3668620744720101E-6</v>
      </c>
      <c r="T57" s="2">
        <v>620810.09909792698</v>
      </c>
      <c r="U57" s="18">
        <v>-3.0892988434061397E-7</v>
      </c>
      <c r="Y57" s="2">
        <v>583861990.98768497</v>
      </c>
      <c r="Z57" s="2">
        <v>288185595.529544</v>
      </c>
      <c r="AA57" s="18">
        <v>3.41436316375621E-6</v>
      </c>
      <c r="AB57" s="2">
        <v>1127560.38665377</v>
      </c>
      <c r="AC57" s="18">
        <v>-1.2817763490602399E-6</v>
      </c>
    </row>
    <row r="58" spans="2:29" x14ac:dyDescent="0.25">
      <c r="B58" s="2">
        <v>446556621.57515299</v>
      </c>
      <c r="C58" s="2">
        <v>214664937.81129599</v>
      </c>
      <c r="D58" s="18">
        <v>2.0579891497618502E-6</v>
      </c>
      <c r="E58" s="2">
        <v>95948.729996009002</v>
      </c>
      <c r="F58" s="18">
        <v>-1.59634510055184E-8</v>
      </c>
      <c r="I58" s="2">
        <v>240614486.13526601</v>
      </c>
      <c r="J58" s="2">
        <v>93105167.236141697</v>
      </c>
      <c r="K58" s="18">
        <v>3.8738562579965202E-6</v>
      </c>
      <c r="L58" s="2">
        <v>5714.8782874981398</v>
      </c>
      <c r="M58" s="18">
        <v>1.3168464647606E-6</v>
      </c>
      <c r="Q58" s="2">
        <v>793802828.78917801</v>
      </c>
      <c r="R58" s="2">
        <v>453932499.92403102</v>
      </c>
      <c r="S58" s="18">
        <v>1.0572215387583101E-6</v>
      </c>
      <c r="T58" s="2">
        <v>180312.21078241299</v>
      </c>
      <c r="U58" s="18">
        <v>1.81002542376518E-6</v>
      </c>
      <c r="Y58" s="2">
        <v>1062408520.2119401</v>
      </c>
      <c r="Z58" s="2">
        <v>507304668.51959699</v>
      </c>
      <c r="AA58" s="18">
        <v>6.0879683587700103E-6</v>
      </c>
      <c r="AB58" s="2">
        <v>544430.14973665099</v>
      </c>
      <c r="AC58" s="18">
        <v>-5.8411387726664497E-8</v>
      </c>
    </row>
    <row r="59" spans="2:29" x14ac:dyDescent="0.25">
      <c r="B59" s="2">
        <v>585397970.467327</v>
      </c>
      <c r="C59" s="2">
        <v>273650457.55051601</v>
      </c>
      <c r="D59" s="18">
        <v>5.5004784371703895E-7</v>
      </c>
      <c r="E59" s="2">
        <v>-72838.581255086203</v>
      </c>
      <c r="F59" s="18">
        <v>-2.8025242500007199E-6</v>
      </c>
      <c r="I59" s="2">
        <v>316379215.481884</v>
      </c>
      <c r="J59" s="2">
        <v>117424380.63305999</v>
      </c>
      <c r="K59" s="18">
        <v>2.5156186893582302E-6</v>
      </c>
      <c r="L59" s="2">
        <v>-77813.473678841896</v>
      </c>
      <c r="M59" s="18">
        <v>-4.9518348532728904E-7</v>
      </c>
      <c r="Q59" s="2">
        <v>1040141201.93839</v>
      </c>
      <c r="R59" s="2">
        <v>583470504.21600401</v>
      </c>
      <c r="S59" s="18">
        <v>2.2592284949496401E-6</v>
      </c>
      <c r="T59" s="2">
        <v>-102878.135995237</v>
      </c>
      <c r="U59" s="18">
        <v>-1.5512923710048201E-6</v>
      </c>
      <c r="Y59" s="2">
        <v>1394557083.3375499</v>
      </c>
      <c r="Z59" s="2">
        <v>654611139.99491298</v>
      </c>
      <c r="AA59" s="18">
        <v>1.7271304386667901E-6</v>
      </c>
      <c r="AB59" s="2">
        <v>54149.004302362599</v>
      </c>
      <c r="AC59" s="18">
        <v>-6.1445825849659699E-6</v>
      </c>
    </row>
    <row r="60" spans="2:29" x14ac:dyDescent="0.25">
      <c r="B60" s="2">
        <v>662664456.436324</v>
      </c>
      <c r="C60" s="2">
        <v>304865932.58209598</v>
      </c>
      <c r="D60" s="18">
        <v>-4.0070390241453399E-6</v>
      </c>
      <c r="E60" s="2">
        <v>-106476.010361286</v>
      </c>
      <c r="F60" s="18">
        <v>-1.7029174159688399E-7</v>
      </c>
      <c r="I60" s="2">
        <v>358653216.06860399</v>
      </c>
      <c r="J60" s="2">
        <v>129851665.043514</v>
      </c>
      <c r="K60" s="18">
        <v>-5.9046669775852902E-7</v>
      </c>
      <c r="L60" s="2">
        <v>-79066.336131449803</v>
      </c>
      <c r="M60" s="18">
        <v>-7.34024979465175E-7</v>
      </c>
      <c r="Q60" s="2">
        <v>1177405523.97175</v>
      </c>
      <c r="R60" s="2">
        <v>653516186.74114704</v>
      </c>
      <c r="S60" s="18">
        <v>-7.7294316724874106E-8</v>
      </c>
      <c r="T60" s="2">
        <v>-166765.71950536399</v>
      </c>
      <c r="U60" s="18">
        <v>4.4705939217237798E-7</v>
      </c>
      <c r="Y60" s="2">
        <v>1579261693.59286</v>
      </c>
      <c r="Z60" s="2">
        <v>733363460.89171004</v>
      </c>
      <c r="AA60" s="18">
        <v>5.1928109314758297E-6</v>
      </c>
      <c r="AB60" s="2">
        <v>-100394.42092302701</v>
      </c>
      <c r="AC60" s="18">
        <v>-4.1263228922616701E-7</v>
      </c>
    </row>
    <row r="61" spans="2:29" x14ac:dyDescent="0.25">
      <c r="B61" s="2">
        <v>686983111.57355499</v>
      </c>
      <c r="C61" s="2">
        <v>314332825.80564302</v>
      </c>
      <c r="D61" s="18">
        <v>-2.93364337267121E-6</v>
      </c>
      <c r="E61" s="18">
        <v>-8.8170963863376496E-7</v>
      </c>
      <c r="F61" s="18">
        <v>2.0129550648562098E-6</v>
      </c>
      <c r="I61" s="2">
        <v>371970022.48542398</v>
      </c>
      <c r="J61" s="2">
        <v>133513493.66617499</v>
      </c>
      <c r="K61" s="18">
        <v>-1.6928125887716299E-6</v>
      </c>
      <c r="L61" s="18">
        <v>-1.1055581126129299E-6</v>
      </c>
      <c r="M61" s="18">
        <v>1.11273664060718E-6</v>
      </c>
      <c r="Q61" s="2">
        <v>1220558871.66273</v>
      </c>
      <c r="R61" s="2">
        <v>675061970.92941594</v>
      </c>
      <c r="S61" s="18">
        <v>8.5797751125937804E-7</v>
      </c>
      <c r="T61" s="18">
        <v>-4.3182262743357601E-7</v>
      </c>
      <c r="U61" s="18">
        <v>5.4892734624445396E-7</v>
      </c>
      <c r="Y61" s="2">
        <v>1637090759.9110999</v>
      </c>
      <c r="Z61" s="2">
        <v>757301167.26725996</v>
      </c>
      <c r="AA61" s="18">
        <v>2.5485512651357601E-6</v>
      </c>
      <c r="AB61" s="18">
        <v>-7.6559445005841596E-7</v>
      </c>
      <c r="AC61" s="18">
        <v>-1.2909040378872301E-6</v>
      </c>
    </row>
    <row r="62" spans="2:29" x14ac:dyDescent="0.25">
      <c r="B62" s="2">
        <v>662664456.43630302</v>
      </c>
      <c r="C62" s="2">
        <v>304865932.58208299</v>
      </c>
      <c r="D62" s="18">
        <v>1.9345716282259698E-6</v>
      </c>
      <c r="E62" s="2">
        <v>106476.010361283</v>
      </c>
      <c r="F62" s="18">
        <v>3.1111667340155699E-6</v>
      </c>
      <c r="I62" s="2">
        <v>358653216.06860298</v>
      </c>
      <c r="J62" s="2">
        <v>129851665.043501</v>
      </c>
      <c r="K62" s="18">
        <v>-2.43728663917864E-6</v>
      </c>
      <c r="L62" s="2">
        <v>79066.3361319143</v>
      </c>
      <c r="M62" s="18">
        <v>3.1261879485100502E-7</v>
      </c>
      <c r="Q62" s="2">
        <v>1177405523.9718201</v>
      </c>
      <c r="R62" s="2">
        <v>653516186.741202</v>
      </c>
      <c r="S62" s="18">
        <v>-6.6717257141135601E-7</v>
      </c>
      <c r="T62" s="2">
        <v>166765.71950715501</v>
      </c>
      <c r="U62" s="18">
        <v>-3.97043550037779E-6</v>
      </c>
      <c r="Y62" s="2">
        <v>1579261693.59305</v>
      </c>
      <c r="Z62" s="2">
        <v>733363460.89181697</v>
      </c>
      <c r="AA62" s="18">
        <v>-6.1290702433325401E-6</v>
      </c>
      <c r="AB62" s="2">
        <v>100394.420922291</v>
      </c>
      <c r="AC62" s="18">
        <v>-3.61715865437873E-6</v>
      </c>
    </row>
    <row r="63" spans="2:29" x14ac:dyDescent="0.25">
      <c r="B63" s="2">
        <v>585397970.46736896</v>
      </c>
      <c r="C63" s="2">
        <v>273650457.55053997</v>
      </c>
      <c r="D63" s="18">
        <v>3.2582320272922499E-6</v>
      </c>
      <c r="E63" s="2">
        <v>72838.581256563702</v>
      </c>
      <c r="F63" s="18">
        <v>2.3064931156113701E-6</v>
      </c>
      <c r="I63" s="2">
        <v>316379215.48187202</v>
      </c>
      <c r="J63" s="2">
        <v>117424380.63305099</v>
      </c>
      <c r="K63" s="18">
        <v>-4.128032742301E-7</v>
      </c>
      <c r="L63" s="2">
        <v>77813.473679509305</v>
      </c>
      <c r="M63" s="18">
        <v>1.19495234685019E-6</v>
      </c>
      <c r="Q63" s="2">
        <v>1040141201.93844</v>
      </c>
      <c r="R63" s="2">
        <v>583470504.216043</v>
      </c>
      <c r="S63" s="18">
        <v>1.10550899989903E-7</v>
      </c>
      <c r="T63" s="2">
        <v>102878.135992672</v>
      </c>
      <c r="U63" s="18">
        <v>-2.8403446776792399E-6</v>
      </c>
      <c r="Y63" s="2">
        <v>1394557083.3375199</v>
      </c>
      <c r="Z63" s="2">
        <v>654611139.99488294</v>
      </c>
      <c r="AA63" s="18">
        <v>-9.3048693088349006E-6</v>
      </c>
      <c r="AB63" s="2">
        <v>-54149.004303958398</v>
      </c>
      <c r="AC63" s="18">
        <v>1.94027961697429E-6</v>
      </c>
    </row>
    <row r="64" spans="2:29" x14ac:dyDescent="0.25">
      <c r="B64" s="2">
        <v>446556621.57519698</v>
      </c>
      <c r="C64" s="2">
        <v>214664937.81132501</v>
      </c>
      <c r="D64" s="18">
        <v>1.08234053186607E-6</v>
      </c>
      <c r="E64" s="2">
        <v>-95948.729995917703</v>
      </c>
      <c r="F64" s="18">
        <v>-2.2810418158769599E-6</v>
      </c>
      <c r="I64" s="2">
        <v>240614486.13525999</v>
      </c>
      <c r="J64" s="2">
        <v>93105167.236143902</v>
      </c>
      <c r="K64" s="18">
        <v>4.1019120544660797E-8</v>
      </c>
      <c r="L64" s="2">
        <v>-5714.8782879678001</v>
      </c>
      <c r="M64" s="18">
        <v>5.9087324189022205E-7</v>
      </c>
      <c r="Q64" s="2">
        <v>793802828.78911602</v>
      </c>
      <c r="R64" s="2">
        <v>453932499.92398101</v>
      </c>
      <c r="S64" s="18">
        <v>-1.88651029020548E-7</v>
      </c>
      <c r="T64" s="2">
        <v>-180312.210782749</v>
      </c>
      <c r="U64" s="18">
        <v>-1.18452589958906E-7</v>
      </c>
      <c r="Y64" s="2">
        <v>1062408520.21201</v>
      </c>
      <c r="Z64" s="2">
        <v>507304668.51963502</v>
      </c>
      <c r="AA64" s="18">
        <v>-2.6078123482875501E-6</v>
      </c>
      <c r="AB64" s="2">
        <v>-544430.14973526401</v>
      </c>
      <c r="AC64" s="18">
        <v>2.5030458346009301E-6</v>
      </c>
    </row>
    <row r="65" spans="2:29" x14ac:dyDescent="0.25">
      <c r="B65" s="2">
        <v>247467444.43797901</v>
      </c>
      <c r="C65" s="2">
        <v>126546284.440084</v>
      </c>
      <c r="D65" s="18">
        <v>-2.9011825972702401E-6</v>
      </c>
      <c r="E65" s="2">
        <v>-362129.83945276</v>
      </c>
      <c r="F65" s="18">
        <v>-1.2281016097404101E-6</v>
      </c>
      <c r="I65" s="2">
        <v>132573668.961319</v>
      </c>
      <c r="J65" s="2">
        <v>55894622.075895898</v>
      </c>
      <c r="K65" s="18">
        <v>-3.4238837542943703E-8</v>
      </c>
      <c r="L65" s="2">
        <v>-145808.86347416</v>
      </c>
      <c r="M65" s="18">
        <v>-9.1941365099046401E-7</v>
      </c>
      <c r="Q65" s="2">
        <v>441043498.13435698</v>
      </c>
      <c r="R65" s="2">
        <v>263750497.506751</v>
      </c>
      <c r="S65" s="18">
        <v>1.6740232240408699E-6</v>
      </c>
      <c r="T65" s="2">
        <v>-620810.099098632</v>
      </c>
      <c r="U65" s="18">
        <v>-6.8272493081167298E-7</v>
      </c>
      <c r="Y65" s="2">
        <v>583861990.98775804</v>
      </c>
      <c r="Z65" s="2">
        <v>288185595.52959198</v>
      </c>
      <c r="AA65" s="18">
        <v>1.95366737898439E-6</v>
      </c>
      <c r="AB65" s="2">
        <v>-1127560.38665557</v>
      </c>
      <c r="AC65" s="18">
        <v>3.9177393773570703E-8</v>
      </c>
    </row>
    <row r="66" spans="2:29" x14ac:dyDescent="0.25">
      <c r="B66" s="2">
        <v>11096666.5704048</v>
      </c>
      <c r="C66" s="2">
        <v>19731279.7755978</v>
      </c>
      <c r="D66" s="18">
        <v>-4.0445738704875103E-6</v>
      </c>
      <c r="E66" s="2">
        <v>-498365.91186421202</v>
      </c>
      <c r="F66" s="18">
        <v>1.73019361682236E-6</v>
      </c>
      <c r="I66" s="2">
        <v>4868809.9948561499</v>
      </c>
      <c r="J66" s="2">
        <v>10311902.3259582</v>
      </c>
      <c r="K66" s="18">
        <v>-1.0998701327480399E-6</v>
      </c>
      <c r="L66" s="2">
        <v>-218038.71115651401</v>
      </c>
      <c r="M66" s="18">
        <v>7.6978903962299196E-7</v>
      </c>
      <c r="Q66" s="2">
        <v>23037578.5502064</v>
      </c>
      <c r="R66" s="2">
        <v>35468126.5776724</v>
      </c>
      <c r="S66" s="18">
        <v>9.9721364676952404E-7</v>
      </c>
      <c r="T66" s="2">
        <v>-851149.62099955301</v>
      </c>
      <c r="U66" s="18">
        <v>4.37584822066128E-6</v>
      </c>
      <c r="Y66" s="2">
        <v>15084092.954572201</v>
      </c>
      <c r="Z66" s="2">
        <v>23447410.668328401</v>
      </c>
      <c r="AA66" s="18">
        <v>-3.2766256481409098E-6</v>
      </c>
      <c r="AB66" s="2">
        <v>-1389966.4958379201</v>
      </c>
      <c r="AC66" s="18">
        <v>2.14284227695316E-7</v>
      </c>
    </row>
    <row r="67" spans="2:29" x14ac:dyDescent="0.25">
      <c r="B67">
        <v>11408399.222797999</v>
      </c>
      <c r="C67">
        <v>19914511.181469899</v>
      </c>
      <c r="D67">
        <v>8740214.9484690093</v>
      </c>
      <c r="E67">
        <v>487077.259170815</v>
      </c>
      <c r="F67">
        <v>57085.9193906324</v>
      </c>
      <c r="I67">
        <v>5029281.8064475805</v>
      </c>
      <c r="J67">
        <v>10392168.2374516</v>
      </c>
      <c r="K67">
        <v>5178569.2644120902</v>
      </c>
      <c r="L67">
        <v>210626.639652913</v>
      </c>
      <c r="M67">
        <v>30951.8389651625</v>
      </c>
      <c r="Q67">
        <v>23615176.249437802</v>
      </c>
      <c r="R67">
        <v>35853112.680343598</v>
      </c>
      <c r="S67">
        <v>13921160.133902499</v>
      </c>
      <c r="T67">
        <v>829196.72553974995</v>
      </c>
      <c r="U67">
        <v>82234.879622493696</v>
      </c>
      <c r="Y67">
        <v>16028268.3128318</v>
      </c>
      <c r="Z67">
        <v>23991580.726796299</v>
      </c>
      <c r="AA67">
        <v>22454476.6309678</v>
      </c>
      <c r="AB67">
        <v>1413904.84187941</v>
      </c>
      <c r="AC67">
        <v>-89632.863130636004</v>
      </c>
    </row>
    <row r="68" spans="2:29" x14ac:dyDescent="0.25">
      <c r="B68">
        <v>253349865.254511</v>
      </c>
      <c r="C68">
        <v>128961796.851046</v>
      </c>
      <c r="D68">
        <v>6979430.0501289498</v>
      </c>
      <c r="E68">
        <v>358869.60840139101</v>
      </c>
      <c r="F68">
        <v>5849.0664330616301</v>
      </c>
      <c r="I68">
        <v>135755109.09003699</v>
      </c>
      <c r="J68">
        <v>56880760.043108501</v>
      </c>
      <c r="K68">
        <v>4207765.4488084503</v>
      </c>
      <c r="L68">
        <v>143905.76479512101</v>
      </c>
      <c r="M68">
        <v>7853.7914122994998</v>
      </c>
      <c r="Q68">
        <v>450745175.24915701</v>
      </c>
      <c r="R68">
        <v>268671272.37441099</v>
      </c>
      <c r="S68">
        <v>11122737.383850601</v>
      </c>
      <c r="T68">
        <v>607636.62984753004</v>
      </c>
      <c r="U68">
        <v>-18420.953250066301</v>
      </c>
      <c r="Y68">
        <v>602652722.34115803</v>
      </c>
      <c r="Z68">
        <v>295769439.41287202</v>
      </c>
      <c r="AA68">
        <v>18131968.003055699</v>
      </c>
      <c r="AB68">
        <v>1129499.5192434001</v>
      </c>
      <c r="AC68">
        <v>111015.288714396</v>
      </c>
    </row>
    <row r="69" spans="2:29" x14ac:dyDescent="0.25">
      <c r="B69">
        <v>450906454.59723699</v>
      </c>
      <c r="C69">
        <v>216222971.23719099</v>
      </c>
      <c r="D69">
        <v>3026070.8520310698</v>
      </c>
      <c r="E69">
        <v>65046.016180144798</v>
      </c>
      <c r="F69">
        <v>-30453.882376684898</v>
      </c>
      <c r="I69">
        <v>242933338.77151501</v>
      </c>
      <c r="J69">
        <v>93652815.386631295</v>
      </c>
      <c r="K69">
        <v>1957663.47307474</v>
      </c>
      <c r="L69">
        <v>-11832.3979457645</v>
      </c>
      <c r="M69">
        <v>-17252.699664224801</v>
      </c>
      <c r="Q69">
        <v>800154933.48745894</v>
      </c>
      <c r="R69">
        <v>456779134.304254</v>
      </c>
      <c r="S69">
        <v>4845117.0034233499</v>
      </c>
      <c r="T69">
        <v>118345.966826873</v>
      </c>
      <c r="U69">
        <v>-112312.784387543</v>
      </c>
      <c r="Y69">
        <v>1081618775.8729701</v>
      </c>
      <c r="Z69">
        <v>514415371.25480902</v>
      </c>
      <c r="AA69">
        <v>8229500.2823583595</v>
      </c>
      <c r="AB69">
        <v>507365.89846964699</v>
      </c>
      <c r="AC69">
        <v>-68252.829618602103</v>
      </c>
    </row>
    <row r="70" spans="2:29" x14ac:dyDescent="0.25">
      <c r="B70">
        <v>582295569.94050598</v>
      </c>
      <c r="C70">
        <v>271737653.85416698</v>
      </c>
      <c r="D70">
        <v>-116267.11491151599</v>
      </c>
      <c r="E70">
        <v>-100172.77157026601</v>
      </c>
      <c r="F70">
        <v>-241705.281147523</v>
      </c>
      <c r="I70">
        <v>314488851.87962401</v>
      </c>
      <c r="J70">
        <v>116381503.580503</v>
      </c>
      <c r="K70">
        <v>82528.799640358906</v>
      </c>
      <c r="L70">
        <v>-93091.132561834296</v>
      </c>
      <c r="M70">
        <v>-141949.81778989799</v>
      </c>
      <c r="Q70">
        <v>1032743074.35721</v>
      </c>
      <c r="R70">
        <v>578643961.53803897</v>
      </c>
      <c r="S70">
        <v>-180891.999223174</v>
      </c>
      <c r="T70">
        <v>-150143.14728921</v>
      </c>
      <c r="U70">
        <v>-504552.99276728102</v>
      </c>
      <c r="Y70">
        <v>1398619689.92383</v>
      </c>
      <c r="Z70">
        <v>654534942.41696894</v>
      </c>
      <c r="AA70">
        <v>265966.63067993498</v>
      </c>
      <c r="AB70">
        <v>-4460.3158397246398</v>
      </c>
      <c r="AC70">
        <v>-383253.98932012601</v>
      </c>
    </row>
    <row r="71" spans="2:29" x14ac:dyDescent="0.25">
      <c r="B71">
        <v>652001070.14299202</v>
      </c>
      <c r="C71">
        <v>299519738.84130901</v>
      </c>
      <c r="D71">
        <v>-978047.503504141</v>
      </c>
      <c r="E71">
        <v>-116171.553503045</v>
      </c>
      <c r="F71">
        <v>-405165.429977472</v>
      </c>
      <c r="I71">
        <v>352494501.13043803</v>
      </c>
      <c r="J71">
        <v>127273871.435846</v>
      </c>
      <c r="K71">
        <v>-498607.77282400802</v>
      </c>
      <c r="L71">
        <v>-84274.992981938005</v>
      </c>
      <c r="M71">
        <v>-233943.525531797</v>
      </c>
      <c r="Q71">
        <v>1156092735.9834199</v>
      </c>
      <c r="R71">
        <v>641040630.98911202</v>
      </c>
      <c r="S71">
        <v>-1571796.87758708</v>
      </c>
      <c r="T71">
        <v>-186063.63714961801</v>
      </c>
      <c r="U71">
        <v>-780142.13508683501</v>
      </c>
      <c r="Y71">
        <v>1567947661.9751699</v>
      </c>
      <c r="Z71">
        <v>726278443.84243703</v>
      </c>
      <c r="AA71">
        <v>-2004568.6616125701</v>
      </c>
      <c r="AB71">
        <v>-139659.59033881099</v>
      </c>
      <c r="AC71">
        <v>-604667.52374950598</v>
      </c>
    </row>
    <row r="72" spans="2:29" x14ac:dyDescent="0.25">
      <c r="B72">
        <v>673338182.31721401</v>
      </c>
      <c r="C72">
        <v>307650902.39389002</v>
      </c>
      <c r="D72" s="1">
        <v>-3.1740783015266099E-6</v>
      </c>
      <c r="E72" s="1">
        <v>1.09131360659376E-6</v>
      </c>
      <c r="F72">
        <v>-412602.51324939099</v>
      </c>
      <c r="I72">
        <v>364125497.93568897</v>
      </c>
      <c r="J72">
        <v>130344725.931548</v>
      </c>
      <c r="K72" s="1">
        <v>-3.7253721529850698E-6</v>
      </c>
      <c r="L72" s="1">
        <v>-2.05000105779618E-7</v>
      </c>
      <c r="M72">
        <v>-240473.96634569799</v>
      </c>
      <c r="Q72">
        <v>1193827601.2490699</v>
      </c>
      <c r="R72">
        <v>659631794.444875</v>
      </c>
      <c r="S72" s="1">
        <v>-1.46450474858284E-7</v>
      </c>
      <c r="T72" s="1">
        <v>1.4039396774023801E-6</v>
      </c>
      <c r="U72">
        <v>-793082.76762566902</v>
      </c>
      <c r="Y72">
        <v>1619642399.5975001</v>
      </c>
      <c r="Z72">
        <v>747474066.19739497</v>
      </c>
      <c r="AA72" s="1">
        <v>4.8301226343028298E-6</v>
      </c>
      <c r="AB72" s="1">
        <v>-1.0266230674460501E-6</v>
      </c>
      <c r="AC72">
        <v>-694744.41745932505</v>
      </c>
    </row>
    <row r="73" spans="2:29" x14ac:dyDescent="0.25">
      <c r="B73">
        <v>652001070.14304996</v>
      </c>
      <c r="C73">
        <v>299519738.84134603</v>
      </c>
      <c r="D73">
        <v>978047.50350430503</v>
      </c>
      <c r="E73">
        <v>116171.553503434</v>
      </c>
      <c r="F73">
        <v>-405165.42997571098</v>
      </c>
      <c r="I73">
        <v>352494501.13040298</v>
      </c>
      <c r="J73">
        <v>127273871.435821</v>
      </c>
      <c r="K73">
        <v>498607.77282234997</v>
      </c>
      <c r="L73">
        <v>84274.992982235693</v>
      </c>
      <c r="M73">
        <v>-233943.525529579</v>
      </c>
      <c r="Q73">
        <v>1156092735.9833901</v>
      </c>
      <c r="R73">
        <v>641040630.98910105</v>
      </c>
      <c r="S73">
        <v>1571796.87758607</v>
      </c>
      <c r="T73">
        <v>186063.637150967</v>
      </c>
      <c r="U73">
        <v>-780142.135081955</v>
      </c>
      <c r="Y73">
        <v>1567947661.97505</v>
      </c>
      <c r="Z73">
        <v>726278443.84235895</v>
      </c>
      <c r="AA73">
        <v>2004568.66161474</v>
      </c>
      <c r="AB73">
        <v>139659.590341073</v>
      </c>
      <c r="AC73">
        <v>-604667.52375710499</v>
      </c>
    </row>
    <row r="74" spans="2:29" x14ac:dyDescent="0.25">
      <c r="B74">
        <v>582295569.94056499</v>
      </c>
      <c r="C74">
        <v>271737653.85420197</v>
      </c>
      <c r="D74">
        <v>116267.114916736</v>
      </c>
      <c r="E74">
        <v>100172.771570317</v>
      </c>
      <c r="F74">
        <v>-241705.281148051</v>
      </c>
      <c r="I74">
        <v>314488851.87965101</v>
      </c>
      <c r="J74">
        <v>116381503.58051699</v>
      </c>
      <c r="K74">
        <v>-82528.799637370495</v>
      </c>
      <c r="L74">
        <v>93091.132562330007</v>
      </c>
      <c r="M74">
        <v>-141949.817788585</v>
      </c>
      <c r="Q74">
        <v>1032743074.35719</v>
      </c>
      <c r="R74">
        <v>578643961.538041</v>
      </c>
      <c r="S74">
        <v>180891.99922002599</v>
      </c>
      <c r="T74">
        <v>150143.14728619001</v>
      </c>
      <c r="U74">
        <v>-504552.99277216301</v>
      </c>
      <c r="Y74">
        <v>1398619689.9238999</v>
      </c>
      <c r="Z74">
        <v>654534942.41700101</v>
      </c>
      <c r="AA74">
        <v>-265966.63068193698</v>
      </c>
      <c r="AB74">
        <v>4460.3158411388804</v>
      </c>
      <c r="AC74">
        <v>-383253.98932502902</v>
      </c>
    </row>
    <row r="75" spans="2:29" x14ac:dyDescent="0.25">
      <c r="B75">
        <v>450906454.59727001</v>
      </c>
      <c r="C75">
        <v>216222971.23721001</v>
      </c>
      <c r="D75">
        <v>-3026070.8520308398</v>
      </c>
      <c r="E75">
        <v>-65046.0161798751</v>
      </c>
      <c r="F75">
        <v>-30453.882377300899</v>
      </c>
      <c r="I75">
        <v>242933338.77151501</v>
      </c>
      <c r="J75">
        <v>93652815.386634901</v>
      </c>
      <c r="K75">
        <v>-1957663.4730746299</v>
      </c>
      <c r="L75">
        <v>11832.397945763199</v>
      </c>
      <c r="M75">
        <v>-17252.6996641759</v>
      </c>
      <c r="Q75">
        <v>800154933.48736596</v>
      </c>
      <c r="R75">
        <v>456779134.30418301</v>
      </c>
      <c r="S75">
        <v>-4845117.0034267399</v>
      </c>
      <c r="T75">
        <v>-118345.966825781</v>
      </c>
      <c r="U75">
        <v>-112312.784390781</v>
      </c>
      <c r="Y75">
        <v>1081618775.87307</v>
      </c>
      <c r="Z75">
        <v>514415371.25486499</v>
      </c>
      <c r="AA75">
        <v>-8229500.2823548596</v>
      </c>
      <c r="AB75">
        <v>-507365.898468795</v>
      </c>
      <c r="AC75">
        <v>-68252.829623236496</v>
      </c>
    </row>
    <row r="76" spans="2:29" x14ac:dyDescent="0.25">
      <c r="B76">
        <v>253349865.25449601</v>
      </c>
      <c r="C76">
        <v>128961796.851043</v>
      </c>
      <c r="D76">
        <v>-6979430.0501307901</v>
      </c>
      <c r="E76">
        <v>-358869.60840237502</v>
      </c>
      <c r="F76">
        <v>5849.0664330171603</v>
      </c>
      <c r="I76">
        <v>135755109.09003699</v>
      </c>
      <c r="J76">
        <v>56880760.043108098</v>
      </c>
      <c r="K76">
        <v>-4207765.4488074398</v>
      </c>
      <c r="L76">
        <v>-143905.76479580699</v>
      </c>
      <c r="M76">
        <v>7853.7914131439302</v>
      </c>
      <c r="Q76">
        <v>450745175.24910301</v>
      </c>
      <c r="R76">
        <v>268671272.37437701</v>
      </c>
      <c r="S76">
        <v>-11122737.383848799</v>
      </c>
      <c r="T76">
        <v>-607636.62984762201</v>
      </c>
      <c r="U76">
        <v>-18420.953248183399</v>
      </c>
      <c r="Y76">
        <v>602652722.34117603</v>
      </c>
      <c r="Z76">
        <v>295769439.41288602</v>
      </c>
      <c r="AA76">
        <v>-18131968.003056899</v>
      </c>
      <c r="AB76">
        <v>-1129499.51924536</v>
      </c>
      <c r="AC76">
        <v>111015.28871374299</v>
      </c>
    </row>
    <row r="77" spans="2:29" x14ac:dyDescent="0.25">
      <c r="B77">
        <v>11408399.222797999</v>
      </c>
      <c r="C77">
        <v>19914511.181469299</v>
      </c>
      <c r="D77">
        <v>-8740214.9484685101</v>
      </c>
      <c r="E77">
        <v>-487077.25916886702</v>
      </c>
      <c r="F77">
        <v>57085.919390525698</v>
      </c>
      <c r="I77">
        <v>5029281.8064476596</v>
      </c>
      <c r="J77">
        <v>10392168.2374519</v>
      </c>
      <c r="K77">
        <v>-5178569.2644108199</v>
      </c>
      <c r="L77">
        <v>-210626.63965201401</v>
      </c>
      <c r="M77">
        <v>30951.838964005699</v>
      </c>
      <c r="Q77">
        <v>23615176.249437399</v>
      </c>
      <c r="R77">
        <v>35853112.680342302</v>
      </c>
      <c r="S77">
        <v>-13921160.1339007</v>
      </c>
      <c r="T77">
        <v>-829196.725536649</v>
      </c>
      <c r="U77">
        <v>82234.879621715707</v>
      </c>
      <c r="Y77">
        <v>16028268.312834701</v>
      </c>
      <c r="Z77">
        <v>23991580.726800401</v>
      </c>
      <c r="AA77">
        <v>-22454476.630975001</v>
      </c>
      <c r="AB77">
        <v>-1413904.84187642</v>
      </c>
      <c r="AC77">
        <v>-89632.863128444398</v>
      </c>
    </row>
    <row r="78" spans="2:29" x14ac:dyDescent="0.25">
      <c r="B78">
        <v>13430845.8823746</v>
      </c>
      <c r="C78">
        <v>20800995.8817131</v>
      </c>
      <c r="D78">
        <v>18418108.533648401</v>
      </c>
      <c r="E78">
        <v>497236.084611364</v>
      </c>
      <c r="F78">
        <v>169532.34297447899</v>
      </c>
      <c r="I78">
        <v>6126144.6181857297</v>
      </c>
      <c r="J78">
        <v>10788699.362722401</v>
      </c>
      <c r="K78">
        <v>10945547.2830538</v>
      </c>
      <c r="L78">
        <v>207392.079161195</v>
      </c>
      <c r="M78">
        <v>84033.446842840698</v>
      </c>
      <c r="Q78">
        <v>27033703.4894902</v>
      </c>
      <c r="R78">
        <v>37624471.179114297</v>
      </c>
      <c r="S78">
        <v>28896307.383045498</v>
      </c>
      <c r="T78">
        <v>841400.94219519605</v>
      </c>
      <c r="U78">
        <v>385893.29554475198</v>
      </c>
      <c r="Y78">
        <v>21863415.732391998</v>
      </c>
      <c r="Z78">
        <v>26588366.968716599</v>
      </c>
      <c r="AA78">
        <v>51408245.465773404</v>
      </c>
      <c r="AB78">
        <v>1461165.1637601</v>
      </c>
      <c r="AC78">
        <v>-582741.77192403399</v>
      </c>
    </row>
    <row r="79" spans="2:29" x14ac:dyDescent="0.25">
      <c r="B79">
        <v>273244262.56520301</v>
      </c>
      <c r="C79">
        <v>137458738.948477</v>
      </c>
      <c r="D79">
        <v>14092099.752446</v>
      </c>
      <c r="E79">
        <v>378606.58177119901</v>
      </c>
      <c r="F79">
        <v>57321.912114722203</v>
      </c>
      <c r="I79">
        <v>146491892.74477801</v>
      </c>
      <c r="J79">
        <v>60378737.452186398</v>
      </c>
      <c r="K79">
        <v>8557703.4195575193</v>
      </c>
      <c r="L79">
        <v>148992.47071007901</v>
      </c>
      <c r="M79">
        <v>40454.586170423601</v>
      </c>
      <c r="Q79">
        <v>484063054.62428898</v>
      </c>
      <c r="R79">
        <v>286200291.82108003</v>
      </c>
      <c r="S79">
        <v>22024781.000997901</v>
      </c>
      <c r="T79">
        <v>637845.73267419601</v>
      </c>
      <c r="U79">
        <v>16909.662785300101</v>
      </c>
      <c r="Y79">
        <v>660974983.47483802</v>
      </c>
      <c r="Z79">
        <v>318727021.61023003</v>
      </c>
      <c r="AA79">
        <v>39399424.2388786</v>
      </c>
      <c r="AB79">
        <v>1051790.4307859</v>
      </c>
      <c r="AC79">
        <v>112098.25094517101</v>
      </c>
    </row>
    <row r="80" spans="2:29" x14ac:dyDescent="0.25">
      <c r="B80">
        <v>464277912.17812097</v>
      </c>
      <c r="C80">
        <v>221260886.194013</v>
      </c>
      <c r="D80">
        <v>4027422.5715171099</v>
      </c>
      <c r="E80">
        <v>-9483.5945578810806</v>
      </c>
      <c r="F80">
        <v>-224530.57897084299</v>
      </c>
      <c r="I80">
        <v>250021672.90278801</v>
      </c>
      <c r="J80">
        <v>95425262.731006801</v>
      </c>
      <c r="K80">
        <v>2722611.0718983398</v>
      </c>
      <c r="L80">
        <v>-52190.065074650702</v>
      </c>
      <c r="M80">
        <v>-135569.26404775499</v>
      </c>
      <c r="Q80">
        <v>820195073.35658002</v>
      </c>
      <c r="R80">
        <v>466384998.657359</v>
      </c>
      <c r="S80">
        <v>6055204.5657796003</v>
      </c>
      <c r="T80">
        <v>-38905.199946714201</v>
      </c>
      <c r="U80">
        <v>-428883.67958565598</v>
      </c>
      <c r="Y80">
        <v>1130401656.35395</v>
      </c>
      <c r="Z80">
        <v>530817531.79294199</v>
      </c>
      <c r="AA80">
        <v>13887445.138312001</v>
      </c>
      <c r="AB80">
        <v>331229.24389684899</v>
      </c>
      <c r="AC80">
        <v>-617312.16360792704</v>
      </c>
    </row>
    <row r="81" spans="2:29" x14ac:dyDescent="0.25">
      <c r="B81">
        <v>569363106.06087005</v>
      </c>
      <c r="C81">
        <v>264872359.840244</v>
      </c>
      <c r="D81">
        <v>-2418712.0470585302</v>
      </c>
      <c r="E81">
        <v>-233097.219245994</v>
      </c>
      <c r="F81">
        <v>-394979.28548742301</v>
      </c>
      <c r="I81">
        <v>306769976.32625097</v>
      </c>
      <c r="J81">
        <v>112817058.299578</v>
      </c>
      <c r="K81">
        <v>-1172151.82002063</v>
      </c>
      <c r="L81">
        <v>-162753.39676776101</v>
      </c>
      <c r="M81">
        <v>-257364.00572986799</v>
      </c>
      <c r="Q81">
        <v>1004500405.18511</v>
      </c>
      <c r="R81">
        <v>561829528.17446196</v>
      </c>
      <c r="S81">
        <v>-4080916.4452807899</v>
      </c>
      <c r="T81">
        <v>-388143.78795599198</v>
      </c>
      <c r="U81">
        <v>-737163.00736562803</v>
      </c>
      <c r="Y81">
        <v>1390367942.4784</v>
      </c>
      <c r="Z81">
        <v>644519270.34645104</v>
      </c>
      <c r="AA81">
        <v>-2827211.7943806602</v>
      </c>
      <c r="AB81">
        <v>-151908.46135325899</v>
      </c>
      <c r="AC81">
        <v>-1480113.8225208099</v>
      </c>
    </row>
    <row r="82" spans="2:29" x14ac:dyDescent="0.25">
      <c r="B82">
        <v>616864965.83746898</v>
      </c>
      <c r="C82">
        <v>282876246.61528802</v>
      </c>
      <c r="D82">
        <v>-3153705.8687872998</v>
      </c>
      <c r="E82">
        <v>-165580.824767015</v>
      </c>
      <c r="F82">
        <v>-670339.34652832197</v>
      </c>
      <c r="I82">
        <v>332293996.38643903</v>
      </c>
      <c r="J82">
        <v>119423044.327876</v>
      </c>
      <c r="K82">
        <v>-1741332.3999643901</v>
      </c>
      <c r="L82">
        <v>-109470.531789257</v>
      </c>
      <c r="M82">
        <v>-402988.01857502997</v>
      </c>
      <c r="Q82">
        <v>1086940681.9564199</v>
      </c>
      <c r="R82">
        <v>602208964.35997796</v>
      </c>
      <c r="S82">
        <v>-5137610.2321703499</v>
      </c>
      <c r="T82">
        <v>-273225.50013177702</v>
      </c>
      <c r="U82">
        <v>-1253599.8967826499</v>
      </c>
      <c r="Y82">
        <v>1512057354.67418</v>
      </c>
      <c r="Z82">
        <v>694982719.45150602</v>
      </c>
      <c r="AA82">
        <v>-6009787.3517637895</v>
      </c>
      <c r="AB82">
        <v>-224151.69326932699</v>
      </c>
      <c r="AC82">
        <v>-1720083.24021719</v>
      </c>
    </row>
    <row r="83" spans="2:29" x14ac:dyDescent="0.25">
      <c r="B83">
        <v>629645273.90075505</v>
      </c>
      <c r="C83">
        <v>287272316.85429198</v>
      </c>
      <c r="D83" s="1">
        <v>-8.7559601524844797E-7</v>
      </c>
      <c r="E83" s="1">
        <v>2.00598151423037E-7</v>
      </c>
      <c r="F83">
        <v>-754984.34927983605</v>
      </c>
      <c r="I83">
        <v>339131679.39755303</v>
      </c>
      <c r="J83">
        <v>120878258.304492</v>
      </c>
      <c r="K83" s="1">
        <v>-3.1705276342108799E-6</v>
      </c>
      <c r="L83" s="1">
        <v>-2.4517430574633202E-7</v>
      </c>
      <c r="M83">
        <v>-446303.91141094</v>
      </c>
      <c r="Q83">
        <v>1109116727.6998501</v>
      </c>
      <c r="R83">
        <v>612455331.18320096</v>
      </c>
      <c r="S83" s="1">
        <v>2.08174606086686E-6</v>
      </c>
      <c r="T83" s="1">
        <v>-1.11991539597511E-7</v>
      </c>
      <c r="U83">
        <v>-1391426.1494396401</v>
      </c>
      <c r="Y83">
        <v>1546878954.2523501</v>
      </c>
      <c r="Z83">
        <v>708716709.68965101</v>
      </c>
      <c r="AA83" s="1">
        <v>-3.9374572224915001E-7</v>
      </c>
      <c r="AB83" s="1">
        <v>-2.0156294340267799E-6</v>
      </c>
      <c r="AC83">
        <v>-1757344.67049101</v>
      </c>
    </row>
    <row r="84" spans="2:29" x14ac:dyDescent="0.25">
      <c r="B84">
        <v>616864965.83751798</v>
      </c>
      <c r="C84">
        <v>282876246.61532599</v>
      </c>
      <c r="D84">
        <v>3153705.8687884901</v>
      </c>
      <c r="E84">
        <v>165580.82476672201</v>
      </c>
      <c r="F84">
        <v>-670339.34652864398</v>
      </c>
      <c r="I84">
        <v>332293996.386482</v>
      </c>
      <c r="J84">
        <v>119423044.327893</v>
      </c>
      <c r="K84">
        <v>1741332.3999618399</v>
      </c>
      <c r="L84">
        <v>109470.531789125</v>
      </c>
      <c r="M84">
        <v>-402988.01857425203</v>
      </c>
      <c r="Q84">
        <v>1086940681.9565001</v>
      </c>
      <c r="R84">
        <v>602208964.36002898</v>
      </c>
      <c r="S84">
        <v>5137610.2321694903</v>
      </c>
      <c r="T84">
        <v>273225.50013151602</v>
      </c>
      <c r="U84">
        <v>-1253599.89678475</v>
      </c>
      <c r="Y84">
        <v>1512057354.67415</v>
      </c>
      <c r="Z84">
        <v>694982719.45147502</v>
      </c>
      <c r="AA84">
        <v>6009787.3517677002</v>
      </c>
      <c r="AB84">
        <v>224151.693266869</v>
      </c>
      <c r="AC84">
        <v>-1720083.24021617</v>
      </c>
    </row>
    <row r="85" spans="2:29" x14ac:dyDescent="0.25">
      <c r="B85">
        <v>569363106.06089997</v>
      </c>
      <c r="C85">
        <v>264872359.84026501</v>
      </c>
      <c r="D85">
        <v>2418712.0470605502</v>
      </c>
      <c r="E85">
        <v>233097.219244626</v>
      </c>
      <c r="F85">
        <v>-394979.28548888298</v>
      </c>
      <c r="I85">
        <v>306769976.32625002</v>
      </c>
      <c r="J85">
        <v>112817058.29957899</v>
      </c>
      <c r="K85">
        <v>1172151.82002359</v>
      </c>
      <c r="L85">
        <v>162753.39676760801</v>
      </c>
      <c r="M85">
        <v>-257364.00572923699</v>
      </c>
      <c r="Q85">
        <v>1004500405.18511</v>
      </c>
      <c r="R85">
        <v>561829528.17447603</v>
      </c>
      <c r="S85">
        <v>4080916.4452726399</v>
      </c>
      <c r="T85">
        <v>388143.78795489803</v>
      </c>
      <c r="U85">
        <v>-737163.00736083998</v>
      </c>
      <c r="Y85">
        <v>1390367942.4783499</v>
      </c>
      <c r="Z85">
        <v>644519270.34641802</v>
      </c>
      <c r="AA85">
        <v>2827211.7943875398</v>
      </c>
      <c r="AB85">
        <v>151908.461353088</v>
      </c>
      <c r="AC85">
        <v>-1480113.8225199799</v>
      </c>
    </row>
    <row r="86" spans="2:29" x14ac:dyDescent="0.25">
      <c r="B86">
        <v>464277912.17814201</v>
      </c>
      <c r="C86">
        <v>221260886.194024</v>
      </c>
      <c r="D86">
        <v>-4027422.57151841</v>
      </c>
      <c r="E86">
        <v>9483.5945582711392</v>
      </c>
      <c r="F86">
        <v>-224530.578971518</v>
      </c>
      <c r="I86">
        <v>250021672.902821</v>
      </c>
      <c r="J86">
        <v>95425262.731026396</v>
      </c>
      <c r="K86">
        <v>-2722611.0718961898</v>
      </c>
      <c r="L86">
        <v>52190.065074395898</v>
      </c>
      <c r="M86">
        <v>-135569.26404779899</v>
      </c>
      <c r="Q86">
        <v>820195073.35663199</v>
      </c>
      <c r="R86">
        <v>466384998.65738398</v>
      </c>
      <c r="S86">
        <v>-6055204.5657822499</v>
      </c>
      <c r="T86">
        <v>38905.199946166103</v>
      </c>
      <c r="U86">
        <v>-428883.67958661</v>
      </c>
      <c r="Y86">
        <v>1130401656.35391</v>
      </c>
      <c r="Z86">
        <v>530817531.79292899</v>
      </c>
      <c r="AA86">
        <v>-13887445.138308199</v>
      </c>
      <c r="AB86">
        <v>-331229.24389732798</v>
      </c>
      <c r="AC86">
        <v>-617312.16361135</v>
      </c>
    </row>
    <row r="87" spans="2:29" x14ac:dyDescent="0.25">
      <c r="B87">
        <v>273244262.56525099</v>
      </c>
      <c r="C87">
        <v>137458738.948511</v>
      </c>
      <c r="D87">
        <v>-14092099.7524451</v>
      </c>
      <c r="E87">
        <v>-378606.58177255403</v>
      </c>
      <c r="F87">
        <v>57321.912116593703</v>
      </c>
      <c r="I87">
        <v>146491892.74480599</v>
      </c>
      <c r="J87">
        <v>60378737.452199697</v>
      </c>
      <c r="K87">
        <v>-8557703.4195572305</v>
      </c>
      <c r="L87">
        <v>-148992.470710689</v>
      </c>
      <c r="M87">
        <v>40454.586170657298</v>
      </c>
      <c r="Q87">
        <v>484063054.62433398</v>
      </c>
      <c r="R87">
        <v>286200291.82110602</v>
      </c>
      <c r="S87">
        <v>-22024781.0009958</v>
      </c>
      <c r="T87">
        <v>-637845.73267600394</v>
      </c>
      <c r="U87">
        <v>16909.662786697001</v>
      </c>
      <c r="Y87">
        <v>660974983.47481096</v>
      </c>
      <c r="Z87">
        <v>318727021.61021602</v>
      </c>
      <c r="AA87">
        <v>-39399424.238881998</v>
      </c>
      <c r="AB87">
        <v>-1051790.43078809</v>
      </c>
      <c r="AC87">
        <v>112098.250945131</v>
      </c>
    </row>
    <row r="88" spans="2:29" x14ac:dyDescent="0.25">
      <c r="B88">
        <v>13430845.8823763</v>
      </c>
      <c r="C88">
        <v>20800995.881713498</v>
      </c>
      <c r="D88">
        <v>-18418108.533645999</v>
      </c>
      <c r="E88">
        <v>-497236.08461007301</v>
      </c>
      <c r="F88">
        <v>169532.342974495</v>
      </c>
      <c r="I88">
        <v>6126144.6181853898</v>
      </c>
      <c r="J88">
        <v>10788699.362720599</v>
      </c>
      <c r="K88">
        <v>-10945547.283054199</v>
      </c>
      <c r="L88">
        <v>-207392.07916010299</v>
      </c>
      <c r="M88">
        <v>84033.446843472499</v>
      </c>
      <c r="Q88">
        <v>27033703.489491101</v>
      </c>
      <c r="R88">
        <v>37624471.179113999</v>
      </c>
      <c r="S88">
        <v>-28896307.383044001</v>
      </c>
      <c r="T88">
        <v>-841400.94219237496</v>
      </c>
      <c r="U88">
        <v>385893.295546857</v>
      </c>
      <c r="Y88">
        <v>21863415.732391801</v>
      </c>
      <c r="Z88">
        <v>26588366.9687161</v>
      </c>
      <c r="AA88">
        <v>-51408245.465776101</v>
      </c>
      <c r="AB88">
        <v>-1461165.16375707</v>
      </c>
      <c r="AC88">
        <v>-582741.77192501596</v>
      </c>
    </row>
    <row r="89" spans="2:29" x14ac:dyDescent="0.25">
      <c r="B89">
        <v>17640389.963176601</v>
      </c>
      <c r="C89">
        <v>23290274.7087689</v>
      </c>
      <c r="D89">
        <v>30548823.781411201</v>
      </c>
      <c r="E89">
        <v>310358.04122363799</v>
      </c>
      <c r="F89">
        <v>-1322015.33978768</v>
      </c>
      <c r="I89">
        <v>8474321.8009920903</v>
      </c>
      <c r="J89">
        <v>11972616.3764688</v>
      </c>
      <c r="K89">
        <v>18346829.964337599</v>
      </c>
      <c r="L89">
        <v>127868.08397429201</v>
      </c>
      <c r="M89">
        <v>-774359.27184135094</v>
      </c>
      <c r="Q89">
        <v>34429086.690048501</v>
      </c>
      <c r="R89">
        <v>42608345.762457497</v>
      </c>
      <c r="S89">
        <v>46428986.764568701</v>
      </c>
      <c r="T89">
        <v>460453.81244179799</v>
      </c>
      <c r="U89">
        <v>-1897695.9840450599</v>
      </c>
      <c r="Y89">
        <v>27869414.237357698</v>
      </c>
      <c r="Z89">
        <v>28750356.848030601</v>
      </c>
      <c r="AA89">
        <v>94609171.680492803</v>
      </c>
      <c r="AB89">
        <v>1769567.01322844</v>
      </c>
      <c r="AC89">
        <v>399994.44728807203</v>
      </c>
    </row>
    <row r="90" spans="2:29" x14ac:dyDescent="0.25">
      <c r="B90">
        <v>323846482.610439</v>
      </c>
      <c r="C90">
        <v>159642687.04717201</v>
      </c>
      <c r="D90">
        <v>20220724.156373002</v>
      </c>
      <c r="E90">
        <v>191687.645606076</v>
      </c>
      <c r="F90">
        <v>1154621.4491993899</v>
      </c>
      <c r="I90">
        <v>174022505.19081101</v>
      </c>
      <c r="J90">
        <v>69626790.356312796</v>
      </c>
      <c r="K90">
        <v>12454252.748694601</v>
      </c>
      <c r="L90">
        <v>33793.4456646873</v>
      </c>
      <c r="M90">
        <v>592542.27696133603</v>
      </c>
      <c r="Q90">
        <v>571665518.80355</v>
      </c>
      <c r="R90">
        <v>333627547.313761</v>
      </c>
      <c r="S90">
        <v>30482720.478477899</v>
      </c>
      <c r="T90">
        <v>329471.447356619</v>
      </c>
      <c r="U90">
        <v>2044334.61111978</v>
      </c>
      <c r="Y90">
        <v>771614675.75833905</v>
      </c>
      <c r="Z90">
        <v>359528540.332102</v>
      </c>
      <c r="AA90">
        <v>63415337.9204612</v>
      </c>
      <c r="AB90">
        <v>801575.76343490102</v>
      </c>
      <c r="AC90">
        <v>-1441391.9954268101</v>
      </c>
    </row>
    <row r="91" spans="2:29" x14ac:dyDescent="0.25">
      <c r="B91">
        <v>492160712.71010602</v>
      </c>
      <c r="C91">
        <v>233769651.284814</v>
      </c>
      <c r="D91">
        <v>-732615.32095745101</v>
      </c>
      <c r="E91">
        <v>87316.480507336601</v>
      </c>
      <c r="F91">
        <v>-269964.66937769903</v>
      </c>
      <c r="I91">
        <v>264515086.34470999</v>
      </c>
      <c r="J91">
        <v>100115587.270202</v>
      </c>
      <c r="K91">
        <v>76249.941678076793</v>
      </c>
      <c r="L91">
        <v>-17898.309779414602</v>
      </c>
      <c r="M91">
        <v>-224913.065247035</v>
      </c>
      <c r="Q91">
        <v>865603079.05703998</v>
      </c>
      <c r="R91">
        <v>492076288.651784</v>
      </c>
      <c r="S91">
        <v>-2586732.5578682101</v>
      </c>
      <c r="T91">
        <v>166537.74369211099</v>
      </c>
      <c r="U91">
        <v>-418069.40274055401</v>
      </c>
      <c r="Y91">
        <v>1165216302.3298399</v>
      </c>
      <c r="Z91">
        <v>536105025.92253703</v>
      </c>
      <c r="AA91">
        <v>7937905.1082794396</v>
      </c>
      <c r="AB91">
        <v>-279001.43102688401</v>
      </c>
      <c r="AC91">
        <v>-2356478.0214406401</v>
      </c>
    </row>
    <row r="92" spans="2:29" x14ac:dyDescent="0.25">
      <c r="B92">
        <v>542378183.60720396</v>
      </c>
      <c r="C92">
        <v>253656394.58258</v>
      </c>
      <c r="D92">
        <v>-9219470.0322432294</v>
      </c>
      <c r="E92">
        <v>-260478.657405951</v>
      </c>
      <c r="F92">
        <v>-566903.21883830999</v>
      </c>
      <c r="I92">
        <v>290982985.85464102</v>
      </c>
      <c r="J92">
        <v>107384488.340547</v>
      </c>
      <c r="K92">
        <v>-5157915.1375500998</v>
      </c>
      <c r="L92">
        <v>-172682.71159097299</v>
      </c>
      <c r="M92">
        <v>-384315.66228878399</v>
      </c>
      <c r="Q92">
        <v>949028768.36273801</v>
      </c>
      <c r="R92">
        <v>534023554.33052999</v>
      </c>
      <c r="S92">
        <v>-15567413.3631409</v>
      </c>
      <c r="T92">
        <v>-459554.80619348102</v>
      </c>
      <c r="U92">
        <v>-820241.95328590204</v>
      </c>
      <c r="Y92">
        <v>1299605921.2706201</v>
      </c>
      <c r="Z92">
        <v>594008619.53421605</v>
      </c>
      <c r="AA92">
        <v>-14175113.1232723</v>
      </c>
      <c r="AB92">
        <v>-430657.68409043399</v>
      </c>
      <c r="AC92">
        <v>-3042779.0187367299</v>
      </c>
    </row>
    <row r="93" spans="2:29" x14ac:dyDescent="0.25">
      <c r="B93">
        <v>559224152.66147995</v>
      </c>
      <c r="C93">
        <v>258714398.54201701</v>
      </c>
      <c r="D93">
        <v>-7402494.5417007301</v>
      </c>
      <c r="E93">
        <v>-196958.26249509701</v>
      </c>
      <c r="F93">
        <v>-339503.70668877399</v>
      </c>
      <c r="I93">
        <v>299504059.978742</v>
      </c>
      <c r="J93">
        <v>108553326.86632299</v>
      </c>
      <c r="K93">
        <v>-4264221.0525465701</v>
      </c>
      <c r="L93">
        <v>-121721.93326891</v>
      </c>
      <c r="M93">
        <v>-263950.46360021899</v>
      </c>
      <c r="Q93">
        <v>976093663.73806405</v>
      </c>
      <c r="R93">
        <v>545384694.93060803</v>
      </c>
      <c r="S93">
        <v>-12105820.795005601</v>
      </c>
      <c r="T93">
        <v>-334394.10456932301</v>
      </c>
      <c r="U93">
        <v>-440468.73740690702</v>
      </c>
      <c r="Y93">
        <v>1350206604.2298</v>
      </c>
      <c r="Z93">
        <v>613561038.62665403</v>
      </c>
      <c r="AA93">
        <v>-13199734.849427</v>
      </c>
      <c r="AB93">
        <v>-275137.50203774602</v>
      </c>
      <c r="AC93">
        <v>-3284201.2248484599</v>
      </c>
    </row>
    <row r="94" spans="2:29" x14ac:dyDescent="0.25">
      <c r="B94">
        <v>561820435.20369697</v>
      </c>
      <c r="C94">
        <v>258839679.723683</v>
      </c>
      <c r="D94" s="1">
        <v>3.42901330441237E-6</v>
      </c>
      <c r="E94" s="1">
        <v>4.1487510316073901E-8</v>
      </c>
      <c r="F94">
        <v>-312418.69823594502</v>
      </c>
      <c r="I94">
        <v>300705254.00477701</v>
      </c>
      <c r="J94">
        <v>108235534.617287</v>
      </c>
      <c r="K94" s="1">
        <v>-7.6296419138088801E-7</v>
      </c>
      <c r="L94" s="1">
        <v>-1.3307726476341499E-8</v>
      </c>
      <c r="M94">
        <v>-246509.16294191999</v>
      </c>
      <c r="Q94">
        <v>979799048.24821496</v>
      </c>
      <c r="R94">
        <v>545969619.97379696</v>
      </c>
      <c r="S94" s="1">
        <v>1.5094119589775801E-6</v>
      </c>
      <c r="T94" s="1">
        <v>-1.9287836039438799E-7</v>
      </c>
      <c r="U94">
        <v>-422522.42202576698</v>
      </c>
      <c r="Y94">
        <v>1362780042.1570499</v>
      </c>
      <c r="Z94">
        <v>617751428.96717298</v>
      </c>
      <c r="AA94" s="1">
        <v>-1.06377410702407E-6</v>
      </c>
      <c r="AB94" s="1">
        <v>-8.3506893133744597E-7</v>
      </c>
      <c r="AC94">
        <v>-3267863.8594891401</v>
      </c>
    </row>
    <row r="95" spans="2:29" x14ac:dyDescent="0.25">
      <c r="B95">
        <v>559224152.66156304</v>
      </c>
      <c r="C95">
        <v>258714398.54207101</v>
      </c>
      <c r="D95">
        <v>7402494.5417017704</v>
      </c>
      <c r="E95">
        <v>196958.26249538301</v>
      </c>
      <c r="F95">
        <v>-339503.706690319</v>
      </c>
      <c r="I95">
        <v>299504059.97876298</v>
      </c>
      <c r="J95">
        <v>108553326.86633</v>
      </c>
      <c r="K95">
        <v>4264221.0525460998</v>
      </c>
      <c r="L95">
        <v>121721.933268726</v>
      </c>
      <c r="M95">
        <v>-263950.46360122599</v>
      </c>
      <c r="Q95">
        <v>976093663.73804104</v>
      </c>
      <c r="R95">
        <v>545384694.93059099</v>
      </c>
      <c r="S95">
        <v>12105820.795006599</v>
      </c>
      <c r="T95">
        <v>334394.10457096202</v>
      </c>
      <c r="U95">
        <v>-440468.73740665801</v>
      </c>
      <c r="Y95">
        <v>1350206604.2297599</v>
      </c>
      <c r="Z95">
        <v>613561038.62661803</v>
      </c>
      <c r="AA95">
        <v>13199734.849429799</v>
      </c>
      <c r="AB95">
        <v>275137.50203651702</v>
      </c>
      <c r="AC95">
        <v>-3284201.2248479198</v>
      </c>
    </row>
    <row r="96" spans="2:29" x14ac:dyDescent="0.25">
      <c r="B96">
        <v>542378183.60728002</v>
      </c>
      <c r="C96">
        <v>253656394.58262101</v>
      </c>
      <c r="D96">
        <v>9219470.0322412606</v>
      </c>
      <c r="E96">
        <v>260478.65740557399</v>
      </c>
      <c r="F96">
        <v>-566903.21883806598</v>
      </c>
      <c r="I96">
        <v>290982985.85471398</v>
      </c>
      <c r="J96">
        <v>107384488.34058499</v>
      </c>
      <c r="K96">
        <v>5157915.1375509501</v>
      </c>
      <c r="L96">
        <v>172682.71159101799</v>
      </c>
      <c r="M96">
        <v>-384315.66228877701</v>
      </c>
      <c r="Q96">
        <v>949028768.36285996</v>
      </c>
      <c r="R96">
        <v>534023554.33061898</v>
      </c>
      <c r="S96">
        <v>15567413.3631356</v>
      </c>
      <c r="T96">
        <v>459554.80619314202</v>
      </c>
      <c r="U96">
        <v>-820241.95328901301</v>
      </c>
      <c r="Y96">
        <v>1299605921.2705901</v>
      </c>
      <c r="Z96">
        <v>594008619.53420103</v>
      </c>
      <c r="AA96">
        <v>14175113.1232784</v>
      </c>
      <c r="AB96">
        <v>430657.684089627</v>
      </c>
      <c r="AC96">
        <v>-3042779.0187343801</v>
      </c>
    </row>
    <row r="97" spans="2:29" x14ac:dyDescent="0.25">
      <c r="B97">
        <v>492160712.71016401</v>
      </c>
      <c r="C97">
        <v>233769651.28484699</v>
      </c>
      <c r="D97">
        <v>732615.32095774403</v>
      </c>
      <c r="E97">
        <v>-87316.480507689994</v>
      </c>
      <c r="F97">
        <v>-269964.669377346</v>
      </c>
      <c r="I97">
        <v>264515086.34474301</v>
      </c>
      <c r="J97">
        <v>100115587.270219</v>
      </c>
      <c r="K97">
        <v>-76249.941677253999</v>
      </c>
      <c r="L97">
        <v>17898.309779072901</v>
      </c>
      <c r="M97">
        <v>-224913.065246974</v>
      </c>
      <c r="Q97">
        <v>865603079.05709505</v>
      </c>
      <c r="R97">
        <v>492076288.65181297</v>
      </c>
      <c r="S97">
        <v>2586732.5578647801</v>
      </c>
      <c r="T97">
        <v>-166537.74369297299</v>
      </c>
      <c r="U97">
        <v>-418069.402737292</v>
      </c>
      <c r="Y97">
        <v>1165216302.3297701</v>
      </c>
      <c r="Z97">
        <v>536105025.922499</v>
      </c>
      <c r="AA97">
        <v>-7937905.1082769101</v>
      </c>
      <c r="AB97">
        <v>279001.43102689402</v>
      </c>
      <c r="AC97">
        <v>-2356478.02144195</v>
      </c>
    </row>
    <row r="98" spans="2:29" x14ac:dyDescent="0.25">
      <c r="B98">
        <v>323846482.61047697</v>
      </c>
      <c r="C98">
        <v>159642687.04719901</v>
      </c>
      <c r="D98">
        <v>-20220724.1563728</v>
      </c>
      <c r="E98">
        <v>-191687.645606943</v>
      </c>
      <c r="F98">
        <v>1154621.44919924</v>
      </c>
      <c r="I98">
        <v>174022505.19081199</v>
      </c>
      <c r="J98">
        <v>69626790.356313407</v>
      </c>
      <c r="K98">
        <v>-12454252.7486952</v>
      </c>
      <c r="L98">
        <v>-33793.445665047897</v>
      </c>
      <c r="M98">
        <v>592542.27696153405</v>
      </c>
      <c r="Q98">
        <v>571665518.80356503</v>
      </c>
      <c r="R98">
        <v>333627547.31376803</v>
      </c>
      <c r="S98">
        <v>-30482720.478477798</v>
      </c>
      <c r="T98">
        <v>-329471.44735787</v>
      </c>
      <c r="U98">
        <v>2044334.61111976</v>
      </c>
      <c r="Y98">
        <v>771614675.75829601</v>
      </c>
      <c r="Z98">
        <v>359528540.33207798</v>
      </c>
      <c r="AA98">
        <v>-63415337.920461297</v>
      </c>
      <c r="AB98">
        <v>-801575.76343584806</v>
      </c>
      <c r="AC98">
        <v>-1441391.9954251</v>
      </c>
    </row>
    <row r="99" spans="2:29" x14ac:dyDescent="0.25">
      <c r="B99">
        <v>17640389.963177599</v>
      </c>
      <c r="C99">
        <v>23290274.708767999</v>
      </c>
      <c r="D99">
        <v>-30548823.781412698</v>
      </c>
      <c r="E99">
        <v>-310358.04122261499</v>
      </c>
      <c r="F99">
        <v>-1322015.3397876499</v>
      </c>
      <c r="I99">
        <v>8474321.8009926304</v>
      </c>
      <c r="J99">
        <v>11972616.3764691</v>
      </c>
      <c r="K99">
        <v>-18346829.964337699</v>
      </c>
      <c r="L99">
        <v>-127868.083973304</v>
      </c>
      <c r="M99">
        <v>-774359.27184206003</v>
      </c>
      <c r="Q99">
        <v>34429086.690049402</v>
      </c>
      <c r="R99">
        <v>42608345.7624579</v>
      </c>
      <c r="S99">
        <v>-46428986.764568299</v>
      </c>
      <c r="T99">
        <v>-460453.81243904697</v>
      </c>
      <c r="U99">
        <v>-1897695.9840470201</v>
      </c>
      <c r="Y99">
        <v>27869414.237357799</v>
      </c>
      <c r="Z99">
        <v>28750356.848029599</v>
      </c>
      <c r="AA99">
        <v>-94609171.680491105</v>
      </c>
      <c r="AB99">
        <v>-1769567.0132261701</v>
      </c>
      <c r="AC99">
        <v>399994.44728952501</v>
      </c>
    </row>
    <row r="100" spans="2:29" x14ac:dyDescent="0.25">
      <c r="B100">
        <v>82567310.107487604</v>
      </c>
      <c r="C100">
        <v>51710975.356037296</v>
      </c>
      <c r="D100">
        <v>57158478.490488403</v>
      </c>
      <c r="E100">
        <v>2347777.0796936601</v>
      </c>
      <c r="F100">
        <v>-4862580.2877265299</v>
      </c>
      <c r="I100">
        <v>42944280.416914403</v>
      </c>
      <c r="J100">
        <v>23626695.9550208</v>
      </c>
      <c r="K100">
        <v>34771302.267132998</v>
      </c>
      <c r="L100">
        <v>1033615.05912961</v>
      </c>
      <c r="M100">
        <v>-2193136.9995363401</v>
      </c>
      <c r="Q100">
        <v>152261635.172405</v>
      </c>
      <c r="R100">
        <v>106254144.736637</v>
      </c>
      <c r="S100">
        <v>85541119.134272695</v>
      </c>
      <c r="T100">
        <v>4308284.7071601404</v>
      </c>
      <c r="U100">
        <v>-9561706.70019475</v>
      </c>
      <c r="Y100">
        <v>170766842.50099799</v>
      </c>
      <c r="Z100">
        <v>88976955.726444796</v>
      </c>
      <c r="AA100">
        <v>163543443.015937</v>
      </c>
      <c r="AB100">
        <v>-1158.5213597130501</v>
      </c>
      <c r="AC100">
        <v>2813398.5416172799</v>
      </c>
    </row>
    <row r="101" spans="2:29" x14ac:dyDescent="0.25">
      <c r="B101">
        <v>458999103.32162702</v>
      </c>
      <c r="C101">
        <v>218901987.37890401</v>
      </c>
      <c r="D101">
        <v>14052194.4700027</v>
      </c>
      <c r="E101">
        <v>133374.44228052799</v>
      </c>
      <c r="F101">
        <v>774431.56415940495</v>
      </c>
      <c r="I101">
        <v>246488211.91287801</v>
      </c>
      <c r="J101">
        <v>93605463.937226295</v>
      </c>
      <c r="K101">
        <v>9410903.3152210396</v>
      </c>
      <c r="L101">
        <v>6108.4448248389099</v>
      </c>
      <c r="M101">
        <v>207307.93449650501</v>
      </c>
      <c r="Q101">
        <v>815059210.67547798</v>
      </c>
      <c r="R101">
        <v>466236741.83492202</v>
      </c>
      <c r="S101">
        <v>17074248.784255799</v>
      </c>
      <c r="T101">
        <v>196028.66906755901</v>
      </c>
      <c r="U101">
        <v>1964557.3263741699</v>
      </c>
      <c r="Y101">
        <v>985604862.60774601</v>
      </c>
      <c r="Z101">
        <v>437416421.05289501</v>
      </c>
      <c r="AA101">
        <v>56680921.227770798</v>
      </c>
      <c r="AB101">
        <v>-96291.781308742196</v>
      </c>
      <c r="AC101">
        <v>-2704968.7531294799</v>
      </c>
    </row>
    <row r="102" spans="2:29" x14ac:dyDescent="0.25">
      <c r="B102">
        <v>541506792.72959697</v>
      </c>
      <c r="C102">
        <v>261725253.10783401</v>
      </c>
      <c r="D102">
        <v>-14554677.601134</v>
      </c>
      <c r="E102">
        <v>-694555.76426323096</v>
      </c>
      <c r="F102">
        <v>1706870.9979197099</v>
      </c>
      <c r="I102">
        <v>289663442.25132799</v>
      </c>
      <c r="J102">
        <v>111598128.463827</v>
      </c>
      <c r="K102">
        <v>-7907072.7705083098</v>
      </c>
      <c r="L102">
        <v>-394241.967388527</v>
      </c>
      <c r="M102">
        <v>678972.59990962199</v>
      </c>
      <c r="Q102">
        <v>949605468.76725495</v>
      </c>
      <c r="R102">
        <v>549864296.18133795</v>
      </c>
      <c r="S102">
        <v>-26198235.276209701</v>
      </c>
      <c r="T102">
        <v>-1163067.3612096501</v>
      </c>
      <c r="U102">
        <v>3677994.99419019</v>
      </c>
      <c r="Y102">
        <v>1041588134.3588901</v>
      </c>
      <c r="Z102">
        <v>474317067.46938998</v>
      </c>
      <c r="AA102">
        <v>-17970807.560325999</v>
      </c>
      <c r="AB102">
        <v>-196449.18937489099</v>
      </c>
      <c r="AC102">
        <v>-4702387.3919684999</v>
      </c>
    </row>
    <row r="103" spans="2:29" x14ac:dyDescent="0.25">
      <c r="B103">
        <v>538564538.85073602</v>
      </c>
      <c r="C103">
        <v>259611776.23782799</v>
      </c>
      <c r="D103">
        <v>-19349984.2113025</v>
      </c>
      <c r="E103">
        <v>-304902.13873396599</v>
      </c>
      <c r="F103">
        <v>1415975.5251331199</v>
      </c>
      <c r="I103">
        <v>287575487.06150502</v>
      </c>
      <c r="J103">
        <v>110102897.989298</v>
      </c>
      <c r="K103">
        <v>-11149805.5114336</v>
      </c>
      <c r="L103">
        <v>-175924.36432521499</v>
      </c>
      <c r="M103">
        <v>598969.34180553502</v>
      </c>
      <c r="Q103">
        <v>938354203.33642399</v>
      </c>
      <c r="R103">
        <v>542872442.43635595</v>
      </c>
      <c r="S103">
        <v>-32247413.548638701</v>
      </c>
      <c r="T103">
        <v>-518240.060423246</v>
      </c>
      <c r="U103">
        <v>3058066.9171931199</v>
      </c>
      <c r="Y103">
        <v>1036183803.5175</v>
      </c>
      <c r="Z103">
        <v>472718325.99795699</v>
      </c>
      <c r="AA103">
        <v>-32933802.2513794</v>
      </c>
      <c r="AB103">
        <v>-293351.09163043997</v>
      </c>
      <c r="AC103">
        <v>-3998303.3701921599</v>
      </c>
    </row>
    <row r="104" spans="2:29" x14ac:dyDescent="0.25">
      <c r="B104">
        <v>531789892.74664199</v>
      </c>
      <c r="C104">
        <v>255453682.39975601</v>
      </c>
      <c r="D104">
        <v>-12363593.8172436</v>
      </c>
      <c r="E104">
        <v>-140859.73161374399</v>
      </c>
      <c r="F104">
        <v>1655589.37762183</v>
      </c>
      <c r="I104">
        <v>283529517.65814298</v>
      </c>
      <c r="J104">
        <v>107825501.71031401</v>
      </c>
      <c r="K104">
        <v>-7238512.3245872697</v>
      </c>
      <c r="L104">
        <v>-83440.514961320601</v>
      </c>
      <c r="M104">
        <v>757482.65954080306</v>
      </c>
      <c r="Q104">
        <v>924323022.55937898</v>
      </c>
      <c r="R104">
        <v>533734488.70956397</v>
      </c>
      <c r="S104">
        <v>-20183059.867659401</v>
      </c>
      <c r="T104">
        <v>-244187.753680455</v>
      </c>
      <c r="U104">
        <v>3528028.32860763</v>
      </c>
      <c r="Y104">
        <v>1034913071.60957</v>
      </c>
      <c r="Z104">
        <v>470748991.51612902</v>
      </c>
      <c r="AA104">
        <v>-21768880.595454</v>
      </c>
      <c r="AB104">
        <v>-147166.35082064199</v>
      </c>
      <c r="AC104">
        <v>-3474806.0558944899</v>
      </c>
    </row>
    <row r="105" spans="2:29" x14ac:dyDescent="0.25">
      <c r="B105">
        <v>528731735.158943</v>
      </c>
      <c r="C105">
        <v>253562707.831323</v>
      </c>
      <c r="D105" s="1">
        <v>2.9270704544615E-6</v>
      </c>
      <c r="E105" s="1">
        <v>5.1943061407655499E-7</v>
      </c>
      <c r="F105">
        <v>1811876.6314801199</v>
      </c>
      <c r="I105">
        <v>281727265.46634299</v>
      </c>
      <c r="J105">
        <v>106817546.98017301</v>
      </c>
      <c r="K105" s="1">
        <v>-5.3885173656453802E-7</v>
      </c>
      <c r="L105" s="1">
        <v>2.91543983621523E-7</v>
      </c>
      <c r="M105">
        <v>848350.79261524696</v>
      </c>
      <c r="Q105">
        <v>918445276.25284302</v>
      </c>
      <c r="R105">
        <v>529799430.85852802</v>
      </c>
      <c r="S105" s="1">
        <v>-1.55894667841494E-7</v>
      </c>
      <c r="T105" s="1">
        <v>4.0869053918868298E-7</v>
      </c>
      <c r="U105">
        <v>3811897.67836757</v>
      </c>
      <c r="Y105">
        <v>1033963455.83597</v>
      </c>
      <c r="Z105">
        <v>469554180.212502</v>
      </c>
      <c r="AA105" s="1">
        <v>-1.54113513417542E-6</v>
      </c>
      <c r="AB105" s="1">
        <v>5.4259726312011502E-7</v>
      </c>
      <c r="AC105">
        <v>-3311389.1429432798</v>
      </c>
    </row>
    <row r="106" spans="2:29" x14ac:dyDescent="0.25">
      <c r="B106">
        <v>531789892.74662799</v>
      </c>
      <c r="C106">
        <v>255453682.399753</v>
      </c>
      <c r="D106">
        <v>12363593.817245901</v>
      </c>
      <c r="E106">
        <v>140859.73161530701</v>
      </c>
      <c r="F106">
        <v>1655589.3776205799</v>
      </c>
      <c r="I106">
        <v>283529517.65815997</v>
      </c>
      <c r="J106">
        <v>107825501.71032099</v>
      </c>
      <c r="K106">
        <v>7238512.3245879896</v>
      </c>
      <c r="L106">
        <v>83440.5149622998</v>
      </c>
      <c r="M106">
        <v>757482.65954136197</v>
      </c>
      <c r="Q106">
        <v>924323022.55936503</v>
      </c>
      <c r="R106">
        <v>533734488.70955402</v>
      </c>
      <c r="S106">
        <v>20183059.867662501</v>
      </c>
      <c r="T106">
        <v>244187.753682696</v>
      </c>
      <c r="U106">
        <v>3528028.3286086</v>
      </c>
      <c r="Y106">
        <v>1034913071.60957</v>
      </c>
      <c r="Z106">
        <v>470748991.51612002</v>
      </c>
      <c r="AA106">
        <v>21768880.595455699</v>
      </c>
      <c r="AB106">
        <v>147166.35082226299</v>
      </c>
      <c r="AC106">
        <v>-3474806.0558936498</v>
      </c>
    </row>
    <row r="107" spans="2:29" x14ac:dyDescent="0.25">
      <c r="B107">
        <v>538564538.85074198</v>
      </c>
      <c r="C107">
        <v>259611776.23783401</v>
      </c>
      <c r="D107">
        <v>19349984.211300999</v>
      </c>
      <c r="E107">
        <v>304902.13873492699</v>
      </c>
      <c r="F107">
        <v>1415975.5251319299</v>
      </c>
      <c r="I107">
        <v>287575487.06151497</v>
      </c>
      <c r="J107">
        <v>110102897.989305</v>
      </c>
      <c r="K107">
        <v>11149805.511433801</v>
      </c>
      <c r="L107">
        <v>175924.364325776</v>
      </c>
      <c r="M107">
        <v>598969.34180510102</v>
      </c>
      <c r="Q107">
        <v>938354203.33638501</v>
      </c>
      <c r="R107">
        <v>542872442.43633497</v>
      </c>
      <c r="S107">
        <v>32247413.548636701</v>
      </c>
      <c r="T107">
        <v>518240.06042480899</v>
      </c>
      <c r="U107">
        <v>3058066.9171924898</v>
      </c>
      <c r="Y107">
        <v>1036183803.51748</v>
      </c>
      <c r="Z107">
        <v>472718325.99794799</v>
      </c>
      <c r="AA107">
        <v>32933802.251385599</v>
      </c>
      <c r="AB107">
        <v>293351.091631955</v>
      </c>
      <c r="AC107">
        <v>-3998303.3701908798</v>
      </c>
    </row>
    <row r="108" spans="2:29" x14ac:dyDescent="0.25">
      <c r="B108">
        <v>541506792.72962797</v>
      </c>
      <c r="C108">
        <v>261725253.10785201</v>
      </c>
      <c r="D108">
        <v>14554677.601134401</v>
      </c>
      <c r="E108">
        <v>694555.76426411595</v>
      </c>
      <c r="F108">
        <v>1706870.9979190801</v>
      </c>
      <c r="I108">
        <v>289663442.25133699</v>
      </c>
      <c r="J108">
        <v>111598128.46383201</v>
      </c>
      <c r="K108">
        <v>7907072.7705072397</v>
      </c>
      <c r="L108">
        <v>394241.96738885902</v>
      </c>
      <c r="M108">
        <v>678972.59990931198</v>
      </c>
      <c r="Q108">
        <v>949605468.76725996</v>
      </c>
      <c r="R108">
        <v>549864296.18134296</v>
      </c>
      <c r="S108">
        <v>26198235.2762057</v>
      </c>
      <c r="T108">
        <v>1163067.3612108801</v>
      </c>
      <c r="U108">
        <v>3677994.99418863</v>
      </c>
      <c r="Y108">
        <v>1041588134.3589</v>
      </c>
      <c r="Z108">
        <v>474317067.46939802</v>
      </c>
      <c r="AA108">
        <v>17970807.560328599</v>
      </c>
      <c r="AB108">
        <v>196449.18937655599</v>
      </c>
      <c r="AC108">
        <v>-4702387.39196839</v>
      </c>
    </row>
    <row r="109" spans="2:29" x14ac:dyDescent="0.25">
      <c r="B109">
        <v>458999103.32163298</v>
      </c>
      <c r="C109">
        <v>218901987.37890899</v>
      </c>
      <c r="D109">
        <v>-14052194.4700041</v>
      </c>
      <c r="E109">
        <v>-133374.44228026399</v>
      </c>
      <c r="F109">
        <v>774431.56415921997</v>
      </c>
      <c r="I109">
        <v>246488211.912884</v>
      </c>
      <c r="J109">
        <v>93605463.937228397</v>
      </c>
      <c r="K109">
        <v>-9410903.3152215406</v>
      </c>
      <c r="L109">
        <v>-6108.4448246708798</v>
      </c>
      <c r="M109">
        <v>207307.934496564</v>
      </c>
      <c r="Q109">
        <v>815059210.67547095</v>
      </c>
      <c r="R109">
        <v>466236741.83491403</v>
      </c>
      <c r="S109">
        <v>-17074248.784257598</v>
      </c>
      <c r="T109">
        <v>-196028.66906708101</v>
      </c>
      <c r="U109">
        <v>1964557.32637548</v>
      </c>
      <c r="Y109">
        <v>985604862.60775495</v>
      </c>
      <c r="Z109">
        <v>437416421.05289602</v>
      </c>
      <c r="AA109">
        <v>-56680921.227770701</v>
      </c>
      <c r="AB109">
        <v>96291.7813093187</v>
      </c>
      <c r="AC109">
        <v>-2704968.7531273901</v>
      </c>
    </row>
    <row r="110" spans="2:29" x14ac:dyDescent="0.25">
      <c r="B110">
        <v>82567310.1074875</v>
      </c>
      <c r="C110">
        <v>51710975.356037103</v>
      </c>
      <c r="D110">
        <v>-57158478.490491301</v>
      </c>
      <c r="E110">
        <v>-2347777.0796927302</v>
      </c>
      <c r="F110">
        <v>-4862580.2877249196</v>
      </c>
      <c r="I110">
        <v>42944280.416914403</v>
      </c>
      <c r="J110">
        <v>23626695.9550202</v>
      </c>
      <c r="K110">
        <v>-34771302.267132901</v>
      </c>
      <c r="L110">
        <v>-1033615.05912906</v>
      </c>
      <c r="M110">
        <v>-2193136.99953506</v>
      </c>
      <c r="Q110">
        <v>152261635.172405</v>
      </c>
      <c r="R110">
        <v>106254144.736634</v>
      </c>
      <c r="S110">
        <v>-85541119.134272501</v>
      </c>
      <c r="T110">
        <v>-4308284.7071583401</v>
      </c>
      <c r="U110">
        <v>-9561706.7001938</v>
      </c>
      <c r="Y110">
        <v>170766842.50099701</v>
      </c>
      <c r="Z110">
        <v>88976955.726442605</v>
      </c>
      <c r="AA110">
        <v>-163543443.01593599</v>
      </c>
      <c r="AB110">
        <v>1158.5213600658999</v>
      </c>
      <c r="AC110">
        <v>2813398.5416176398</v>
      </c>
    </row>
    <row r="111" spans="2:29" x14ac:dyDescent="0.25">
      <c r="B111">
        <v>137011110.14204901</v>
      </c>
      <c r="C111">
        <v>62120716.440687701</v>
      </c>
      <c r="D111">
        <v>121870311.79963499</v>
      </c>
      <c r="E111">
        <v>-1824180.3123341999</v>
      </c>
      <c r="F111">
        <v>19890579.7550929</v>
      </c>
      <c r="I111">
        <v>72524998.142044306</v>
      </c>
      <c r="J111">
        <v>25591574.499373998</v>
      </c>
      <c r="K111">
        <v>73949073.323662102</v>
      </c>
      <c r="L111">
        <v>-1296558.1332966799</v>
      </c>
      <c r="M111">
        <v>9165655.02968942</v>
      </c>
      <c r="Q111">
        <v>248477413.30435801</v>
      </c>
      <c r="R111">
        <v>137388161.41737601</v>
      </c>
      <c r="S111">
        <v>177510615.11923501</v>
      </c>
      <c r="T111">
        <v>-2471945.4559398298</v>
      </c>
      <c r="U111">
        <v>37866557.071297199</v>
      </c>
      <c r="Y111">
        <v>306332042.41003197</v>
      </c>
      <c r="Z111">
        <v>136684596.25642601</v>
      </c>
      <c r="AA111">
        <v>218561647.33943301</v>
      </c>
      <c r="AB111">
        <v>2044613.40741437</v>
      </c>
      <c r="AC111">
        <v>-7021717.5482235197</v>
      </c>
    </row>
    <row r="112" spans="2:29" x14ac:dyDescent="0.25">
      <c r="B112">
        <v>828452294.63388002</v>
      </c>
      <c r="C112">
        <v>405874286.53516102</v>
      </c>
      <c r="D112">
        <v>-13031939.1244769</v>
      </c>
      <c r="E112">
        <v>850300.35090813006</v>
      </c>
      <c r="F112">
        <v>4086926.08837276</v>
      </c>
      <c r="I112">
        <v>436774960.935054</v>
      </c>
      <c r="J112">
        <v>171104510.11927301</v>
      </c>
      <c r="K112">
        <v>-5766795.5937240096</v>
      </c>
      <c r="L112">
        <v>443208.05827734701</v>
      </c>
      <c r="M112">
        <v>1612063.1805933199</v>
      </c>
      <c r="Q112">
        <v>1481038059.23193</v>
      </c>
      <c r="R112">
        <v>870762573.11491001</v>
      </c>
      <c r="S112">
        <v>-28815833.7348058</v>
      </c>
      <c r="T112">
        <v>1752674.2535234401</v>
      </c>
      <c r="U112">
        <v>8785497.2570102494</v>
      </c>
      <c r="Y112">
        <v>1018746779.23667</v>
      </c>
      <c r="Z112">
        <v>498461297.60320699</v>
      </c>
      <c r="AA112">
        <v>-46053931.258080497</v>
      </c>
      <c r="AB112">
        <v>-585119.83021260996</v>
      </c>
      <c r="AC112">
        <v>-1042196.98117295</v>
      </c>
    </row>
    <row r="113" spans="2:29" x14ac:dyDescent="0.25">
      <c r="B113">
        <v>701702898.39407396</v>
      </c>
      <c r="C113">
        <v>346089834.35394001</v>
      </c>
      <c r="D113">
        <v>-26742449.432144899</v>
      </c>
      <c r="E113">
        <v>1409520.45427465</v>
      </c>
      <c r="F113">
        <v>4311336.2424884001</v>
      </c>
      <c r="I113">
        <v>370004806.62439102</v>
      </c>
      <c r="J113">
        <v>146231413.11634001</v>
      </c>
      <c r="K113">
        <v>-14910804.4886561</v>
      </c>
      <c r="L113">
        <v>716806.58685691596</v>
      </c>
      <c r="M113">
        <v>1987334.7318539899</v>
      </c>
      <c r="Q113">
        <v>1249372644.2608099</v>
      </c>
      <c r="R113">
        <v>738551291.83254004</v>
      </c>
      <c r="S113">
        <v>-46646167.064236701</v>
      </c>
      <c r="T113">
        <v>2326116.1757081598</v>
      </c>
      <c r="U113">
        <v>9038432.9947354607</v>
      </c>
      <c r="Y113">
        <v>787247020.49777699</v>
      </c>
      <c r="Z113">
        <v>389824553.11027998</v>
      </c>
      <c r="AA113">
        <v>-45316844.313263804</v>
      </c>
      <c r="AB113">
        <v>-764316.05083061499</v>
      </c>
      <c r="AC113">
        <v>2120822.2305121701</v>
      </c>
    </row>
    <row r="114" spans="2:29" x14ac:dyDescent="0.25">
      <c r="B114">
        <v>712891714.016186</v>
      </c>
      <c r="C114">
        <v>351845206.92458099</v>
      </c>
      <c r="D114">
        <v>-26142484.029616401</v>
      </c>
      <c r="E114">
        <v>145245.67931327299</v>
      </c>
      <c r="F114">
        <v>6114421.1882907199</v>
      </c>
      <c r="I114">
        <v>375838105.614344</v>
      </c>
      <c r="J114">
        <v>148659103.60936201</v>
      </c>
      <c r="K114">
        <v>-15130079.0627535</v>
      </c>
      <c r="L114">
        <v>66021.877535421198</v>
      </c>
      <c r="M114">
        <v>2968256.7442526598</v>
      </c>
      <c r="Q114">
        <v>1268942485.9386799</v>
      </c>
      <c r="R114">
        <v>750538030.16187096</v>
      </c>
      <c r="S114">
        <v>-43171495.872211099</v>
      </c>
      <c r="T114">
        <v>199408.90671746799</v>
      </c>
      <c r="U114">
        <v>12253053.598848701</v>
      </c>
      <c r="Y114">
        <v>796441215.52161396</v>
      </c>
      <c r="Z114">
        <v>396118993.14782602</v>
      </c>
      <c r="AA114">
        <v>-43386095.766695</v>
      </c>
      <c r="AB114">
        <v>-125567.18401918199</v>
      </c>
      <c r="AC114">
        <v>2946213.39424153</v>
      </c>
    </row>
    <row r="115" spans="2:29" x14ac:dyDescent="0.25">
      <c r="B115">
        <v>703446736.82334304</v>
      </c>
      <c r="C115">
        <v>347263984.59116697</v>
      </c>
      <c r="D115">
        <v>-15017179.492097</v>
      </c>
      <c r="E115">
        <v>-24816.259423752999</v>
      </c>
      <c r="F115">
        <v>6530619.98780875</v>
      </c>
      <c r="I115">
        <v>370857344.63266701</v>
      </c>
      <c r="J115">
        <v>146731094.95841399</v>
      </c>
      <c r="K115">
        <v>-8820957.4731599595</v>
      </c>
      <c r="L115">
        <v>-9236.4857708843792</v>
      </c>
      <c r="M115">
        <v>3226741.6565345498</v>
      </c>
      <c r="Q115">
        <v>1252485504.36677</v>
      </c>
      <c r="R115">
        <v>740972420.62208104</v>
      </c>
      <c r="S115">
        <v>-24391464.7506207</v>
      </c>
      <c r="T115">
        <v>-47436.3939627531</v>
      </c>
      <c r="U115">
        <v>12923673.9283113</v>
      </c>
      <c r="Y115">
        <v>787469574.89505994</v>
      </c>
      <c r="Z115">
        <v>391838810.74633598</v>
      </c>
      <c r="AA115">
        <v>-25647030.801592998</v>
      </c>
      <c r="AB115">
        <v>-44986.967213061798</v>
      </c>
      <c r="AC115">
        <v>3641616.7893760898</v>
      </c>
    </row>
    <row r="116" spans="2:29" x14ac:dyDescent="0.25">
      <c r="B116">
        <v>704281021.43517399</v>
      </c>
      <c r="C116">
        <v>347728939.89456302</v>
      </c>
      <c r="D116" s="1">
        <v>1.03627098724246E-6</v>
      </c>
      <c r="E116" s="1">
        <v>2.7031637728214301E-7</v>
      </c>
      <c r="F116">
        <v>6650132.2927752696</v>
      </c>
      <c r="I116">
        <v>371308911.97035003</v>
      </c>
      <c r="J116">
        <v>146939028.79325399</v>
      </c>
      <c r="K116" s="1">
        <v>-5.3757685236632803E-7</v>
      </c>
      <c r="L116" s="1">
        <v>-1.22017809189856E-7</v>
      </c>
      <c r="M116">
        <v>3306600.4418865098</v>
      </c>
      <c r="Q116">
        <v>1254123655.6951699</v>
      </c>
      <c r="R116">
        <v>742030888.43181002</v>
      </c>
      <c r="S116" s="1">
        <v>-3.3011892810463901E-6</v>
      </c>
      <c r="T116" s="1">
        <v>-4.87198121845722E-8</v>
      </c>
      <c r="U116">
        <v>13132437.424896801</v>
      </c>
      <c r="Y116">
        <v>788439321.77335703</v>
      </c>
      <c r="Z116">
        <v>392434228.87853098</v>
      </c>
      <c r="AA116" s="1">
        <v>-2.1773375920020001E-6</v>
      </c>
      <c r="AB116" s="1">
        <v>6.0835736803710503E-7</v>
      </c>
      <c r="AC116">
        <v>3890259.5925505501</v>
      </c>
    </row>
    <row r="117" spans="2:29" x14ac:dyDescent="0.25">
      <c r="B117">
        <v>703446736.82333302</v>
      </c>
      <c r="C117">
        <v>347263984.59116203</v>
      </c>
      <c r="D117">
        <v>15017179.492098499</v>
      </c>
      <c r="E117">
        <v>24816.259422756</v>
      </c>
      <c r="F117">
        <v>6530619.9878091495</v>
      </c>
      <c r="I117">
        <v>370857344.63266802</v>
      </c>
      <c r="J117">
        <v>146731094.958415</v>
      </c>
      <c r="K117">
        <v>8820957.4731605202</v>
      </c>
      <c r="L117">
        <v>9236.4857703629004</v>
      </c>
      <c r="M117">
        <v>3226741.65653496</v>
      </c>
      <c r="Q117">
        <v>1252485504.36676</v>
      </c>
      <c r="R117">
        <v>740972420.62207496</v>
      </c>
      <c r="S117">
        <v>24391464.750620902</v>
      </c>
      <c r="T117">
        <v>47436.393960670503</v>
      </c>
      <c r="U117">
        <v>12923673.9283117</v>
      </c>
      <c r="Y117">
        <v>787469574.89507496</v>
      </c>
      <c r="Z117">
        <v>391838810.74634397</v>
      </c>
      <c r="AA117">
        <v>25647030.801596299</v>
      </c>
      <c r="AB117">
        <v>44986.967212280397</v>
      </c>
      <c r="AC117">
        <v>3641616.7893769499</v>
      </c>
    </row>
    <row r="118" spans="2:29" x14ac:dyDescent="0.25">
      <c r="B118">
        <v>712891714.01618898</v>
      </c>
      <c r="C118">
        <v>351845206.92458302</v>
      </c>
      <c r="D118">
        <v>26142484.029615201</v>
      </c>
      <c r="E118">
        <v>-145245.679314357</v>
      </c>
      <c r="F118">
        <v>6114421.1882902104</v>
      </c>
      <c r="I118">
        <v>375838105.61434001</v>
      </c>
      <c r="J118">
        <v>148659103.60936001</v>
      </c>
      <c r="K118">
        <v>15130079.062752901</v>
      </c>
      <c r="L118">
        <v>-66021.877535331398</v>
      </c>
      <c r="M118">
        <v>2968256.7442518999</v>
      </c>
      <c r="Q118">
        <v>1268942485.93871</v>
      </c>
      <c r="R118">
        <v>750538030.16189396</v>
      </c>
      <c r="S118">
        <v>43171495.872210599</v>
      </c>
      <c r="T118">
        <v>-199408.906718465</v>
      </c>
      <c r="U118">
        <v>12253053.5988477</v>
      </c>
      <c r="Y118">
        <v>796441215.52160895</v>
      </c>
      <c r="Z118">
        <v>396118993.147825</v>
      </c>
      <c r="AA118">
        <v>43386095.766700298</v>
      </c>
      <c r="AB118">
        <v>125567.184018906</v>
      </c>
      <c r="AC118">
        <v>2946213.3942407998</v>
      </c>
    </row>
    <row r="119" spans="2:29" x14ac:dyDescent="0.25">
      <c r="B119">
        <v>701702898.39407396</v>
      </c>
      <c r="C119">
        <v>346089834.35394001</v>
      </c>
      <c r="D119">
        <v>26742449.432143901</v>
      </c>
      <c r="E119">
        <v>-1409520.4542743899</v>
      </c>
      <c r="F119">
        <v>4311336.2424876597</v>
      </c>
      <c r="I119">
        <v>370004806.62439501</v>
      </c>
      <c r="J119">
        <v>146231413.11634201</v>
      </c>
      <c r="K119">
        <v>14910804.4886538</v>
      </c>
      <c r="L119">
        <v>-716806.58685705694</v>
      </c>
      <c r="M119">
        <v>1987334.7318535501</v>
      </c>
      <c r="Q119">
        <v>1249372644.2607901</v>
      </c>
      <c r="R119">
        <v>738551291.83253002</v>
      </c>
      <c r="S119">
        <v>46646167.064232796</v>
      </c>
      <c r="T119">
        <v>-2326116.1757088099</v>
      </c>
      <c r="U119">
        <v>9038432.9947348703</v>
      </c>
      <c r="Y119">
        <v>787247020.49777496</v>
      </c>
      <c r="Z119">
        <v>389824553.11027998</v>
      </c>
      <c r="AA119">
        <v>45316844.313265398</v>
      </c>
      <c r="AB119">
        <v>764316.05083064502</v>
      </c>
      <c r="AC119">
        <v>2120822.2305127401</v>
      </c>
    </row>
    <row r="120" spans="2:29" x14ac:dyDescent="0.25">
      <c r="B120">
        <v>828452294.633883</v>
      </c>
      <c r="C120">
        <v>405874286.53516197</v>
      </c>
      <c r="D120">
        <v>13031939.1244766</v>
      </c>
      <c r="E120">
        <v>-850300.35090851504</v>
      </c>
      <c r="F120">
        <v>4086926.08837398</v>
      </c>
      <c r="I120">
        <v>436774960.93505698</v>
      </c>
      <c r="J120">
        <v>171104510.119275</v>
      </c>
      <c r="K120">
        <v>5766795.5937237004</v>
      </c>
      <c r="L120">
        <v>-443208.05827783199</v>
      </c>
      <c r="M120">
        <v>1612063.1805947199</v>
      </c>
      <c r="Q120">
        <v>1481038059.23195</v>
      </c>
      <c r="R120">
        <v>870762573.11492205</v>
      </c>
      <c r="S120">
        <v>28815833.734805401</v>
      </c>
      <c r="T120">
        <v>-1752674.2535240001</v>
      </c>
      <c r="U120">
        <v>8785497.2570136897</v>
      </c>
      <c r="Y120">
        <v>1018746779.23669</v>
      </c>
      <c r="Z120">
        <v>498461297.60321599</v>
      </c>
      <c r="AA120">
        <v>46053931.258078299</v>
      </c>
      <c r="AB120">
        <v>585119.83021276398</v>
      </c>
      <c r="AC120">
        <v>-1042196.98117214</v>
      </c>
    </row>
    <row r="121" spans="2:29" x14ac:dyDescent="0.25">
      <c r="B121">
        <v>137011110.142048</v>
      </c>
      <c r="C121">
        <v>62120716.440687597</v>
      </c>
      <c r="D121">
        <v>-121870311.79963399</v>
      </c>
      <c r="E121">
        <v>1824180.3123346099</v>
      </c>
      <c r="F121">
        <v>19890579.7550948</v>
      </c>
      <c r="I121">
        <v>72524998.142043397</v>
      </c>
      <c r="J121">
        <v>25591574.499373801</v>
      </c>
      <c r="K121">
        <v>-73949073.323660105</v>
      </c>
      <c r="L121">
        <v>1296558.1332968799</v>
      </c>
      <c r="M121">
        <v>9165655.0296888705</v>
      </c>
      <c r="Q121">
        <v>248477413.30435801</v>
      </c>
      <c r="R121">
        <v>137388161.417377</v>
      </c>
      <c r="S121">
        <v>-177510615.11923099</v>
      </c>
      <c r="T121">
        <v>2471945.45593963</v>
      </c>
      <c r="U121">
        <v>37866557.0713007</v>
      </c>
      <c r="Y121">
        <v>306332042.41003197</v>
      </c>
      <c r="Z121">
        <v>136684596.25642699</v>
      </c>
      <c r="AA121">
        <v>-218561647.33943099</v>
      </c>
      <c r="AB121">
        <v>-2044613.4074140501</v>
      </c>
      <c r="AC121">
        <v>-7021717.5482241502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7"/>
  <sheetViews>
    <sheetView workbookViewId="0">
      <selection activeCell="N14" sqref="N14"/>
    </sheetView>
  </sheetViews>
  <sheetFormatPr defaultRowHeight="14" x14ac:dyDescent="0.25"/>
  <cols>
    <col min="14" max="14" width="10.26953125" bestFit="1" customWidth="1"/>
    <col min="15" max="15" width="11.08984375" customWidth="1"/>
    <col min="16" max="16" width="10.26953125" bestFit="1" customWidth="1"/>
  </cols>
  <sheetData>
    <row r="1" spans="1:10" ht="21.5" x14ac:dyDescent="0.45">
      <c r="A1" s="2" t="s">
        <v>218</v>
      </c>
      <c r="B1" s="19" t="s">
        <v>217</v>
      </c>
      <c r="E1" s="2" t="s">
        <v>225</v>
      </c>
      <c r="G1" s="2" t="s">
        <v>226</v>
      </c>
    </row>
    <row r="2" spans="1:10" x14ac:dyDescent="0.25">
      <c r="A2">
        <v>-1</v>
      </c>
      <c r="B2">
        <v>-47.700322723289197</v>
      </c>
      <c r="C2">
        <v>-24.342200349487602</v>
      </c>
      <c r="D2">
        <v>-17.5474306177729</v>
      </c>
      <c r="E2">
        <v>-29.7595581989241</v>
      </c>
      <c r="G2">
        <v>0.610958260419321</v>
      </c>
      <c r="H2">
        <v>0.31178129478441402</v>
      </c>
      <c r="I2">
        <v>0.224752099629484</v>
      </c>
      <c r="J2">
        <v>0.381168236817507</v>
      </c>
    </row>
    <row r="3" spans="1:10" x14ac:dyDescent="0.25">
      <c r="A3">
        <v>-0.79999999999999993</v>
      </c>
      <c r="B3">
        <v>-55.503522011557898</v>
      </c>
      <c r="C3">
        <v>-29.927652604087299</v>
      </c>
      <c r="D3">
        <v>-22.212915834008999</v>
      </c>
      <c r="E3">
        <v>-36.083397211790903</v>
      </c>
      <c r="G3">
        <v>0.64553178906157005</v>
      </c>
      <c r="H3">
        <v>0.348072526350789</v>
      </c>
      <c r="I3">
        <v>0.25834654773107801</v>
      </c>
      <c r="J3">
        <v>0.419666700659035</v>
      </c>
    </row>
    <row r="4" spans="1:10" x14ac:dyDescent="0.25">
      <c r="A4">
        <v>-0.59999999999999987</v>
      </c>
      <c r="B4">
        <v>-49.2969599559137</v>
      </c>
      <c r="C4">
        <v>-27.841380430295199</v>
      </c>
      <c r="D4">
        <v>-21.139915648902701</v>
      </c>
      <c r="E4">
        <v>-33.192571931311797</v>
      </c>
      <c r="G4">
        <v>0.67826259703373903</v>
      </c>
      <c r="H4">
        <v>0.383061491267292</v>
      </c>
      <c r="I4">
        <v>0.29085797789400802</v>
      </c>
      <c r="J4">
        <v>0.45668698557668402</v>
      </c>
    </row>
    <row r="5" spans="1:10" x14ac:dyDescent="0.25">
      <c r="A5">
        <v>-0.39999999999999991</v>
      </c>
      <c r="B5">
        <v>-56.473822569311203</v>
      </c>
      <c r="C5">
        <v>-33.181496735611098</v>
      </c>
      <c r="D5">
        <v>-25.658161479811699</v>
      </c>
      <c r="E5">
        <v>-39.193091810080404</v>
      </c>
      <c r="G5">
        <v>0.70870264934138905</v>
      </c>
      <c r="H5">
        <v>0.416402035062864</v>
      </c>
      <c r="I5">
        <v>0.32199001573966801</v>
      </c>
      <c r="J5">
        <v>0.49184288822656003</v>
      </c>
    </row>
    <row r="6" spans="1:10" x14ac:dyDescent="0.25">
      <c r="A6">
        <v>-0.19999999999999996</v>
      </c>
      <c r="B6">
        <v>-61.442455658561698</v>
      </c>
      <c r="C6">
        <v>-37.356585748012499</v>
      </c>
      <c r="D6">
        <v>-29.321379323174501</v>
      </c>
      <c r="E6">
        <v>-43.781310217886201</v>
      </c>
      <c r="G6">
        <v>0.73648093677627602</v>
      </c>
      <c r="H6">
        <v>0.44777528781315601</v>
      </c>
      <c r="I6">
        <v>0.35146116280746298</v>
      </c>
      <c r="J6">
        <v>0.52478534617404304</v>
      </c>
    </row>
    <row r="7" spans="1:10" x14ac:dyDescent="0.25">
      <c r="A7">
        <v>0</v>
      </c>
      <c r="B7">
        <v>-66.261788515130604</v>
      </c>
      <c r="C7">
        <v>-41.508216415413202</v>
      </c>
      <c r="D7">
        <v>-32.9887067552826</v>
      </c>
      <c r="E7">
        <v>-48.3242523622988</v>
      </c>
      <c r="G7">
        <v>0.75989353016490802</v>
      </c>
      <c r="H7">
        <v>0.47601831779042503</v>
      </c>
      <c r="I7">
        <v>0.37831615164028498</v>
      </c>
      <c r="J7">
        <v>0.554184961545099</v>
      </c>
    </row>
    <row r="8" spans="1:10" x14ac:dyDescent="0.25">
      <c r="A8">
        <v>0.19999999999999996</v>
      </c>
      <c r="B8">
        <v>-71.043548707350297</v>
      </c>
      <c r="C8">
        <v>-45.690969311034898</v>
      </c>
      <c r="D8">
        <v>-36.698518059281</v>
      </c>
      <c r="E8">
        <v>-52.889412361526297</v>
      </c>
      <c r="G8">
        <v>0.77714018103963001</v>
      </c>
      <c r="H8">
        <v>0.49981017007642897</v>
      </c>
      <c r="I8">
        <v>0.40144240381287499</v>
      </c>
      <c r="J8">
        <v>0.57855341189429599</v>
      </c>
    </row>
    <row r="9" spans="1:10" x14ac:dyDescent="0.25">
      <c r="A9">
        <v>0.39999999999999991</v>
      </c>
      <c r="B9">
        <v>-76.000915074514694</v>
      </c>
      <c r="C9">
        <v>-50.036105251466701</v>
      </c>
      <c r="D9">
        <v>-40.554392442329103</v>
      </c>
      <c r="E9">
        <v>-57.630189970360803</v>
      </c>
      <c r="G9">
        <v>0.785194913466575</v>
      </c>
      <c r="H9">
        <v>0.51694239858309698</v>
      </c>
      <c r="I9">
        <v>0.41898314820582999</v>
      </c>
      <c r="J9">
        <v>0.59539983146878805</v>
      </c>
    </row>
    <row r="10" spans="1:10" x14ac:dyDescent="0.25">
      <c r="A10">
        <v>0.59999999999999987</v>
      </c>
      <c r="B10">
        <v>-81.022247992831097</v>
      </c>
      <c r="C10">
        <v>-54.469940814204897</v>
      </c>
      <c r="D10">
        <v>-44.4965523991617</v>
      </c>
      <c r="E10">
        <v>-62.4617636068716</v>
      </c>
      <c r="G10">
        <v>0.777840097188506</v>
      </c>
      <c r="H10">
        <v>0.522929258399769</v>
      </c>
      <c r="I10">
        <v>0.42718146558683201</v>
      </c>
      <c r="J10">
        <v>0.59965337272342001</v>
      </c>
    </row>
    <row r="11" spans="1:10" x14ac:dyDescent="0.25">
      <c r="A11">
        <v>0.79999999999999982</v>
      </c>
      <c r="B11">
        <v>-86.205055180553401</v>
      </c>
      <c r="C11">
        <v>-59.056142160738098</v>
      </c>
      <c r="D11">
        <v>-48.576436001997799</v>
      </c>
      <c r="E11">
        <v>-67.457591290627903</v>
      </c>
      <c r="G11">
        <v>0.74201971717843895</v>
      </c>
      <c r="H11">
        <v>0.50833239201552005</v>
      </c>
      <c r="I11">
        <v>0.41812714147963398</v>
      </c>
      <c r="J11">
        <v>0.58064881121150402</v>
      </c>
    </row>
    <row r="12" spans="1:10" x14ac:dyDescent="0.25">
      <c r="A12">
        <v>0.99999999999999978</v>
      </c>
      <c r="B12">
        <v>-91.610981382360904</v>
      </c>
      <c r="C12">
        <v>-63.838472835954001</v>
      </c>
      <c r="D12">
        <v>-52.830495963508298</v>
      </c>
      <c r="E12">
        <v>-72.667303070905803</v>
      </c>
      <c r="G12">
        <v>0.64467244913659905</v>
      </c>
      <c r="H12">
        <v>0.449235495693738</v>
      </c>
      <c r="I12">
        <v>0.37177164470867502</v>
      </c>
      <c r="J12">
        <v>0.51136454970770895</v>
      </c>
    </row>
    <row r="13" spans="1:10" x14ac:dyDescent="0.25">
      <c r="A13">
        <v>1.2</v>
      </c>
      <c r="B13">
        <v>-97.144187974157006</v>
      </c>
      <c r="C13">
        <v>-68.751805039638</v>
      </c>
      <c r="D13">
        <v>-57.2053183970527</v>
      </c>
      <c r="E13">
        <v>-78.016382144246805</v>
      </c>
      <c r="G13">
        <v>0.36680927654804202</v>
      </c>
      <c r="H13">
        <v>0.25960173628370298</v>
      </c>
      <c r="I13">
        <v>0.21600305580304499</v>
      </c>
      <c r="J13">
        <v>0.29458409494183702</v>
      </c>
    </row>
    <row r="16" spans="1:10" x14ac:dyDescent="0.25">
      <c r="A16" s="2" t="s">
        <v>216</v>
      </c>
    </row>
    <row r="17" spans="1:10" x14ac:dyDescent="0.25">
      <c r="B17">
        <v>-79.850397759087201</v>
      </c>
      <c r="C17">
        <v>-32.957720530344403</v>
      </c>
      <c r="D17">
        <v>-21.6536640632516</v>
      </c>
      <c r="E17">
        <v>-38.445687372493097</v>
      </c>
      <c r="G17">
        <v>0.63568286963427201</v>
      </c>
      <c r="H17">
        <v>0.26237387603932699</v>
      </c>
      <c r="I17">
        <v>0.17238315269704299</v>
      </c>
      <c r="J17">
        <v>0.306063157603085</v>
      </c>
    </row>
    <row r="18" spans="1:10" x14ac:dyDescent="0.25">
      <c r="B18">
        <v>-57.628463588177503</v>
      </c>
      <c r="C18">
        <v>-25.418470258086401</v>
      </c>
      <c r="D18">
        <v>-17.3260270896502</v>
      </c>
      <c r="E18">
        <v>-29.354470025291999</v>
      </c>
      <c r="G18">
        <v>0.66007090266320301</v>
      </c>
      <c r="H18">
        <v>0.29114072392196999</v>
      </c>
      <c r="I18">
        <v>0.198450654911763</v>
      </c>
      <c r="J18">
        <v>0.33622328829133302</v>
      </c>
    </row>
    <row r="19" spans="1:10" x14ac:dyDescent="0.25">
      <c r="B19">
        <v>-66.921284436815299</v>
      </c>
      <c r="C19">
        <v>-31.257145956858</v>
      </c>
      <c r="D19">
        <v>-21.929834259643499</v>
      </c>
      <c r="E19">
        <v>-35.801525363842501</v>
      </c>
      <c r="G19">
        <v>0.68270237935150901</v>
      </c>
      <c r="H19">
        <v>0.31887206134891499</v>
      </c>
      <c r="I19">
        <v>0.223718808654643</v>
      </c>
      <c r="J19">
        <v>0.36523188035020099</v>
      </c>
    </row>
    <row r="20" spans="1:10" x14ac:dyDescent="0.25">
      <c r="B20">
        <v>-67.694881114570606</v>
      </c>
      <c r="C20">
        <v>-33.239267495712397</v>
      </c>
      <c r="D20">
        <v>-23.8694096564885</v>
      </c>
      <c r="E20">
        <v>-37.811663622381303</v>
      </c>
      <c r="G20">
        <v>0.70370638453657397</v>
      </c>
      <c r="H20">
        <v>0.34553107072400602</v>
      </c>
      <c r="I20">
        <v>0.24812889385183601</v>
      </c>
      <c r="J20">
        <v>0.39306235069658702</v>
      </c>
    </row>
    <row r="21" spans="1:10" x14ac:dyDescent="0.25">
      <c r="B21">
        <v>-67.328955505805098</v>
      </c>
      <c r="C21">
        <v>-34.5490476994662</v>
      </c>
      <c r="D21">
        <v>-25.2898248710204</v>
      </c>
      <c r="E21">
        <v>-39.074198868560899</v>
      </c>
      <c r="G21">
        <v>0.72212146454738702</v>
      </c>
      <c r="H21">
        <v>0.37054798691040097</v>
      </c>
      <c r="I21">
        <v>0.27124028936456002</v>
      </c>
      <c r="J21">
        <v>0.41908147098090998</v>
      </c>
    </row>
    <row r="22" spans="1:10" x14ac:dyDescent="0.25">
      <c r="B22">
        <v>-66.621145640481501</v>
      </c>
      <c r="C22">
        <v>-35.551715029805102</v>
      </c>
      <c r="D22">
        <v>-26.444840605585298</v>
      </c>
      <c r="E22">
        <v>-40.0086350656075</v>
      </c>
      <c r="G22">
        <v>0.73629531055029496</v>
      </c>
      <c r="H22">
        <v>0.39291670545155</v>
      </c>
      <c r="I22">
        <v>0.29226774680847001</v>
      </c>
      <c r="J22">
        <v>0.442174479245595</v>
      </c>
    </row>
    <row r="23" spans="1:10" x14ac:dyDescent="0.25">
      <c r="B23">
        <v>-65.594727122320293</v>
      </c>
      <c r="C23">
        <v>-36.253835194442097</v>
      </c>
      <c r="D23">
        <v>-27.337605074772402</v>
      </c>
      <c r="E23">
        <v>-40.623183607216603</v>
      </c>
      <c r="G23">
        <v>0.74398917001376197</v>
      </c>
      <c r="H23">
        <v>0.41119861213586101</v>
      </c>
      <c r="I23">
        <v>0.31006885769669001</v>
      </c>
      <c r="J23">
        <v>0.46075667940335802</v>
      </c>
    </row>
    <row r="24" spans="1:10" x14ac:dyDescent="0.25">
      <c r="B24">
        <v>-64.447608301521001</v>
      </c>
      <c r="C24">
        <v>-36.764098548976598</v>
      </c>
      <c r="D24">
        <v>-28.049879254340901</v>
      </c>
      <c r="E24">
        <v>-41.039728249430901</v>
      </c>
      <c r="G24">
        <v>0.74076225415740005</v>
      </c>
      <c r="H24">
        <v>0.422567372644642</v>
      </c>
      <c r="I24">
        <v>0.32240594077714002</v>
      </c>
      <c r="J24">
        <v>0.47171155624309102</v>
      </c>
    </row>
    <row r="25" spans="1:10" x14ac:dyDescent="0.25">
      <c r="B25">
        <v>-63.120853535330703</v>
      </c>
      <c r="C25">
        <v>-37.054096341128201</v>
      </c>
      <c r="D25">
        <v>-28.561433191031899</v>
      </c>
      <c r="E25">
        <v>-41.225871468164001</v>
      </c>
      <c r="G25">
        <v>0.71431663150698299</v>
      </c>
      <c r="H25">
        <v>0.41932825365098703</v>
      </c>
      <c r="I25">
        <v>0.323219753937739</v>
      </c>
      <c r="J25">
        <v>0.46653877425145401</v>
      </c>
    </row>
    <row r="26" spans="1:10" x14ac:dyDescent="0.25">
      <c r="B26">
        <v>-61.642996429350902</v>
      </c>
      <c r="C26">
        <v>-37.1436691813499</v>
      </c>
      <c r="D26">
        <v>-28.888392878925099</v>
      </c>
      <c r="E26">
        <v>-41.203292968077101</v>
      </c>
      <c r="G26">
        <v>0.63062895922654005</v>
      </c>
      <c r="H26">
        <v>0.37999245323084901</v>
      </c>
      <c r="I26">
        <v>0.29553815015860502</v>
      </c>
      <c r="J26">
        <v>0.42152379453106198</v>
      </c>
    </row>
    <row r="27" spans="1:10" x14ac:dyDescent="0.25">
      <c r="B27">
        <v>-60.039006132588398</v>
      </c>
      <c r="C27">
        <v>-37.051787490269199</v>
      </c>
      <c r="D27">
        <v>-29.046542930914601</v>
      </c>
      <c r="E27">
        <v>-40.992548195038403</v>
      </c>
      <c r="G27">
        <v>0.30765984517511802</v>
      </c>
      <c r="H27">
        <v>0.18986568794199599</v>
      </c>
      <c r="I27">
        <v>0.14884415110507701</v>
      </c>
      <c r="J27">
        <v>0.21005945706642201</v>
      </c>
    </row>
    <row r="28" spans="1:10" x14ac:dyDescent="0.25">
      <c r="B28">
        <v>-58.326959175546797</v>
      </c>
      <c r="C28">
        <v>-36.794009047063902</v>
      </c>
      <c r="D28">
        <v>-29.049208208722298</v>
      </c>
      <c r="E28">
        <v>-40.610314824564497</v>
      </c>
      <c r="G28">
        <v>15.027678671665001</v>
      </c>
      <c r="H28">
        <v>9.4798109282100498</v>
      </c>
      <c r="I28">
        <v>7.4843978290229103</v>
      </c>
      <c r="J28">
        <v>10.463064945696001</v>
      </c>
    </row>
    <row r="31" spans="1:10" x14ac:dyDescent="0.25">
      <c r="A31" s="2" t="s">
        <v>215</v>
      </c>
    </row>
    <row r="32" spans="1:10" x14ac:dyDescent="0.25">
      <c r="B32">
        <v>-83.510138668189498</v>
      </c>
      <c r="C32">
        <v>-32.944018854497003</v>
      </c>
      <c r="D32">
        <v>-23.1226494659523</v>
      </c>
      <c r="E32">
        <v>-37.288019349724699</v>
      </c>
      <c r="G32">
        <v>0.66249837499314002</v>
      </c>
      <c r="H32">
        <v>0.26134981099200699</v>
      </c>
      <c r="I32">
        <v>0.183435424021929</v>
      </c>
      <c r="J32">
        <v>0.29581141427699797</v>
      </c>
    </row>
    <row r="33" spans="1:10" x14ac:dyDescent="0.25">
      <c r="B33">
        <v>-84.588490934993303</v>
      </c>
      <c r="C33">
        <v>-36.219202173698399</v>
      </c>
      <c r="D33">
        <v>-26.3606163943561</v>
      </c>
      <c r="E33">
        <v>-40.733106754174301</v>
      </c>
      <c r="G33">
        <v>0.68718629959613498</v>
      </c>
      <c r="H33">
        <v>0.29424025941301701</v>
      </c>
      <c r="I33">
        <v>0.21415034403476901</v>
      </c>
      <c r="J33">
        <v>0.33091065453534102</v>
      </c>
    </row>
    <row r="34" spans="1:10" x14ac:dyDescent="0.25">
      <c r="B34">
        <v>-75.252036067211193</v>
      </c>
      <c r="C34">
        <v>-34.561050862708797</v>
      </c>
      <c r="D34">
        <v>-25.864168363498099</v>
      </c>
      <c r="E34">
        <v>-38.670166716406001</v>
      </c>
      <c r="G34">
        <v>0.71066810885491005</v>
      </c>
      <c r="H34">
        <v>0.32638899809571498</v>
      </c>
      <c r="I34">
        <v>0.24425704045502999</v>
      </c>
      <c r="J34">
        <v>0.36519482642180101</v>
      </c>
    </row>
    <row r="35" spans="1:10" x14ac:dyDescent="0.25">
      <c r="B35">
        <v>-65.427918644701705</v>
      </c>
      <c r="C35">
        <v>-31.9321086900902</v>
      </c>
      <c r="D35">
        <v>-24.429806434491901</v>
      </c>
      <c r="E35">
        <v>-35.5799815983599</v>
      </c>
      <c r="G35">
        <v>0.73273661653772804</v>
      </c>
      <c r="H35">
        <v>0.35761225124018903</v>
      </c>
      <c r="I35">
        <v>0.27359289551434901</v>
      </c>
      <c r="J35">
        <v>0.39846530155469101</v>
      </c>
    </row>
    <row r="36" spans="1:10" x14ac:dyDescent="0.25">
      <c r="B36">
        <v>-56.053093766359297</v>
      </c>
      <c r="C36">
        <v>-28.854382143259802</v>
      </c>
      <c r="D36">
        <v>-22.474136165793599</v>
      </c>
      <c r="E36">
        <v>-32.039381858558102</v>
      </c>
      <c r="G36">
        <v>0.75138993163600198</v>
      </c>
      <c r="H36">
        <v>0.38679207103881702</v>
      </c>
      <c r="I36">
        <v>0.30126507749209402</v>
      </c>
      <c r="J36">
        <v>0.42948689049541899</v>
      </c>
    </row>
    <row r="37" spans="1:10" x14ac:dyDescent="0.25">
      <c r="B37">
        <v>-47.273835704659703</v>
      </c>
      <c r="C37">
        <v>-25.510887136807199</v>
      </c>
      <c r="D37">
        <v>-20.166910786361601</v>
      </c>
      <c r="E37">
        <v>-28.243996790897899</v>
      </c>
      <c r="G37">
        <v>0.76428174821474804</v>
      </c>
      <c r="H37">
        <v>0.41243755935603599</v>
      </c>
      <c r="I37">
        <v>0.32604085541491201</v>
      </c>
      <c r="J37">
        <v>0.45662406957579399</v>
      </c>
    </row>
    <row r="38" spans="1:10" x14ac:dyDescent="0.25">
      <c r="B38">
        <v>-46.224261248749698</v>
      </c>
      <c r="C38">
        <v>-26.017404541482598</v>
      </c>
      <c r="D38">
        <v>-20.825810483140501</v>
      </c>
      <c r="E38">
        <v>-28.732682118237602</v>
      </c>
      <c r="G38">
        <v>0.765893352393474</v>
      </c>
      <c r="H38">
        <v>0.43108438396930199</v>
      </c>
      <c r="I38">
        <v>0.345064461309808</v>
      </c>
      <c r="J38">
        <v>0.47607402771392698</v>
      </c>
    </row>
    <row r="39" spans="1:10" x14ac:dyDescent="0.25">
      <c r="B39">
        <v>-52.854992808213296</v>
      </c>
      <c r="C39">
        <v>-30.897087946013698</v>
      </c>
      <c r="D39">
        <v>-24.996857849873201</v>
      </c>
      <c r="E39">
        <v>-34.047693858712996</v>
      </c>
      <c r="G39">
        <v>0.75547971131747604</v>
      </c>
      <c r="H39">
        <v>0.44162569781634498</v>
      </c>
      <c r="I39">
        <v>0.35729110816058302</v>
      </c>
      <c r="J39">
        <v>0.48665869695112601</v>
      </c>
    </row>
    <row r="40" spans="1:10" x14ac:dyDescent="0.25">
      <c r="B40">
        <v>-60.166875122976101</v>
      </c>
      <c r="C40">
        <v>-36.395947541314101</v>
      </c>
      <c r="D40">
        <v>-29.717993020600101</v>
      </c>
      <c r="E40">
        <v>-40.031310182789802</v>
      </c>
      <c r="G40">
        <v>0.72815750015370195</v>
      </c>
      <c r="H40">
        <v>0.44047463198380599</v>
      </c>
      <c r="I40">
        <v>0.35965603105091098</v>
      </c>
      <c r="J40">
        <v>0.48447087689030399</v>
      </c>
    </row>
    <row r="41" spans="1:10" x14ac:dyDescent="0.25">
      <c r="B41">
        <v>-68.432010806045994</v>
      </c>
      <c r="C41">
        <v>-42.704040459778703</v>
      </c>
      <c r="D41">
        <v>-35.149872759508497</v>
      </c>
      <c r="E41">
        <v>-46.8910457233915</v>
      </c>
      <c r="G41">
        <v>0.670137506048335</v>
      </c>
      <c r="H41">
        <v>0.41818994991997199</v>
      </c>
      <c r="I41">
        <v>0.34421388165452299</v>
      </c>
      <c r="J41">
        <v>0.45919224156855798</v>
      </c>
    </row>
    <row r="42" spans="1:10" x14ac:dyDescent="0.25">
      <c r="B42">
        <v>-77.492529100633107</v>
      </c>
      <c r="C42">
        <v>-49.752580484378498</v>
      </c>
      <c r="D42">
        <v>-41.242072912344597</v>
      </c>
      <c r="E42">
        <v>-54.5496423107354</v>
      </c>
      <c r="G42">
        <v>0.55230333130085196</v>
      </c>
      <c r="H42">
        <v>0.35459567859311902</v>
      </c>
      <c r="I42">
        <v>0.29393974520641197</v>
      </c>
      <c r="J42">
        <v>0.38878520960858598</v>
      </c>
    </row>
    <row r="43" spans="1:10" x14ac:dyDescent="0.25">
      <c r="B43">
        <v>-87.696647811512506</v>
      </c>
      <c r="C43">
        <v>-57.791867822924303</v>
      </c>
      <c r="D43">
        <v>-48.207491725841599</v>
      </c>
      <c r="E43">
        <v>-63.2800237249063</v>
      </c>
      <c r="G43">
        <v>0.284584654245992</v>
      </c>
      <c r="H43">
        <v>0.18754056321475401</v>
      </c>
      <c r="I43">
        <v>0.15643827566079599</v>
      </c>
      <c r="J43">
        <v>0.20535019435562199</v>
      </c>
    </row>
    <row r="45" spans="1:10" x14ac:dyDescent="0.25">
      <c r="A45" s="2" t="s">
        <v>214</v>
      </c>
    </row>
    <row r="46" spans="1:10" x14ac:dyDescent="0.25">
      <c r="B46">
        <v>-53.6747318849498</v>
      </c>
      <c r="C46">
        <v>-23.024097008124599</v>
      </c>
      <c r="D46">
        <v>-14.2250923066055</v>
      </c>
      <c r="E46">
        <v>-27.5737968620328</v>
      </c>
      <c r="G46">
        <v>0.66029875538262495</v>
      </c>
      <c r="H46">
        <v>0.28323909713904499</v>
      </c>
      <c r="I46">
        <v>0.174995019358229</v>
      </c>
      <c r="J46">
        <v>0.33920884389696798</v>
      </c>
    </row>
    <row r="47" spans="1:10" x14ac:dyDescent="0.25">
      <c r="B47">
        <v>-74.991875086498197</v>
      </c>
      <c r="C47">
        <v>-33.860093709098798</v>
      </c>
      <c r="D47">
        <v>-21.6554309782057</v>
      </c>
      <c r="E47">
        <v>-40.046601813199203</v>
      </c>
      <c r="G47">
        <v>0.68464999204409605</v>
      </c>
      <c r="H47">
        <v>0.30913099401511901</v>
      </c>
      <c r="I47">
        <v>0.19770662661573299</v>
      </c>
      <c r="J47">
        <v>0.36561168234792302</v>
      </c>
    </row>
    <row r="48" spans="1:10" x14ac:dyDescent="0.25">
      <c r="B48">
        <v>-64.107956147896104</v>
      </c>
      <c r="C48">
        <v>-30.268383184145801</v>
      </c>
      <c r="D48">
        <v>-19.904536481632501</v>
      </c>
      <c r="E48">
        <v>-35.424026835019497</v>
      </c>
      <c r="G48">
        <v>0.70756875300336197</v>
      </c>
      <c r="H48">
        <v>0.33407650831396601</v>
      </c>
      <c r="I48">
        <v>0.21968923833615001</v>
      </c>
      <c r="J48">
        <v>0.39098009046159499</v>
      </c>
    </row>
    <row r="49" spans="2:10" x14ac:dyDescent="0.25">
      <c r="B49">
        <v>-75.442212855662902</v>
      </c>
      <c r="C49">
        <v>-37.048528689008897</v>
      </c>
      <c r="D49">
        <v>-24.927433086163099</v>
      </c>
      <c r="E49">
        <v>-42.972026456888997</v>
      </c>
      <c r="G49">
        <v>0.72877161856762296</v>
      </c>
      <c r="H49">
        <v>0.35788870973197301</v>
      </c>
      <c r="I49">
        <v>0.24079895153255099</v>
      </c>
      <c r="J49">
        <v>0.41510968579399299</v>
      </c>
    </row>
    <row r="50" spans="2:10" x14ac:dyDescent="0.25">
      <c r="B50">
        <v>-86.806329779698999</v>
      </c>
      <c r="C50">
        <v>-44.143690742863001</v>
      </c>
      <c r="D50">
        <v>-30.2763312505047</v>
      </c>
      <c r="E50">
        <v>-50.807185756040298</v>
      </c>
      <c r="G50">
        <v>0.74765403473801295</v>
      </c>
      <c r="H50">
        <v>0.380205090756494</v>
      </c>
      <c r="I50">
        <v>0.260766942617568</v>
      </c>
      <c r="J50">
        <v>0.43759709137099001</v>
      </c>
    </row>
    <row r="51" spans="2:10" x14ac:dyDescent="0.25">
      <c r="B51">
        <v>-99.351199882251294</v>
      </c>
      <c r="C51">
        <v>-52.125093004149697</v>
      </c>
      <c r="D51">
        <v>-36.3378610234791</v>
      </c>
      <c r="E51">
        <v>-59.590485984126303</v>
      </c>
      <c r="G51">
        <v>0.76410627930127095</v>
      </c>
      <c r="H51">
        <v>0.40089209713459001</v>
      </c>
      <c r="I51">
        <v>0.27947309964373801</v>
      </c>
      <c r="J51">
        <v>0.458308149081747</v>
      </c>
    </row>
    <row r="52" spans="2:10" x14ac:dyDescent="0.25">
      <c r="B52">
        <v>-98.141878225340093</v>
      </c>
      <c r="C52">
        <v>-52.957588844485002</v>
      </c>
      <c r="D52">
        <v>-37.439606846761102</v>
      </c>
      <c r="E52">
        <v>-60.184602933706898</v>
      </c>
      <c r="G52">
        <v>0.776510572704317</v>
      </c>
      <c r="H52">
        <v>0.41900693553318502</v>
      </c>
      <c r="I52">
        <v>0.29622675946400001</v>
      </c>
      <c r="J52">
        <v>0.47618795703838601</v>
      </c>
    </row>
    <row r="53" spans="2:10" x14ac:dyDescent="0.25">
      <c r="B53">
        <v>-83.699756590916806</v>
      </c>
      <c r="C53">
        <v>-46.327634336670698</v>
      </c>
      <c r="D53">
        <v>-33.154323948521998</v>
      </c>
      <c r="E53">
        <v>-52.374205036701703</v>
      </c>
      <c r="G53">
        <v>0.77789607771677705</v>
      </c>
      <c r="H53">
        <v>0.43056379741376799</v>
      </c>
      <c r="I53">
        <v>0.30813253955992398</v>
      </c>
      <c r="J53">
        <v>0.48675994209529</v>
      </c>
    </row>
    <row r="54" spans="2:10" x14ac:dyDescent="0.25">
      <c r="B54">
        <v>-70.956839505138504</v>
      </c>
      <c r="C54">
        <v>-40.193429691711103</v>
      </c>
      <c r="D54">
        <v>-29.073986491274798</v>
      </c>
      <c r="E54">
        <v>-45.227031217594003</v>
      </c>
      <c r="G54">
        <v>0.75220573390432899</v>
      </c>
      <c r="H54">
        <v>0.42608617421857098</v>
      </c>
      <c r="I54">
        <v>0.30821016689462599</v>
      </c>
      <c r="J54">
        <v>0.47944683622613599</v>
      </c>
    </row>
    <row r="55" spans="2:10" x14ac:dyDescent="0.25">
      <c r="B55">
        <v>-59.554111112499903</v>
      </c>
      <c r="C55">
        <v>-34.4549859041487</v>
      </c>
      <c r="D55">
        <v>-25.160297873579001</v>
      </c>
      <c r="E55">
        <v>-38.607229573064203</v>
      </c>
      <c r="G55">
        <v>0.63052565796679405</v>
      </c>
      <c r="H55">
        <v>0.36479014213495897</v>
      </c>
      <c r="I55">
        <v>0.26638317783655402</v>
      </c>
      <c r="J55">
        <v>0.408751778409502</v>
      </c>
    </row>
    <row r="56" spans="2:10" x14ac:dyDescent="0.25">
      <c r="B56">
        <v>-49.2190853214477</v>
      </c>
      <c r="C56">
        <v>-29.033360155901502</v>
      </c>
      <c r="D56">
        <v>-21.380978187683301</v>
      </c>
      <c r="E56">
        <v>-32.408945037658498</v>
      </c>
      <c r="G56">
        <v>-1.12935187607646</v>
      </c>
      <c r="H56">
        <v>-0.66618222477578004</v>
      </c>
      <c r="I56">
        <v>-0.49059521669103401</v>
      </c>
      <c r="J56">
        <v>-0.74363638903280005</v>
      </c>
    </row>
    <row r="57" spans="2:10" x14ac:dyDescent="0.25">
      <c r="B57">
        <v>-39.731136987591903</v>
      </c>
      <c r="C57">
        <v>-23.859066219734402</v>
      </c>
      <c r="D57">
        <v>-17.7040304000822</v>
      </c>
      <c r="E57">
        <v>-26.541461114611099</v>
      </c>
      <c r="G57">
        <v>1.51475555017868</v>
      </c>
      <c r="H57">
        <v>0.90963047419735799</v>
      </c>
      <c r="I57">
        <v>0.67496881142444298</v>
      </c>
      <c r="J57">
        <v>1.0118971814414599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8"/>
  <sheetViews>
    <sheetView topLeftCell="A8" workbookViewId="0">
      <selection activeCell="E4" sqref="E4:E15"/>
    </sheetView>
  </sheetViews>
  <sheetFormatPr defaultRowHeight="14" x14ac:dyDescent="0.25"/>
  <cols>
    <col min="1" max="1" width="10.26953125" style="3" bestFit="1" customWidth="1"/>
    <col min="2" max="4" width="10.26953125" bestFit="1" customWidth="1"/>
    <col min="5" max="6" width="10.90625" customWidth="1"/>
    <col min="7" max="7" width="13" customWidth="1"/>
  </cols>
  <sheetData>
    <row r="1" spans="1:13" x14ac:dyDescent="0.25">
      <c r="A1" t="s">
        <v>241</v>
      </c>
      <c r="B1" s="2" t="s">
        <v>13</v>
      </c>
    </row>
    <row r="2" spans="1:13" x14ac:dyDescent="0.25">
      <c r="A2"/>
    </row>
    <row r="3" spans="1:13" x14ac:dyDescent="0.25">
      <c r="A3"/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  <c r="H3" t="s">
        <v>21</v>
      </c>
      <c r="I3" s="3" t="s">
        <v>22</v>
      </c>
      <c r="J3" t="s">
        <v>23</v>
      </c>
      <c r="K3" t="s">
        <v>24</v>
      </c>
      <c r="L3" t="s">
        <v>25</v>
      </c>
      <c r="M3" t="s">
        <v>26</v>
      </c>
    </row>
    <row r="4" spans="1:13" x14ac:dyDescent="0.25">
      <c r="A4"/>
      <c r="B4">
        <v>1</v>
      </c>
      <c r="C4" s="4">
        <v>0.3125</v>
      </c>
      <c r="D4" s="4">
        <v>2.0000000000000001E-4</v>
      </c>
      <c r="E4" s="5">
        <f>C4*D4</f>
        <v>6.2500000000000001E-5</v>
      </c>
      <c r="F4" s="4">
        <f t="shared" ref="F4:F15" si="0">C4*D4</f>
        <v>6.2500000000000001E-5</v>
      </c>
      <c r="G4" s="5">
        <f>SUM(F4:F15)</f>
        <v>9.2306672367591623E-4</v>
      </c>
      <c r="H4" s="6">
        <f t="shared" ref="H4:H15" si="1">E4/G4</f>
        <v>6.770908147474658E-2</v>
      </c>
      <c r="I4" s="7">
        <f t="shared" ref="I4:I15" si="2">1-J4</f>
        <v>0.93229091852525348</v>
      </c>
      <c r="J4" s="7">
        <f t="shared" ref="J4:J15" si="3">E4/G4</f>
        <v>6.770908147474658E-2</v>
      </c>
      <c r="K4" s="8">
        <v>0</v>
      </c>
      <c r="L4">
        <v>300</v>
      </c>
      <c r="M4">
        <f t="shared" ref="M4:M15" si="4">K4*I4+L4*J4</f>
        <v>20.312724442423974</v>
      </c>
    </row>
    <row r="5" spans="1:13" x14ac:dyDescent="0.25">
      <c r="A5"/>
      <c r="B5">
        <v>2</v>
      </c>
      <c r="C5" s="4">
        <v>0.38022813688213919</v>
      </c>
      <c r="D5" s="4">
        <v>2.0000000000000001E-4</v>
      </c>
      <c r="E5" s="5">
        <f t="shared" ref="E5:E15" si="5">C5*D5+E4</f>
        <v>1.3854562737642784E-4</v>
      </c>
      <c r="F5" s="4">
        <f t="shared" si="0"/>
        <v>7.6045627376427835E-5</v>
      </c>
      <c r="G5" s="5">
        <v>9.2306672367591623E-4</v>
      </c>
      <c r="H5" s="6">
        <f t="shared" si="1"/>
        <v>0.15009275475200692</v>
      </c>
      <c r="I5" s="7">
        <f t="shared" si="2"/>
        <v>0.8499072452479931</v>
      </c>
      <c r="J5" s="7">
        <f t="shared" si="3"/>
        <v>0.15009275475200692</v>
      </c>
      <c r="K5" s="8">
        <v>0</v>
      </c>
      <c r="L5">
        <v>300</v>
      </c>
      <c r="M5">
        <f t="shared" si="4"/>
        <v>45.027826425602079</v>
      </c>
    </row>
    <row r="6" spans="1:13" x14ac:dyDescent="0.25">
      <c r="A6"/>
      <c r="B6">
        <v>3</v>
      </c>
      <c r="C6" s="4">
        <v>0.38022813746570755</v>
      </c>
      <c r="D6" s="4">
        <v>2.0000000000000001E-4</v>
      </c>
      <c r="E6" s="5">
        <f t="shared" si="5"/>
        <v>2.1459125486956933E-4</v>
      </c>
      <c r="F6" s="4">
        <f t="shared" si="0"/>
        <v>7.6045627493141508E-5</v>
      </c>
      <c r="G6" s="5">
        <v>9.2306672367591623E-4</v>
      </c>
      <c r="H6" s="6">
        <f t="shared" si="1"/>
        <v>0.23247642815570846</v>
      </c>
      <c r="I6" s="7">
        <f t="shared" si="2"/>
        <v>0.76752357184429154</v>
      </c>
      <c r="J6" s="7">
        <f t="shared" si="3"/>
        <v>0.23247642815570846</v>
      </c>
      <c r="K6" s="8">
        <v>0</v>
      </c>
      <c r="L6">
        <v>300</v>
      </c>
      <c r="M6">
        <f t="shared" si="4"/>
        <v>69.74292844671254</v>
      </c>
    </row>
    <row r="7" spans="1:13" x14ac:dyDescent="0.25">
      <c r="A7"/>
      <c r="B7">
        <v>4</v>
      </c>
      <c r="C7" s="4">
        <v>0.38022823339533479</v>
      </c>
      <c r="D7" s="4">
        <v>2.0000000000000001E-4</v>
      </c>
      <c r="E7" s="5">
        <f t="shared" si="5"/>
        <v>2.906369015486363E-4</v>
      </c>
      <c r="F7" s="4">
        <f t="shared" si="0"/>
        <v>7.6045646679066966E-5</v>
      </c>
      <c r="G7" s="5">
        <v>9.2306672367591623E-4</v>
      </c>
      <c r="H7" s="6">
        <f t="shared" si="1"/>
        <v>0.31486012234439226</v>
      </c>
      <c r="I7" s="7">
        <f t="shared" si="2"/>
        <v>0.68513987765560769</v>
      </c>
      <c r="J7" s="7">
        <f t="shared" si="3"/>
        <v>0.31486012234439226</v>
      </c>
      <c r="K7" s="8">
        <v>0</v>
      </c>
      <c r="L7">
        <v>300</v>
      </c>
      <c r="M7">
        <f t="shared" si="4"/>
        <v>94.458036703317674</v>
      </c>
    </row>
    <row r="8" spans="1:13" x14ac:dyDescent="0.25">
      <c r="A8"/>
      <c r="B8">
        <v>5</v>
      </c>
      <c r="C8" s="4">
        <v>0.38023092859131269</v>
      </c>
      <c r="D8" s="4">
        <v>2.0000000000000001E-4</v>
      </c>
      <c r="E8" s="5">
        <f t="shared" si="5"/>
        <v>3.6668308726689881E-4</v>
      </c>
      <c r="F8" s="4">
        <f t="shared" si="0"/>
        <v>7.6046185718262543E-5</v>
      </c>
      <c r="G8" s="5">
        <v>9.2306672367591623E-4</v>
      </c>
      <c r="H8" s="6">
        <f t="shared" si="1"/>
        <v>0.397244400498657</v>
      </c>
      <c r="I8" s="7">
        <f t="shared" si="2"/>
        <v>0.60275559950134294</v>
      </c>
      <c r="J8" s="7">
        <f t="shared" si="3"/>
        <v>0.397244400498657</v>
      </c>
      <c r="K8" s="8">
        <v>0</v>
      </c>
      <c r="L8">
        <v>300</v>
      </c>
      <c r="M8">
        <f t="shared" si="4"/>
        <v>119.1733201495971</v>
      </c>
    </row>
    <row r="9" spans="1:13" x14ac:dyDescent="0.25">
      <c r="A9"/>
      <c r="B9">
        <v>6</v>
      </c>
      <c r="C9" s="4">
        <v>0.38026259972042431</v>
      </c>
      <c r="D9" s="4">
        <v>2.0000000000000001E-4</v>
      </c>
      <c r="E9" s="5">
        <f t="shared" si="5"/>
        <v>4.4273560721098368E-4</v>
      </c>
      <c r="F9" s="4">
        <f t="shared" si="0"/>
        <v>7.6052519944084867E-5</v>
      </c>
      <c r="G9" s="5">
        <v>9.2306672367591623E-4</v>
      </c>
      <c r="H9" s="6">
        <f t="shared" si="1"/>
        <v>0.47963554080671827</v>
      </c>
      <c r="I9" s="7">
        <f t="shared" si="2"/>
        <v>0.52036445919328167</v>
      </c>
      <c r="J9" s="7">
        <f t="shared" si="3"/>
        <v>0.47963554080671827</v>
      </c>
      <c r="K9" s="8">
        <v>0</v>
      </c>
      <c r="L9">
        <v>300</v>
      </c>
      <c r="M9">
        <f t="shared" si="4"/>
        <v>143.89066224201548</v>
      </c>
    </row>
    <row r="10" spans="1:13" x14ac:dyDescent="0.25">
      <c r="A10"/>
      <c r="B10">
        <v>7</v>
      </c>
      <c r="C10" s="4">
        <v>0.38048464807769228</v>
      </c>
      <c r="D10" s="4">
        <v>2.0000000000000001E-4</v>
      </c>
      <c r="E10" s="5">
        <f t="shared" si="5"/>
        <v>5.1883253682652214E-4</v>
      </c>
      <c r="F10" s="4">
        <f t="shared" si="0"/>
        <v>7.6096929615538462E-5</v>
      </c>
      <c r="G10" s="5">
        <v>9.2306672367591623E-4</v>
      </c>
      <c r="H10" s="6">
        <f t="shared" si="1"/>
        <v>0.56207479212378308</v>
      </c>
      <c r="I10" s="7">
        <f t="shared" si="2"/>
        <v>0.43792520787621692</v>
      </c>
      <c r="J10" s="7">
        <f t="shared" si="3"/>
        <v>0.56207479212378308</v>
      </c>
      <c r="K10" s="8">
        <v>0</v>
      </c>
      <c r="L10">
        <v>300</v>
      </c>
      <c r="M10">
        <f t="shared" si="4"/>
        <v>168.62243763713494</v>
      </c>
    </row>
    <row r="11" spans="1:13" x14ac:dyDescent="0.25">
      <c r="A11"/>
      <c r="B11">
        <v>8</v>
      </c>
      <c r="C11" s="4">
        <v>0.38159548496306794</v>
      </c>
      <c r="D11" s="4">
        <v>2.0000000000000001E-4</v>
      </c>
      <c r="E11" s="5">
        <f t="shared" si="5"/>
        <v>5.9515163381913577E-4</v>
      </c>
      <c r="F11" s="4">
        <f t="shared" si="0"/>
        <v>7.6319096992613592E-5</v>
      </c>
      <c r="G11" s="5">
        <v>9.2306672367591623E-4</v>
      </c>
      <c r="H11" s="6">
        <f t="shared" si="1"/>
        <v>0.64475472742541451</v>
      </c>
      <c r="I11" s="7">
        <f t="shared" si="2"/>
        <v>0.35524527257458549</v>
      </c>
      <c r="J11" s="7">
        <f t="shared" si="3"/>
        <v>0.64475472742541451</v>
      </c>
      <c r="K11" s="8">
        <v>0</v>
      </c>
      <c r="L11">
        <v>300</v>
      </c>
      <c r="M11">
        <f t="shared" si="4"/>
        <v>193.42641822762434</v>
      </c>
    </row>
    <row r="12" spans="1:13" x14ac:dyDescent="0.25">
      <c r="A12"/>
      <c r="B12">
        <v>9</v>
      </c>
      <c r="C12" s="4">
        <v>0.38601386240417895</v>
      </c>
      <c r="D12" s="4">
        <v>2.0000000000000001E-4</v>
      </c>
      <c r="E12" s="5">
        <f t="shared" si="5"/>
        <v>6.7235440629997154E-4</v>
      </c>
      <c r="F12" s="4">
        <f t="shared" si="0"/>
        <v>7.7202772480835792E-5</v>
      </c>
      <c r="G12" s="5">
        <v>9.2306672367591623E-4</v>
      </c>
      <c r="H12" s="6">
        <f t="shared" si="1"/>
        <v>0.72839198841711417</v>
      </c>
      <c r="I12" s="7">
        <f t="shared" si="2"/>
        <v>0.27160801158288583</v>
      </c>
      <c r="J12" s="7">
        <f t="shared" si="3"/>
        <v>0.72839198841711417</v>
      </c>
      <c r="K12" s="8">
        <v>0</v>
      </c>
      <c r="L12">
        <v>300</v>
      </c>
      <c r="M12">
        <f t="shared" si="4"/>
        <v>218.51759652513425</v>
      </c>
    </row>
    <row r="13" spans="1:13" x14ac:dyDescent="0.25">
      <c r="A13"/>
      <c r="B13">
        <v>10</v>
      </c>
      <c r="C13" s="4">
        <v>0.40125385136254571</v>
      </c>
      <c r="D13" s="4">
        <v>2.0000000000000001E-4</v>
      </c>
      <c r="E13" s="5">
        <f t="shared" si="5"/>
        <v>7.5260517657248064E-4</v>
      </c>
      <c r="F13" s="4">
        <f t="shared" si="0"/>
        <v>8.0250770272509146E-5</v>
      </c>
      <c r="G13" s="5">
        <v>9.2306672367591623E-4</v>
      </c>
      <c r="H13" s="6">
        <f t="shared" si="1"/>
        <v>0.81533128350179407</v>
      </c>
      <c r="I13" s="7">
        <f t="shared" si="2"/>
        <v>0.18466871649820593</v>
      </c>
      <c r="J13" s="7">
        <f t="shared" si="3"/>
        <v>0.81533128350179407</v>
      </c>
      <c r="K13" s="8">
        <v>0</v>
      </c>
      <c r="L13">
        <v>300</v>
      </c>
      <c r="M13">
        <f t="shared" si="4"/>
        <v>244.59938505053822</v>
      </c>
    </row>
    <row r="14" spans="1:13" x14ac:dyDescent="0.25">
      <c r="A14"/>
      <c r="B14">
        <v>11</v>
      </c>
      <c r="C14">
        <v>0.45230773551717801</v>
      </c>
      <c r="D14">
        <v>2.0000000000000001E-4</v>
      </c>
      <c r="E14" s="5">
        <f t="shared" si="5"/>
        <v>8.4306672367591624E-4</v>
      </c>
      <c r="F14" s="4">
        <f t="shared" si="0"/>
        <v>9.0461547103435608E-5</v>
      </c>
      <c r="G14" s="5">
        <v>9.2306672367591623E-4</v>
      </c>
      <c r="H14" s="6">
        <f t="shared" si="1"/>
        <v>0.9133323757123244</v>
      </c>
      <c r="I14" s="7">
        <f t="shared" si="2"/>
        <v>8.6667624287675604E-2</v>
      </c>
      <c r="J14" s="7">
        <f t="shared" si="3"/>
        <v>0.9133323757123244</v>
      </c>
      <c r="K14" s="8">
        <v>0</v>
      </c>
      <c r="L14">
        <v>300</v>
      </c>
      <c r="M14">
        <f t="shared" si="4"/>
        <v>273.99971271369731</v>
      </c>
    </row>
    <row r="15" spans="1:13" x14ac:dyDescent="0.25">
      <c r="A15"/>
      <c r="B15">
        <v>12</v>
      </c>
      <c r="C15">
        <v>0.4</v>
      </c>
      <c r="D15">
        <v>2.0000000000000001E-4</v>
      </c>
      <c r="E15" s="5">
        <f t="shared" si="5"/>
        <v>9.2306672367591623E-4</v>
      </c>
      <c r="F15" s="4">
        <f t="shared" si="0"/>
        <v>8.0000000000000007E-5</v>
      </c>
      <c r="G15" s="5">
        <v>9.2306672367591623E-4</v>
      </c>
      <c r="H15" s="6">
        <f t="shared" si="1"/>
        <v>1</v>
      </c>
      <c r="I15" s="7">
        <f t="shared" si="2"/>
        <v>0</v>
      </c>
      <c r="J15" s="7">
        <f t="shared" si="3"/>
        <v>1</v>
      </c>
      <c r="K15" s="8">
        <v>0</v>
      </c>
      <c r="L15">
        <v>300</v>
      </c>
      <c r="M15">
        <f t="shared" si="4"/>
        <v>300</v>
      </c>
    </row>
    <row r="16" spans="1:13" x14ac:dyDescent="0.25">
      <c r="A16"/>
    </row>
    <row r="17" spans="1:8" x14ac:dyDescent="0.25">
      <c r="A17"/>
    </row>
    <row r="18" spans="1:8" x14ac:dyDescent="0.25">
      <c r="A18"/>
      <c r="B18" t="s">
        <v>245</v>
      </c>
    </row>
    <row r="19" spans="1:8" x14ac:dyDescent="0.25">
      <c r="A19"/>
    </row>
    <row r="20" spans="1:8" x14ac:dyDescent="0.25">
      <c r="A20"/>
      <c r="C20" t="s">
        <v>15</v>
      </c>
      <c r="D20" t="s">
        <v>243</v>
      </c>
      <c r="E20" t="s">
        <v>242</v>
      </c>
      <c r="F20" t="s">
        <v>24</v>
      </c>
      <c r="G20" t="s">
        <v>25</v>
      </c>
      <c r="H20" t="s">
        <v>244</v>
      </c>
    </row>
    <row r="21" spans="1:8" x14ac:dyDescent="0.25">
      <c r="A21"/>
      <c r="C21">
        <v>1</v>
      </c>
      <c r="D21">
        <v>-1.1000000000000001E-3</v>
      </c>
      <c r="E21" s="1">
        <v>2.3999999999999998E-3</v>
      </c>
      <c r="F21" s="8">
        <v>0</v>
      </c>
      <c r="G21">
        <v>300</v>
      </c>
      <c r="H21" s="1">
        <f t="shared" ref="H21:H32" si="6">F21+(G21-F21)*(D21/E21+0.5)</f>
        <v>12.499999999999972</v>
      </c>
    </row>
    <row r="22" spans="1:8" x14ac:dyDescent="0.25">
      <c r="A22"/>
      <c r="C22">
        <v>2</v>
      </c>
      <c r="D22">
        <v>-8.9999999999999998E-4</v>
      </c>
      <c r="E22" s="1">
        <v>2.3999999999999998E-3</v>
      </c>
      <c r="F22" s="8">
        <v>0</v>
      </c>
      <c r="G22">
        <v>300</v>
      </c>
      <c r="H22" s="1">
        <f t="shared" si="6"/>
        <v>37.5</v>
      </c>
    </row>
    <row r="23" spans="1:8" x14ac:dyDescent="0.25">
      <c r="A23"/>
      <c r="C23">
        <v>3</v>
      </c>
      <c r="D23">
        <v>-6.9999999999999999E-4</v>
      </c>
      <c r="E23" s="1">
        <v>2.3999999999999998E-3</v>
      </c>
      <c r="F23" s="8">
        <v>0</v>
      </c>
      <c r="G23">
        <v>300</v>
      </c>
      <c r="H23" s="1">
        <f t="shared" si="6"/>
        <v>62.499999999999993</v>
      </c>
    </row>
    <row r="24" spans="1:8" x14ac:dyDescent="0.25">
      <c r="A24"/>
      <c r="C24">
        <v>4</v>
      </c>
      <c r="D24">
        <v>-5.0000000000000001E-4</v>
      </c>
      <c r="E24" s="1">
        <v>2.3999999999999998E-3</v>
      </c>
      <c r="F24" s="8">
        <v>0</v>
      </c>
      <c r="G24">
        <v>300</v>
      </c>
      <c r="H24" s="1">
        <f t="shared" si="6"/>
        <v>87.499999999999986</v>
      </c>
    </row>
    <row r="25" spans="1:8" x14ac:dyDescent="0.25">
      <c r="A25"/>
      <c r="C25">
        <v>5</v>
      </c>
      <c r="D25">
        <v>-3.0000000000000003E-4</v>
      </c>
      <c r="E25" s="1">
        <v>2.3999999999999998E-3</v>
      </c>
      <c r="F25" s="8">
        <v>0</v>
      </c>
      <c r="G25">
        <v>300</v>
      </c>
      <c r="H25" s="1">
        <f t="shared" si="6"/>
        <v>112.5</v>
      </c>
    </row>
    <row r="26" spans="1:8" x14ac:dyDescent="0.25">
      <c r="A26"/>
      <c r="C26">
        <v>6</v>
      </c>
      <c r="D26">
        <v>-1.0000000000000002E-4</v>
      </c>
      <c r="E26" s="1">
        <v>2.3999999999999998E-3</v>
      </c>
      <c r="F26" s="8">
        <v>0</v>
      </c>
      <c r="G26">
        <v>300</v>
      </c>
      <c r="H26" s="1">
        <f t="shared" si="6"/>
        <v>137.5</v>
      </c>
    </row>
    <row r="27" spans="1:8" x14ac:dyDescent="0.25">
      <c r="A27"/>
      <c r="C27">
        <v>7</v>
      </c>
      <c r="D27">
        <v>9.9999999999999991E-5</v>
      </c>
      <c r="E27" s="1">
        <v>2.3999999999999998E-3</v>
      </c>
      <c r="F27" s="8">
        <v>0</v>
      </c>
      <c r="G27">
        <v>300</v>
      </c>
      <c r="H27" s="1">
        <f t="shared" si="6"/>
        <v>162.5</v>
      </c>
    </row>
    <row r="28" spans="1:8" x14ac:dyDescent="0.25">
      <c r="A28"/>
      <c r="C28">
        <v>8</v>
      </c>
      <c r="D28">
        <v>3.0000000000000003E-4</v>
      </c>
      <c r="E28" s="1">
        <v>2.3999999999999998E-3</v>
      </c>
      <c r="F28" s="8">
        <v>0</v>
      </c>
      <c r="G28">
        <v>300</v>
      </c>
      <c r="H28" s="1">
        <f t="shared" si="6"/>
        <v>187.5</v>
      </c>
    </row>
    <row r="29" spans="1:8" x14ac:dyDescent="0.25">
      <c r="A29"/>
      <c r="C29">
        <v>9</v>
      </c>
      <c r="D29">
        <v>5.0000000000000001E-4</v>
      </c>
      <c r="E29" s="1">
        <v>2.3999999999999998E-3</v>
      </c>
      <c r="F29" s="8">
        <v>0</v>
      </c>
      <c r="G29">
        <v>300</v>
      </c>
      <c r="H29" s="1">
        <f t="shared" si="6"/>
        <v>212.5</v>
      </c>
    </row>
    <row r="30" spans="1:8" x14ac:dyDescent="0.25">
      <c r="A30"/>
      <c r="C30">
        <v>10</v>
      </c>
      <c r="D30">
        <v>6.9999999999999999E-4</v>
      </c>
      <c r="E30" s="1">
        <v>2.3999999999999998E-3</v>
      </c>
      <c r="F30" s="8">
        <v>0</v>
      </c>
      <c r="G30">
        <v>300</v>
      </c>
      <c r="H30" s="1">
        <f t="shared" si="6"/>
        <v>237.50000000000003</v>
      </c>
    </row>
    <row r="31" spans="1:8" x14ac:dyDescent="0.25">
      <c r="A31"/>
      <c r="C31">
        <v>11</v>
      </c>
      <c r="D31">
        <v>8.9999999999999998E-4</v>
      </c>
      <c r="E31" s="1">
        <v>2.3999999999999998E-3</v>
      </c>
      <c r="F31" s="8">
        <v>0</v>
      </c>
      <c r="G31">
        <v>300</v>
      </c>
      <c r="H31" s="1">
        <f t="shared" si="6"/>
        <v>262.5</v>
      </c>
    </row>
    <row r="32" spans="1:8" x14ac:dyDescent="0.25">
      <c r="A32"/>
      <c r="C32">
        <v>12</v>
      </c>
      <c r="D32">
        <v>1.1000000000000001E-3</v>
      </c>
      <c r="E32" s="1">
        <v>2.3999999999999998E-3</v>
      </c>
      <c r="F32" s="8">
        <v>0</v>
      </c>
      <c r="G32">
        <v>300</v>
      </c>
      <c r="H32" s="1">
        <f t="shared" si="6"/>
        <v>287.50000000000006</v>
      </c>
    </row>
    <row r="33" spans="1:8" x14ac:dyDescent="0.25">
      <c r="A33"/>
    </row>
    <row r="34" spans="1:8" x14ac:dyDescent="0.25">
      <c r="A34"/>
    </row>
    <row r="35" spans="1:8" x14ac:dyDescent="0.25">
      <c r="A35"/>
      <c r="B35" t="s">
        <v>246</v>
      </c>
      <c r="C35" t="s">
        <v>15</v>
      </c>
      <c r="D35" t="s">
        <v>243</v>
      </c>
      <c r="E35" t="s">
        <v>242</v>
      </c>
      <c r="F35" t="s">
        <v>24</v>
      </c>
      <c r="G35" t="s">
        <v>25</v>
      </c>
      <c r="H35" t="s">
        <v>244</v>
      </c>
    </row>
    <row r="36" spans="1:8" x14ac:dyDescent="0.25">
      <c r="A36"/>
      <c r="C36">
        <v>1</v>
      </c>
      <c r="D36">
        <v>-1.1000000000000001E-3</v>
      </c>
      <c r="E36" s="1">
        <v>2.3999999999999998E-3</v>
      </c>
      <c r="F36" s="8">
        <v>0</v>
      </c>
      <c r="G36">
        <v>300</v>
      </c>
      <c r="H36" s="1">
        <f t="shared" ref="H36:H47" si="7">F36+(G36-F36)*(1-COS(3.14/4+(D36*3.14)/(2*E36)))</f>
        <v>0.64167216490170764</v>
      </c>
    </row>
    <row r="37" spans="1:8" x14ac:dyDescent="0.25">
      <c r="A37"/>
      <c r="C37">
        <v>2</v>
      </c>
      <c r="D37">
        <v>-8.9999999999999998E-4</v>
      </c>
      <c r="E37" s="1">
        <v>2.3999999999999998E-3</v>
      </c>
      <c r="F37" s="8">
        <v>0</v>
      </c>
      <c r="G37">
        <v>300</v>
      </c>
      <c r="H37" s="1">
        <f t="shared" si="7"/>
        <v>5.758591499832832</v>
      </c>
    </row>
    <row r="38" spans="1:8" x14ac:dyDescent="0.25">
      <c r="A38"/>
      <c r="C38">
        <v>3</v>
      </c>
      <c r="D38">
        <v>-6.9999999999999999E-4</v>
      </c>
      <c r="E38" s="1">
        <v>2.3999999999999998E-3</v>
      </c>
      <c r="F38" s="8">
        <v>0</v>
      </c>
      <c r="G38">
        <v>300</v>
      </c>
      <c r="H38" s="1">
        <f t="shared" si="7"/>
        <v>15.904966882237714</v>
      </c>
    </row>
    <row r="39" spans="1:8" x14ac:dyDescent="0.25">
      <c r="A39"/>
      <c r="C39">
        <v>4</v>
      </c>
      <c r="D39">
        <v>-5.0000000000000001E-4</v>
      </c>
      <c r="E39" s="1">
        <v>2.3999999999999998E-3</v>
      </c>
      <c r="F39" s="8">
        <v>0</v>
      </c>
      <c r="G39">
        <v>300</v>
      </c>
      <c r="H39" s="1">
        <f t="shared" si="7"/>
        <v>30.90736674350374</v>
      </c>
    </row>
    <row r="40" spans="1:8" x14ac:dyDescent="0.25">
      <c r="A40"/>
      <c r="C40">
        <v>5</v>
      </c>
      <c r="D40">
        <v>-3.0000000000000003E-4</v>
      </c>
      <c r="E40" s="1">
        <v>2.3999999999999998E-3</v>
      </c>
      <c r="F40" s="8">
        <v>0</v>
      </c>
      <c r="G40">
        <v>300</v>
      </c>
      <c r="H40" s="1">
        <f t="shared" si="7"/>
        <v>50.509355692387103</v>
      </c>
    </row>
    <row r="41" spans="1:8" x14ac:dyDescent="0.25">
      <c r="A41"/>
      <c r="C41">
        <v>6</v>
      </c>
      <c r="D41">
        <v>-1.0000000000000002E-4</v>
      </c>
      <c r="E41" s="1">
        <v>2.3999999999999998E-3</v>
      </c>
      <c r="F41" s="8">
        <v>0</v>
      </c>
      <c r="G41">
        <v>300</v>
      </c>
      <c r="H41" s="1">
        <f t="shared" si="7"/>
        <v>74.375877754393898</v>
      </c>
    </row>
    <row r="42" spans="1:8" x14ac:dyDescent="0.25">
      <c r="A42"/>
      <c r="C42">
        <v>7</v>
      </c>
      <c r="D42">
        <v>9.9999999999999991E-5</v>
      </c>
      <c r="E42" s="1">
        <v>2.3999999999999998E-3</v>
      </c>
      <c r="F42" s="8">
        <v>0</v>
      </c>
      <c r="G42">
        <v>300</v>
      </c>
      <c r="H42" s="1">
        <f t="shared" si="7"/>
        <v>102.09898346949144</v>
      </c>
    </row>
    <row r="43" spans="1:8" x14ac:dyDescent="0.25">
      <c r="A43"/>
      <c r="C43">
        <v>8</v>
      </c>
      <c r="D43">
        <v>3.0000000000000003E-4</v>
      </c>
      <c r="E43" s="1">
        <v>2.3999999999999998E-3</v>
      </c>
      <c r="F43" s="8">
        <v>0</v>
      </c>
      <c r="G43">
        <v>300</v>
      </c>
      <c r="H43" s="1">
        <f t="shared" si="7"/>
        <v>133.20480295510845</v>
      </c>
    </row>
    <row r="44" spans="1:8" x14ac:dyDescent="0.25">
      <c r="A44"/>
      <c r="C44">
        <v>9</v>
      </c>
      <c r="D44">
        <v>5.0000000000000001E-4</v>
      </c>
      <c r="E44" s="1">
        <v>2.3999999999999998E-3</v>
      </c>
      <c r="F44" s="8">
        <v>0</v>
      </c>
      <c r="G44">
        <v>300</v>
      </c>
      <c r="H44" s="1">
        <f t="shared" si="7"/>
        <v>167.16164574415194</v>
      </c>
    </row>
    <row r="45" spans="1:8" x14ac:dyDescent="0.25">
      <c r="A45"/>
      <c r="C45">
        <v>10</v>
      </c>
      <c r="D45">
        <v>6.9999999999999999E-4</v>
      </c>
      <c r="E45" s="1">
        <v>2.3999999999999998E-3</v>
      </c>
      <c r="F45" s="8">
        <v>0</v>
      </c>
      <c r="G45">
        <v>300</v>
      </c>
      <c r="H45" s="1">
        <f t="shared" si="7"/>
        <v>203.38908894784839</v>
      </c>
    </row>
    <row r="46" spans="1:8" x14ac:dyDescent="0.25">
      <c r="A46"/>
      <c r="C46">
        <v>11</v>
      </c>
      <c r="D46">
        <v>8.9999999999999998E-4</v>
      </c>
      <c r="E46" s="1">
        <v>2.3999999999999998E-3</v>
      </c>
      <c r="F46" s="8">
        <v>0</v>
      </c>
      <c r="G46">
        <v>300</v>
      </c>
      <c r="H46" s="1">
        <f t="shared" si="7"/>
        <v>241.26789839982362</v>
      </c>
    </row>
    <row r="47" spans="1:8" x14ac:dyDescent="0.25">
      <c r="A47"/>
      <c r="C47">
        <v>12</v>
      </c>
      <c r="D47">
        <v>1.1000000000000001E-3</v>
      </c>
      <c r="E47" s="1">
        <v>2.3999999999999998E-3</v>
      </c>
      <c r="F47" s="8">
        <v>0</v>
      </c>
      <c r="G47">
        <v>300</v>
      </c>
      <c r="H47" s="1">
        <f t="shared" si="7"/>
        <v>280.15061319972239</v>
      </c>
    </row>
    <row r="48" spans="1:8" x14ac:dyDescent="0.25">
      <c r="A48"/>
    </row>
    <row r="49" spans="1:8" x14ac:dyDescent="0.25">
      <c r="A49"/>
    </row>
    <row r="50" spans="1:8" x14ac:dyDescent="0.25">
      <c r="A50"/>
    </row>
    <row r="51" spans="1:8" x14ac:dyDescent="0.25">
      <c r="A51"/>
    </row>
    <row r="52" spans="1:8" x14ac:dyDescent="0.25">
      <c r="A52"/>
    </row>
    <row r="53" spans="1:8" x14ac:dyDescent="0.25">
      <c r="A53"/>
    </row>
    <row r="54" spans="1:8" x14ac:dyDescent="0.25">
      <c r="A54"/>
      <c r="F54">
        <v>0</v>
      </c>
      <c r="G54">
        <v>0</v>
      </c>
      <c r="H54">
        <v>0</v>
      </c>
    </row>
    <row r="55" spans="1:8" x14ac:dyDescent="0.25">
      <c r="A55"/>
      <c r="E55">
        <v>300</v>
      </c>
      <c r="F55">
        <v>12.499999999999972</v>
      </c>
      <c r="G55">
        <v>0.64167216490170764</v>
      </c>
      <c r="H55">
        <v>20.312724442423974</v>
      </c>
    </row>
    <row r="56" spans="1:8" x14ac:dyDescent="0.25">
      <c r="A56"/>
      <c r="E56">
        <v>300</v>
      </c>
      <c r="F56">
        <v>37.5</v>
      </c>
      <c r="G56">
        <v>5.758591499832832</v>
      </c>
      <c r="H56">
        <v>45.027826425602079</v>
      </c>
    </row>
    <row r="57" spans="1:8" x14ac:dyDescent="0.25">
      <c r="A57"/>
      <c r="E57">
        <v>300</v>
      </c>
      <c r="F57">
        <v>62.499999999999993</v>
      </c>
      <c r="G57">
        <v>15.904966882237714</v>
      </c>
      <c r="H57">
        <v>69.74292844671254</v>
      </c>
    </row>
    <row r="58" spans="1:8" x14ac:dyDescent="0.25">
      <c r="A58"/>
      <c r="E58">
        <v>300</v>
      </c>
      <c r="F58">
        <v>87.499999999999986</v>
      </c>
      <c r="G58">
        <v>30.90736674350374</v>
      </c>
      <c r="H58">
        <v>94.458036703317674</v>
      </c>
    </row>
    <row r="59" spans="1:8" x14ac:dyDescent="0.25">
      <c r="A59"/>
      <c r="E59">
        <v>300</v>
      </c>
      <c r="F59">
        <v>112.5</v>
      </c>
      <c r="G59">
        <v>50.509355692387103</v>
      </c>
      <c r="H59">
        <v>119.1733201495971</v>
      </c>
    </row>
    <row r="60" spans="1:8" x14ac:dyDescent="0.25">
      <c r="A60"/>
      <c r="E60">
        <v>300</v>
      </c>
      <c r="F60">
        <v>137.5</v>
      </c>
      <c r="G60">
        <v>74.375877754393898</v>
      </c>
      <c r="H60">
        <v>143.89066224201548</v>
      </c>
    </row>
    <row r="61" spans="1:8" x14ac:dyDescent="0.25">
      <c r="A61"/>
      <c r="E61">
        <v>300</v>
      </c>
      <c r="F61">
        <v>162.5</v>
      </c>
      <c r="G61">
        <v>102.09898346949144</v>
      </c>
      <c r="H61">
        <v>168.62243763713494</v>
      </c>
    </row>
    <row r="62" spans="1:8" x14ac:dyDescent="0.25">
      <c r="A62"/>
      <c r="E62">
        <v>300</v>
      </c>
      <c r="F62">
        <v>187.5</v>
      </c>
      <c r="G62">
        <v>133.20480295510845</v>
      </c>
      <c r="H62">
        <v>193.42641822762434</v>
      </c>
    </row>
    <row r="63" spans="1:8" x14ac:dyDescent="0.25">
      <c r="A63"/>
      <c r="E63">
        <v>300</v>
      </c>
      <c r="F63">
        <v>212.5</v>
      </c>
      <c r="G63">
        <v>167.16164574415194</v>
      </c>
      <c r="H63">
        <v>218.51759652513425</v>
      </c>
    </row>
    <row r="64" spans="1:8" x14ac:dyDescent="0.25">
      <c r="A64"/>
      <c r="E64">
        <v>300</v>
      </c>
      <c r="F64">
        <v>237.50000000000003</v>
      </c>
      <c r="G64">
        <v>203.38908894784839</v>
      </c>
      <c r="H64">
        <v>244.59938505053822</v>
      </c>
    </row>
    <row r="65" spans="1:8" x14ac:dyDescent="0.25">
      <c r="A65"/>
      <c r="E65">
        <v>300</v>
      </c>
      <c r="F65">
        <v>262.5</v>
      </c>
      <c r="G65">
        <v>241.26789839982362</v>
      </c>
      <c r="H65">
        <v>273.99971271369731</v>
      </c>
    </row>
    <row r="66" spans="1:8" x14ac:dyDescent="0.25">
      <c r="A66"/>
      <c r="E66">
        <v>300</v>
      </c>
      <c r="F66">
        <v>287.50000000000006</v>
      </c>
      <c r="G66">
        <v>280.15061319972239</v>
      </c>
      <c r="H66">
        <v>300</v>
      </c>
    </row>
    <row r="67" spans="1:8" x14ac:dyDescent="0.25">
      <c r="A67"/>
      <c r="F67">
        <v>300</v>
      </c>
      <c r="G67">
        <v>300</v>
      </c>
    </row>
    <row r="68" spans="1:8" x14ac:dyDescent="0.25">
      <c r="A68"/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95"/>
  <sheetViews>
    <sheetView zoomScaleNormal="100" workbookViewId="0">
      <selection activeCell="J36" sqref="J36"/>
    </sheetView>
  </sheetViews>
  <sheetFormatPr defaultRowHeight="14" x14ac:dyDescent="0.25"/>
  <cols>
    <col min="1" max="1" width="10.26953125" bestFit="1" customWidth="1"/>
    <col min="2" max="2" width="11.81640625" customWidth="1"/>
    <col min="3" max="3" width="9.26953125" bestFit="1" customWidth="1"/>
    <col min="4" max="4" width="9.6328125" customWidth="1"/>
    <col min="5" max="5" width="10.54296875" customWidth="1"/>
    <col min="6" max="6" width="10.36328125" customWidth="1"/>
    <col min="7" max="7" width="10.7265625" customWidth="1"/>
    <col min="11" max="11" width="13.08984375" customWidth="1"/>
  </cols>
  <sheetData>
    <row r="1" spans="1:13" x14ac:dyDescent="0.25">
      <c r="A1" s="2" t="s">
        <v>247</v>
      </c>
    </row>
    <row r="3" spans="1:13" x14ac:dyDescent="0.25">
      <c r="A3" t="s">
        <v>248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s="3" t="s">
        <v>255</v>
      </c>
      <c r="I3" t="s">
        <v>256</v>
      </c>
      <c r="J3" t="s">
        <v>257</v>
      </c>
      <c r="K3" t="s">
        <v>258</v>
      </c>
      <c r="L3" t="s">
        <v>259</v>
      </c>
      <c r="M3" s="1"/>
    </row>
    <row r="4" spans="1:13" x14ac:dyDescent="0.25">
      <c r="A4">
        <v>1</v>
      </c>
      <c r="B4" s="1">
        <v>0.38277511961722488</v>
      </c>
      <c r="C4" s="1">
        <v>1.2E-4</v>
      </c>
      <c r="D4" s="5">
        <f>B4*C4</f>
        <v>4.5933014354066989E-5</v>
      </c>
      <c r="E4" s="1">
        <f t="shared" ref="E4:E23" si="0">B4*C4</f>
        <v>4.5933014354066989E-5</v>
      </c>
      <c r="F4" s="1">
        <f>SUM(E4:E23)</f>
        <v>1.0609972123649274E-3</v>
      </c>
      <c r="G4" s="1">
        <f>D4/F4</f>
        <v>4.3292304464857011E-2</v>
      </c>
      <c r="H4" s="1">
        <f t="shared" ref="H4:H23" si="1">1-I4</f>
        <v>0.95670769553514301</v>
      </c>
      <c r="I4" s="1">
        <f>D4/F4</f>
        <v>4.3292304464857011E-2</v>
      </c>
      <c r="J4">
        <v>300</v>
      </c>
      <c r="K4">
        <v>600</v>
      </c>
      <c r="L4">
        <f>J4*H4+K4*I4</f>
        <v>312.98769133945711</v>
      </c>
      <c r="M4" s="1"/>
    </row>
    <row r="5" spans="1:13" x14ac:dyDescent="0.25">
      <c r="A5">
        <v>2</v>
      </c>
      <c r="B5" s="1">
        <v>0.38797284190106696</v>
      </c>
      <c r="C5" s="1">
        <v>1.2E-4</v>
      </c>
      <c r="D5" s="5">
        <f>B5*C5+D4</f>
        <v>9.2489755382195015E-5</v>
      </c>
      <c r="E5" s="1">
        <f t="shared" si="0"/>
        <v>4.6556741028128033E-5</v>
      </c>
      <c r="F5" s="1">
        <v>1.0609972123649274E-3</v>
      </c>
      <c r="G5" s="1">
        <f t="shared" ref="G5:G23" si="2">D5/F5</f>
        <v>8.7172477273562698E-2</v>
      </c>
      <c r="H5" s="1">
        <f t="shared" si="1"/>
        <v>0.9128275227264373</v>
      </c>
      <c r="I5" s="1">
        <f t="shared" ref="I5:I23" si="3">D5/F5</f>
        <v>8.7172477273562698E-2</v>
      </c>
      <c r="J5">
        <v>300</v>
      </c>
      <c r="K5">
        <v>600</v>
      </c>
      <c r="L5">
        <f t="shared" ref="L5:L23" si="4">J5*H5+K5*I5</f>
        <v>326.1517431820688</v>
      </c>
      <c r="M5" s="1"/>
    </row>
    <row r="6" spans="1:13" x14ac:dyDescent="0.25">
      <c r="A6">
        <v>3</v>
      </c>
      <c r="B6" s="1">
        <v>0.39331366764995079</v>
      </c>
      <c r="C6" s="1">
        <v>1.2E-4</v>
      </c>
      <c r="D6" s="5">
        <f t="shared" ref="D6:D23" si="5">B6*C6+D5</f>
        <v>1.3968739550018912E-4</v>
      </c>
      <c r="E6" s="1">
        <f t="shared" si="0"/>
        <v>4.7197640117994095E-5</v>
      </c>
      <c r="F6" s="1">
        <v>1.0609972123649274E-3</v>
      </c>
      <c r="G6" s="1">
        <f t="shared" si="2"/>
        <v>0.13165670359192611</v>
      </c>
      <c r="H6" s="1">
        <f t="shared" si="1"/>
        <v>0.86834329640807395</v>
      </c>
      <c r="I6" s="1">
        <f t="shared" si="3"/>
        <v>0.13165670359192611</v>
      </c>
      <c r="J6">
        <v>300</v>
      </c>
      <c r="K6">
        <v>600</v>
      </c>
      <c r="L6">
        <f t="shared" si="4"/>
        <v>339.49701107757784</v>
      </c>
      <c r="M6" s="1"/>
    </row>
    <row r="7" spans="1:13" x14ac:dyDescent="0.25">
      <c r="A7">
        <v>4</v>
      </c>
      <c r="B7" s="1">
        <v>0.39880358923230302</v>
      </c>
      <c r="C7" s="1">
        <v>1.2E-4</v>
      </c>
      <c r="D7" s="5">
        <f t="shared" si="5"/>
        <v>1.8754382620806548E-4</v>
      </c>
      <c r="E7" s="1">
        <f t="shared" si="0"/>
        <v>4.7856430707876364E-5</v>
      </c>
      <c r="F7" s="1">
        <v>1.0609972123649274E-3</v>
      </c>
      <c r="G7" s="1">
        <f t="shared" si="2"/>
        <v>0.17676184632948896</v>
      </c>
      <c r="H7" s="1">
        <f t="shared" si="1"/>
        <v>0.82323815367051101</v>
      </c>
      <c r="I7" s="1">
        <f t="shared" si="3"/>
        <v>0.17676184632948896</v>
      </c>
      <c r="J7">
        <v>300</v>
      </c>
      <c r="K7">
        <v>600</v>
      </c>
      <c r="L7">
        <f t="shared" si="4"/>
        <v>353.02855389884667</v>
      </c>
      <c r="M7" s="1"/>
    </row>
    <row r="8" spans="1:13" x14ac:dyDescent="0.25">
      <c r="A8">
        <v>5</v>
      </c>
      <c r="B8" s="1">
        <v>0.40444893832153689</v>
      </c>
      <c r="C8" s="1">
        <v>1.2E-4</v>
      </c>
      <c r="D8" s="5">
        <f t="shared" si="5"/>
        <v>2.3607769880664993E-4</v>
      </c>
      <c r="E8" s="1">
        <f t="shared" si="0"/>
        <v>4.8533872598584431E-5</v>
      </c>
      <c r="F8" s="1">
        <v>1.0609972123649274E-3</v>
      </c>
      <c r="G8" s="1">
        <f t="shared" si="2"/>
        <v>0.22250548451530858</v>
      </c>
      <c r="H8" s="1">
        <f t="shared" si="1"/>
        <v>0.7774945154846914</v>
      </c>
      <c r="I8" s="1">
        <f t="shared" si="3"/>
        <v>0.22250548451530858</v>
      </c>
      <c r="J8">
        <v>300</v>
      </c>
      <c r="K8">
        <v>600</v>
      </c>
      <c r="L8">
        <f t="shared" si="4"/>
        <v>366.7516453545926</v>
      </c>
      <c r="M8" s="1"/>
    </row>
    <row r="9" spans="1:13" x14ac:dyDescent="0.25">
      <c r="A9">
        <v>6</v>
      </c>
      <c r="B9" s="1">
        <v>0.41025641025641024</v>
      </c>
      <c r="C9" s="1">
        <v>1.2E-4</v>
      </c>
      <c r="D9" s="5">
        <f t="shared" si="5"/>
        <v>2.8530846803741916E-4</v>
      </c>
      <c r="E9" s="1">
        <f t="shared" si="0"/>
        <v>4.9230769230769232E-5</v>
      </c>
      <c r="F9" s="1">
        <v>1.0609972123649274E-3</v>
      </c>
      <c r="G9" s="1">
        <f t="shared" si="2"/>
        <v>0.26890595442892457</v>
      </c>
      <c r="H9" s="1">
        <f t="shared" si="1"/>
        <v>0.73109404557107549</v>
      </c>
      <c r="I9" s="1">
        <f t="shared" si="3"/>
        <v>0.26890595442892457</v>
      </c>
      <c r="J9">
        <v>300</v>
      </c>
      <c r="K9">
        <v>600</v>
      </c>
      <c r="L9">
        <f t="shared" si="4"/>
        <v>380.6717863286774</v>
      </c>
      <c r="M9" s="1"/>
    </row>
    <row r="10" spans="1:13" x14ac:dyDescent="0.25">
      <c r="A10">
        <v>7</v>
      </c>
      <c r="B10" s="1">
        <v>0.41623309053069724</v>
      </c>
      <c r="C10" s="1">
        <v>1.2E-4</v>
      </c>
      <c r="D10" s="5">
        <f t="shared" si="5"/>
        <v>3.3525643890110283E-4</v>
      </c>
      <c r="E10" s="1">
        <f t="shared" si="0"/>
        <v>4.9947970863683672E-5</v>
      </c>
      <c r="F10" s="1">
        <v>1.0609972123649274E-3</v>
      </c>
      <c r="G10" s="1">
        <f t="shared" si="2"/>
        <v>0.31598239372733827</v>
      </c>
      <c r="H10" s="1">
        <f t="shared" si="1"/>
        <v>0.68401760627266173</v>
      </c>
      <c r="I10" s="1">
        <f t="shared" si="3"/>
        <v>0.31598239372733827</v>
      </c>
      <c r="J10">
        <v>300</v>
      </c>
      <c r="K10">
        <v>600</v>
      </c>
      <c r="L10">
        <f t="shared" si="4"/>
        <v>394.7947181182015</v>
      </c>
      <c r="M10" s="1"/>
    </row>
    <row r="11" spans="1:13" x14ac:dyDescent="0.25">
      <c r="A11">
        <v>8</v>
      </c>
      <c r="B11" s="1">
        <v>0.42238648363252379</v>
      </c>
      <c r="C11" s="1">
        <v>1.2E-4</v>
      </c>
      <c r="D11" s="5">
        <f t="shared" si="5"/>
        <v>3.8594281693700569E-4</v>
      </c>
      <c r="E11" s="1">
        <f t="shared" si="0"/>
        <v>5.0686378035902856E-5</v>
      </c>
      <c r="F11" s="1">
        <v>1.0609972123649274E-3</v>
      </c>
      <c r="G11" s="1">
        <f t="shared" si="2"/>
        <v>0.36375478883375384</v>
      </c>
      <c r="H11" s="1">
        <f t="shared" si="1"/>
        <v>0.63624521116624622</v>
      </c>
      <c r="I11" s="1">
        <f t="shared" si="3"/>
        <v>0.36375478883375384</v>
      </c>
      <c r="J11">
        <v>300</v>
      </c>
      <c r="K11">
        <v>600</v>
      </c>
      <c r="L11">
        <f t="shared" si="4"/>
        <v>409.12643665012615</v>
      </c>
      <c r="M11" s="1"/>
    </row>
    <row r="12" spans="1:13" x14ac:dyDescent="0.25">
      <c r="A12">
        <v>9</v>
      </c>
      <c r="B12" s="1">
        <v>0.42872454448017155</v>
      </c>
      <c r="C12" s="1">
        <v>1.2E-4</v>
      </c>
      <c r="D12" s="5">
        <f t="shared" si="5"/>
        <v>4.3738976227462628E-4</v>
      </c>
      <c r="E12" s="1">
        <f t="shared" si="0"/>
        <v>5.1446945337620591E-5</v>
      </c>
      <c r="F12" s="1">
        <v>1.0609972123649274E-3</v>
      </c>
      <c r="G12" s="1">
        <f t="shared" si="2"/>
        <v>0.41224402588174486</v>
      </c>
      <c r="H12" s="1">
        <f t="shared" si="1"/>
        <v>0.5877559741182552</v>
      </c>
      <c r="I12" s="1">
        <f t="shared" si="3"/>
        <v>0.41224402588174486</v>
      </c>
      <c r="J12">
        <v>300</v>
      </c>
      <c r="K12">
        <v>600</v>
      </c>
      <c r="L12">
        <f t="shared" si="4"/>
        <v>423.67320776452345</v>
      </c>
      <c r="M12" s="1"/>
    </row>
    <row r="13" spans="1:13" x14ac:dyDescent="0.25">
      <c r="A13">
        <v>10</v>
      </c>
      <c r="B13" s="1">
        <v>0.43525571273122954</v>
      </c>
      <c r="C13" s="1">
        <v>1.2E-4</v>
      </c>
      <c r="D13" s="5">
        <f t="shared" si="5"/>
        <v>4.8962044780237381E-4</v>
      </c>
      <c r="E13" s="1">
        <f t="shared" si="0"/>
        <v>5.2230685527747544E-5</v>
      </c>
      <c r="F13" s="1">
        <v>1.0609972123649274E-3</v>
      </c>
      <c r="G13" s="1">
        <f t="shared" si="2"/>
        <v>0.4614719455398249</v>
      </c>
      <c r="H13" s="1">
        <f t="shared" si="1"/>
        <v>0.53852805446017515</v>
      </c>
      <c r="I13" s="1">
        <f t="shared" si="3"/>
        <v>0.4614719455398249</v>
      </c>
      <c r="J13">
        <v>300</v>
      </c>
      <c r="K13">
        <v>600</v>
      </c>
      <c r="L13">
        <f t="shared" si="4"/>
        <v>438.4415836619475</v>
      </c>
      <c r="M13" s="1"/>
    </row>
    <row r="14" spans="1:13" x14ac:dyDescent="0.25">
      <c r="A14">
        <v>11</v>
      </c>
      <c r="B14" s="1">
        <v>0.44198895027624308</v>
      </c>
      <c r="C14" s="1">
        <v>1.2E-4</v>
      </c>
      <c r="D14" s="5">
        <f t="shared" si="5"/>
        <v>5.4265912183552303E-4</v>
      </c>
      <c r="E14" s="1">
        <f t="shared" si="0"/>
        <v>5.303867403314917E-5</v>
      </c>
      <c r="F14" s="1">
        <v>1.0609972123649274E-3</v>
      </c>
      <c r="G14" s="1">
        <f t="shared" si="2"/>
        <v>0.51146140207659352</v>
      </c>
      <c r="H14" s="1">
        <f t="shared" si="1"/>
        <v>0.48853859792340648</v>
      </c>
      <c r="I14" s="1">
        <f t="shared" si="3"/>
        <v>0.51146140207659352</v>
      </c>
      <c r="J14">
        <v>300</v>
      </c>
      <c r="K14">
        <v>600</v>
      </c>
      <c r="L14">
        <f t="shared" si="4"/>
        <v>453.43842062297801</v>
      </c>
      <c r="M14" s="1"/>
    </row>
    <row r="15" spans="1:13" x14ac:dyDescent="0.25">
      <c r="A15">
        <v>12</v>
      </c>
      <c r="B15" s="1">
        <v>0.44893378226711561</v>
      </c>
      <c r="C15" s="1">
        <v>1.2E-4</v>
      </c>
      <c r="D15" s="5">
        <f t="shared" si="5"/>
        <v>5.9653117570757693E-4</v>
      </c>
      <c r="E15" s="1">
        <f t="shared" si="0"/>
        <v>5.3872053872053874E-5</v>
      </c>
      <c r="F15" s="1">
        <v>1.0609972123649274E-3</v>
      </c>
      <c r="G15" s="1">
        <f t="shared" si="2"/>
        <v>0.5622363270662406</v>
      </c>
      <c r="H15" s="1">
        <f t="shared" si="1"/>
        <v>0.4377636729337594</v>
      </c>
      <c r="I15" s="1">
        <f t="shared" si="3"/>
        <v>0.5622363270662406</v>
      </c>
      <c r="J15">
        <v>300</v>
      </c>
      <c r="K15">
        <v>600</v>
      </c>
      <c r="L15">
        <f t="shared" si="4"/>
        <v>468.67089811987216</v>
      </c>
      <c r="M15" s="1"/>
    </row>
    <row r="16" spans="1:13" x14ac:dyDescent="0.25">
      <c r="A16">
        <v>13</v>
      </c>
      <c r="B16" s="1">
        <v>0.45610034207525657</v>
      </c>
      <c r="C16" s="1">
        <v>1.2E-4</v>
      </c>
      <c r="D16" s="5">
        <f t="shared" si="5"/>
        <v>6.5126321675660769E-4</v>
      </c>
      <c r="E16" s="1">
        <f t="shared" si="0"/>
        <v>5.4732041049030789E-5</v>
      </c>
      <c r="F16" s="1">
        <v>1.0609972123649274E-3</v>
      </c>
      <c r="G16" s="1">
        <f t="shared" si="2"/>
        <v>0.6138217981788695</v>
      </c>
      <c r="H16" s="1">
        <f t="shared" si="1"/>
        <v>0.3861782018211305</v>
      </c>
      <c r="I16" s="1">
        <f t="shared" si="3"/>
        <v>0.6138217981788695</v>
      </c>
      <c r="J16">
        <v>300</v>
      </c>
      <c r="K16">
        <v>600</v>
      </c>
      <c r="L16">
        <f t="shared" si="4"/>
        <v>484.14653945366086</v>
      </c>
      <c r="M16" s="1"/>
    </row>
    <row r="17" spans="1:17" x14ac:dyDescent="0.25">
      <c r="A17">
        <v>14</v>
      </c>
      <c r="B17" s="1">
        <v>0.46349942062572425</v>
      </c>
      <c r="C17" s="1">
        <v>1.2E-4</v>
      </c>
      <c r="D17" s="5">
        <f t="shared" si="5"/>
        <v>7.0688314723169456E-4</v>
      </c>
      <c r="E17" s="1">
        <f t="shared" si="0"/>
        <v>5.561993047508691E-5</v>
      </c>
      <c r="F17" s="1">
        <v>1.0609972123649274E-3</v>
      </c>
      <c r="G17" s="1">
        <f t="shared" si="2"/>
        <v>0.66624411355056778</v>
      </c>
      <c r="H17" s="1">
        <f t="shared" si="1"/>
        <v>0.33375588644943222</v>
      </c>
      <c r="I17" s="1">
        <f t="shared" si="3"/>
        <v>0.66624411355056778</v>
      </c>
      <c r="J17">
        <v>300</v>
      </c>
      <c r="K17">
        <v>600</v>
      </c>
      <c r="L17">
        <f t="shared" si="4"/>
        <v>499.87323406517032</v>
      </c>
      <c r="M17" s="1"/>
    </row>
    <row r="18" spans="1:17" x14ac:dyDescent="0.25">
      <c r="A18">
        <v>15</v>
      </c>
      <c r="B18" s="1">
        <v>0.47114252061248535</v>
      </c>
      <c r="C18" s="1">
        <v>1.2E-4</v>
      </c>
      <c r="D18" s="5">
        <f t="shared" si="5"/>
        <v>7.6342024970519284E-4</v>
      </c>
      <c r="E18" s="1">
        <f t="shared" si="0"/>
        <v>5.6537102473498245E-5</v>
      </c>
      <c r="F18" s="1">
        <v>1.0609972123649274E-3</v>
      </c>
      <c r="G18" s="1">
        <f t="shared" si="2"/>
        <v>0.71953087228528578</v>
      </c>
      <c r="H18" s="1">
        <f t="shared" si="1"/>
        <v>0.28046912771471422</v>
      </c>
      <c r="I18" s="1">
        <f t="shared" si="3"/>
        <v>0.71953087228528578</v>
      </c>
      <c r="J18">
        <v>300</v>
      </c>
      <c r="K18">
        <v>600</v>
      </c>
      <c r="L18">
        <f t="shared" si="4"/>
        <v>515.85926168558569</v>
      </c>
    </row>
    <row r="19" spans="1:17" x14ac:dyDescent="0.25">
      <c r="A19">
        <v>16</v>
      </c>
      <c r="B19" s="1">
        <v>0.47904191616766478</v>
      </c>
      <c r="C19" s="1">
        <v>1.2E-4</v>
      </c>
      <c r="D19" s="5">
        <f t="shared" si="5"/>
        <v>8.2090527964531258E-4</v>
      </c>
      <c r="E19" s="1">
        <f t="shared" si="0"/>
        <v>5.7485029940119776E-5</v>
      </c>
      <c r="F19" s="1">
        <v>1.0609972123649274E-3</v>
      </c>
      <c r="G19" s="1">
        <f t="shared" si="2"/>
        <v>0.77371106170537629</v>
      </c>
      <c r="H19" s="1">
        <f t="shared" si="1"/>
        <v>0.22628893829462371</v>
      </c>
      <c r="I19" s="1">
        <f t="shared" si="3"/>
        <v>0.77371106170537629</v>
      </c>
      <c r="J19">
        <v>300</v>
      </c>
      <c r="K19">
        <v>600</v>
      </c>
      <c r="L19">
        <f t="shared" si="4"/>
        <v>532.11331851161287</v>
      </c>
    </row>
    <row r="20" spans="1:17" x14ac:dyDescent="0.25">
      <c r="A20">
        <v>17</v>
      </c>
      <c r="B20" s="1">
        <v>0.48721071863580995</v>
      </c>
      <c r="C20" s="1">
        <v>1.2E-4</v>
      </c>
      <c r="D20" s="5">
        <f t="shared" si="5"/>
        <v>8.7937056588160978E-4</v>
      </c>
      <c r="E20" s="1">
        <f t="shared" si="0"/>
        <v>5.8465286236297194E-5</v>
      </c>
      <c r="F20" s="1">
        <v>1.0609972123649274E-3</v>
      </c>
      <c r="G20" s="1">
        <f t="shared" si="2"/>
        <v>0.82881515204127831</v>
      </c>
      <c r="H20" s="1">
        <f t="shared" si="1"/>
        <v>0.17118484795872169</v>
      </c>
      <c r="I20" s="1">
        <f t="shared" si="3"/>
        <v>0.82881515204127831</v>
      </c>
      <c r="J20">
        <v>300</v>
      </c>
      <c r="K20">
        <v>600</v>
      </c>
      <c r="L20">
        <f t="shared" si="4"/>
        <v>548.64454561238347</v>
      </c>
    </row>
    <row r="21" spans="1:17" x14ac:dyDescent="0.25">
      <c r="A21">
        <v>18</v>
      </c>
      <c r="B21" s="1">
        <v>0.49566294919454768</v>
      </c>
      <c r="C21" s="1">
        <v>1.2E-4</v>
      </c>
      <c r="D21" s="5">
        <f t="shared" si="5"/>
        <v>9.3885011978495547E-4</v>
      </c>
      <c r="E21" s="1">
        <f t="shared" si="0"/>
        <v>5.9479553903345721E-5</v>
      </c>
      <c r="F21" s="1">
        <v>1.0609972123649274E-3</v>
      </c>
      <c r="G21" s="1">
        <f t="shared" si="2"/>
        <v>0.88487519933468051</v>
      </c>
      <c r="H21" s="1">
        <f t="shared" si="1"/>
        <v>0.11512480066531949</v>
      </c>
      <c r="I21" s="1">
        <f t="shared" si="3"/>
        <v>0.88487519933468051</v>
      </c>
      <c r="J21">
        <v>300</v>
      </c>
      <c r="K21">
        <v>600</v>
      </c>
      <c r="L21">
        <f t="shared" si="4"/>
        <v>565.46255980040416</v>
      </c>
    </row>
    <row r="22" spans="1:17" x14ac:dyDescent="0.25">
      <c r="A22">
        <v>19</v>
      </c>
      <c r="B22" s="1">
        <v>0.50441361916771765</v>
      </c>
      <c r="C22" s="1">
        <v>1.2E-4</v>
      </c>
      <c r="D22" s="5">
        <f t="shared" si="5"/>
        <v>9.993797540850816E-4</v>
      </c>
      <c r="E22" s="1">
        <f t="shared" si="0"/>
        <v>6.0529634300126118E-5</v>
      </c>
      <c r="F22" s="1">
        <v>1.0609972123649274E-3</v>
      </c>
      <c r="G22" s="1">
        <f t="shared" si="2"/>
        <v>0.94192495742519189</v>
      </c>
      <c r="H22" s="1">
        <f t="shared" si="1"/>
        <v>5.8075042574808111E-2</v>
      </c>
      <c r="I22" s="1">
        <f t="shared" si="3"/>
        <v>0.94192495742519189</v>
      </c>
      <c r="J22">
        <v>300</v>
      </c>
      <c r="K22">
        <v>600</v>
      </c>
      <c r="L22">
        <f t="shared" si="4"/>
        <v>582.57748722755764</v>
      </c>
    </row>
    <row r="23" spans="1:17" x14ac:dyDescent="0.25">
      <c r="A23">
        <v>20</v>
      </c>
      <c r="B23" s="1">
        <v>0.51347881899871628</v>
      </c>
      <c r="C23" s="1">
        <v>1.2E-4</v>
      </c>
      <c r="D23" s="5">
        <f t="shared" si="5"/>
        <v>1.0609972123649274E-3</v>
      </c>
      <c r="E23" s="1">
        <f t="shared" si="0"/>
        <v>6.161745827984596E-5</v>
      </c>
      <c r="F23" s="1">
        <v>1.0609972123649274E-3</v>
      </c>
      <c r="G23" s="1">
        <f t="shared" si="2"/>
        <v>1</v>
      </c>
      <c r="H23" s="1">
        <f t="shared" si="1"/>
        <v>0</v>
      </c>
      <c r="I23" s="1">
        <f t="shared" si="3"/>
        <v>1</v>
      </c>
      <c r="J23">
        <v>300</v>
      </c>
      <c r="K23">
        <v>600</v>
      </c>
      <c r="L23">
        <f t="shared" si="4"/>
        <v>600</v>
      </c>
    </row>
    <row r="28" spans="1:17" x14ac:dyDescent="0.25">
      <c r="B28" t="s">
        <v>245</v>
      </c>
    </row>
    <row r="30" spans="1:17" x14ac:dyDescent="0.25">
      <c r="C30" t="s">
        <v>15</v>
      </c>
      <c r="D30" t="s">
        <v>243</v>
      </c>
      <c r="E30" t="s">
        <v>242</v>
      </c>
      <c r="F30" t="s">
        <v>24</v>
      </c>
      <c r="G30" t="s">
        <v>25</v>
      </c>
      <c r="H30" t="s">
        <v>244</v>
      </c>
      <c r="K30" t="s">
        <v>246</v>
      </c>
      <c r="L30" t="s">
        <v>15</v>
      </c>
      <c r="M30" t="s">
        <v>243</v>
      </c>
      <c r="N30" t="s">
        <v>242</v>
      </c>
      <c r="O30" t="s">
        <v>24</v>
      </c>
      <c r="P30" t="s">
        <v>25</v>
      </c>
      <c r="Q30" t="s">
        <v>244</v>
      </c>
    </row>
    <row r="31" spans="1:17" x14ac:dyDescent="0.25">
      <c r="C31">
        <v>1</v>
      </c>
      <c r="D31">
        <v>-1.14E-3</v>
      </c>
      <c r="E31" s="1">
        <v>2.3999999999999998E-3</v>
      </c>
      <c r="F31">
        <v>300</v>
      </c>
      <c r="G31">
        <v>600</v>
      </c>
      <c r="H31" s="1">
        <f>F31+(G31-F31)*(D31/E31+0.5)</f>
        <v>307.5</v>
      </c>
      <c r="L31">
        <v>1</v>
      </c>
      <c r="M31">
        <v>-1.14E-3</v>
      </c>
      <c r="N31" s="1">
        <v>2.3999999999999998E-3</v>
      </c>
      <c r="O31">
        <v>300</v>
      </c>
      <c r="P31">
        <v>600</v>
      </c>
      <c r="Q31" s="1">
        <f>O31+(P31-O31)*(1-COS(3.14/4+(M31*3.14)/(2*N31)))</f>
        <v>300.2310547098632</v>
      </c>
    </row>
    <row r="32" spans="1:17" x14ac:dyDescent="0.25">
      <c r="C32">
        <v>2</v>
      </c>
      <c r="D32">
        <v>-1.0199999999999999E-3</v>
      </c>
      <c r="E32" s="1">
        <v>2.3999999999999998E-3</v>
      </c>
      <c r="F32">
        <v>300</v>
      </c>
      <c r="G32">
        <v>600</v>
      </c>
      <c r="H32" s="1">
        <f t="shared" ref="H32:H50" si="6">F32+(G32-F32)*(D32/E32+0.5)</f>
        <v>322.5</v>
      </c>
      <c r="L32">
        <v>2</v>
      </c>
      <c r="M32">
        <v>-1.0199999999999999E-3</v>
      </c>
      <c r="N32" s="1">
        <v>2.3999999999999998E-3</v>
      </c>
      <c r="O32">
        <v>300</v>
      </c>
      <c r="P32">
        <v>600</v>
      </c>
      <c r="Q32" s="1">
        <f t="shared" ref="Q32:Q50" si="7">O32+(P32-O32)*(1-COS(3.14/4+(M32*3.14)/(2*N32)))</f>
        <v>302.07735748583974</v>
      </c>
    </row>
    <row r="33" spans="3:17" x14ac:dyDescent="0.25">
      <c r="C33">
        <v>3</v>
      </c>
      <c r="D33">
        <v>-8.9999999999999987E-4</v>
      </c>
      <c r="E33" s="1">
        <v>2.3999999999999998E-3</v>
      </c>
      <c r="F33">
        <v>300</v>
      </c>
      <c r="G33">
        <v>600</v>
      </c>
      <c r="H33" s="1">
        <f t="shared" si="6"/>
        <v>337.5</v>
      </c>
      <c r="L33">
        <v>3</v>
      </c>
      <c r="M33">
        <v>-8.9999999999999987E-4</v>
      </c>
      <c r="N33" s="1">
        <v>2.3999999999999998E-3</v>
      </c>
      <c r="O33">
        <v>300</v>
      </c>
      <c r="P33">
        <v>600</v>
      </c>
      <c r="Q33" s="1">
        <f t="shared" si="7"/>
        <v>305.75859149983285</v>
      </c>
    </row>
    <row r="34" spans="3:17" x14ac:dyDescent="0.25">
      <c r="C34">
        <v>4</v>
      </c>
      <c r="D34">
        <v>-7.7999999999999988E-4</v>
      </c>
      <c r="E34" s="1">
        <v>2.3999999999999998E-3</v>
      </c>
      <c r="F34">
        <v>300</v>
      </c>
      <c r="G34">
        <v>600</v>
      </c>
      <c r="H34" s="1">
        <f t="shared" si="6"/>
        <v>352.5</v>
      </c>
      <c r="L34">
        <v>4</v>
      </c>
      <c r="M34">
        <v>-7.7999999999999988E-4</v>
      </c>
      <c r="N34" s="1">
        <v>2.3999999999999998E-3</v>
      </c>
      <c r="O34">
        <v>300</v>
      </c>
      <c r="P34">
        <v>600</v>
      </c>
      <c r="Q34" s="1">
        <f t="shared" si="7"/>
        <v>311.25208371420524</v>
      </c>
    </row>
    <row r="35" spans="3:17" x14ac:dyDescent="0.25">
      <c r="C35">
        <v>5</v>
      </c>
      <c r="D35">
        <v>-6.5999999999999989E-4</v>
      </c>
      <c r="E35" s="1">
        <v>2.3999999999999998E-3</v>
      </c>
      <c r="F35">
        <v>300</v>
      </c>
      <c r="G35">
        <v>600</v>
      </c>
      <c r="H35" s="1">
        <f t="shared" si="6"/>
        <v>367.5</v>
      </c>
      <c r="L35">
        <v>5</v>
      </c>
      <c r="M35">
        <v>-6.5999999999999989E-4</v>
      </c>
      <c r="N35" s="1">
        <v>2.3999999999999998E-3</v>
      </c>
      <c r="O35">
        <v>300</v>
      </c>
      <c r="P35">
        <v>600</v>
      </c>
      <c r="Q35" s="1">
        <f t="shared" si="7"/>
        <v>318.52399923683566</v>
      </c>
    </row>
    <row r="36" spans="3:17" x14ac:dyDescent="0.25">
      <c r="C36">
        <v>6</v>
      </c>
      <c r="D36">
        <v>-5.399999999999999E-4</v>
      </c>
      <c r="E36" s="1">
        <v>2.3999999999999998E-3</v>
      </c>
      <c r="F36">
        <v>300</v>
      </c>
      <c r="G36">
        <v>600</v>
      </c>
      <c r="H36" s="1">
        <f t="shared" si="6"/>
        <v>382.5</v>
      </c>
      <c r="L36">
        <v>6</v>
      </c>
      <c r="M36">
        <v>-5.399999999999999E-4</v>
      </c>
      <c r="N36" s="1">
        <v>2.3999999999999998E-3</v>
      </c>
      <c r="O36">
        <v>300</v>
      </c>
      <c r="P36">
        <v>600</v>
      </c>
      <c r="Q36" s="1">
        <f t="shared" si="7"/>
        <v>327.52954971313619</v>
      </c>
    </row>
    <row r="37" spans="3:17" x14ac:dyDescent="0.25">
      <c r="C37">
        <v>7</v>
      </c>
      <c r="D37">
        <v>-4.1999999999999991E-4</v>
      </c>
      <c r="E37" s="1">
        <v>2.3999999999999998E-3</v>
      </c>
      <c r="F37">
        <v>300</v>
      </c>
      <c r="G37">
        <v>600</v>
      </c>
      <c r="H37" s="1">
        <f t="shared" si="6"/>
        <v>397.5</v>
      </c>
      <c r="L37">
        <v>7</v>
      </c>
      <c r="M37">
        <v>-4.1999999999999991E-4</v>
      </c>
      <c r="N37" s="1">
        <v>2.3999999999999998E-3</v>
      </c>
      <c r="O37">
        <v>300</v>
      </c>
      <c r="P37">
        <v>600</v>
      </c>
      <c r="Q37" s="1">
        <f t="shared" si="7"/>
        <v>338.21326918138919</v>
      </c>
    </row>
    <row r="38" spans="3:17" x14ac:dyDescent="0.25">
      <c r="C38">
        <v>8</v>
      </c>
      <c r="D38">
        <v>-2.9999999999999992E-4</v>
      </c>
      <c r="E38" s="1">
        <v>2.3999999999999998E-3</v>
      </c>
      <c r="F38">
        <v>300</v>
      </c>
      <c r="G38">
        <v>600</v>
      </c>
      <c r="H38" s="1">
        <f t="shared" si="6"/>
        <v>412.5</v>
      </c>
      <c r="L38">
        <v>8</v>
      </c>
      <c r="M38">
        <v>-2.9999999999999992E-4</v>
      </c>
      <c r="N38" s="1">
        <v>2.3999999999999998E-3</v>
      </c>
      <c r="O38">
        <v>300</v>
      </c>
      <c r="P38">
        <v>600</v>
      </c>
      <c r="Q38" s="1">
        <f t="shared" si="7"/>
        <v>350.50935569238709</v>
      </c>
    </row>
    <row r="39" spans="3:17" x14ac:dyDescent="0.25">
      <c r="C39">
        <v>9</v>
      </c>
      <c r="D39">
        <v>-1.7999999999999993E-4</v>
      </c>
      <c r="E39" s="1">
        <v>2.3999999999999998E-3</v>
      </c>
      <c r="F39">
        <v>300</v>
      </c>
      <c r="G39">
        <v>600</v>
      </c>
      <c r="H39" s="1">
        <f t="shared" si="6"/>
        <v>427.5</v>
      </c>
      <c r="L39">
        <v>9</v>
      </c>
      <c r="M39">
        <v>-1.7999999999999993E-4</v>
      </c>
      <c r="N39" s="1">
        <v>2.3999999999999998E-3</v>
      </c>
      <c r="O39">
        <v>300</v>
      </c>
      <c r="P39">
        <v>600</v>
      </c>
      <c r="Q39" s="1">
        <f t="shared" si="7"/>
        <v>364.34207658931012</v>
      </c>
    </row>
    <row r="40" spans="3:17" x14ac:dyDescent="0.25">
      <c r="C40">
        <v>10</v>
      </c>
      <c r="D40">
        <v>-5.9999999999999927E-5</v>
      </c>
      <c r="E40" s="1">
        <v>2.3999999999999998E-3</v>
      </c>
      <c r="F40">
        <v>300</v>
      </c>
      <c r="G40">
        <v>600</v>
      </c>
      <c r="H40" s="1">
        <f t="shared" si="6"/>
        <v>442.5</v>
      </c>
      <c r="L40">
        <v>10</v>
      </c>
      <c r="M40">
        <v>-5.9999999999999927E-5</v>
      </c>
      <c r="N40" s="1">
        <v>2.3999999999999998E-3</v>
      </c>
      <c r="O40">
        <v>300</v>
      </c>
      <c r="P40">
        <v>600</v>
      </c>
      <c r="Q40" s="1">
        <f t="shared" si="7"/>
        <v>379.62623495168805</v>
      </c>
    </row>
    <row r="41" spans="3:17" x14ac:dyDescent="0.25">
      <c r="C41">
        <v>11</v>
      </c>
      <c r="D41">
        <v>6.0000000000000076E-5</v>
      </c>
      <c r="E41" s="1">
        <v>2.3999999999999998E-3</v>
      </c>
      <c r="F41">
        <v>300</v>
      </c>
      <c r="G41">
        <v>600</v>
      </c>
      <c r="H41" s="1">
        <f t="shared" si="6"/>
        <v>457.5</v>
      </c>
      <c r="L41">
        <v>11</v>
      </c>
      <c r="M41">
        <v>6.0000000000000076E-5</v>
      </c>
      <c r="N41" s="1">
        <v>2.3999999999999998E-3</v>
      </c>
      <c r="O41">
        <v>300</v>
      </c>
      <c r="P41">
        <v>600</v>
      </c>
      <c r="Q41" s="1">
        <f t="shared" si="7"/>
        <v>396.26769433057825</v>
      </c>
    </row>
    <row r="42" spans="3:17" x14ac:dyDescent="0.25">
      <c r="C42">
        <v>12</v>
      </c>
      <c r="D42">
        <v>1.8000000000000009E-4</v>
      </c>
      <c r="E42" s="1">
        <v>2.3999999999999998E-3</v>
      </c>
      <c r="F42">
        <v>300</v>
      </c>
      <c r="G42">
        <v>600</v>
      </c>
      <c r="H42" s="1">
        <f t="shared" si="6"/>
        <v>472.5</v>
      </c>
      <c r="L42">
        <v>12</v>
      </c>
      <c r="M42">
        <v>1.8000000000000009E-4</v>
      </c>
      <c r="N42" s="1">
        <v>2.3999999999999998E-3</v>
      </c>
      <c r="O42">
        <v>300</v>
      </c>
      <c r="P42">
        <v>600</v>
      </c>
      <c r="Q42" s="1">
        <f t="shared" si="7"/>
        <v>414.16395854306944</v>
      </c>
    </row>
    <row r="43" spans="3:17" x14ac:dyDescent="0.25">
      <c r="C43">
        <v>13</v>
      </c>
      <c r="D43">
        <v>3.0000000000000008E-4</v>
      </c>
      <c r="E43" s="1">
        <v>2.3999999999999998E-3</v>
      </c>
      <c r="F43">
        <v>300</v>
      </c>
      <c r="G43">
        <v>600</v>
      </c>
      <c r="H43" s="1">
        <f t="shared" si="6"/>
        <v>487.5</v>
      </c>
      <c r="L43">
        <v>13</v>
      </c>
      <c r="M43">
        <v>3.0000000000000008E-4</v>
      </c>
      <c r="N43" s="1">
        <v>2.3999999999999998E-3</v>
      </c>
      <c r="O43">
        <v>300</v>
      </c>
      <c r="P43">
        <v>600</v>
      </c>
      <c r="Q43" s="1">
        <f t="shared" si="7"/>
        <v>433.20480295510845</v>
      </c>
    </row>
    <row r="44" spans="3:17" x14ac:dyDescent="0.25">
      <c r="C44">
        <v>14</v>
      </c>
      <c r="D44">
        <v>4.2000000000000007E-4</v>
      </c>
      <c r="E44" s="1">
        <v>2.3999999999999998E-3</v>
      </c>
      <c r="F44">
        <v>300</v>
      </c>
      <c r="G44">
        <v>600</v>
      </c>
      <c r="H44" s="1">
        <f t="shared" si="6"/>
        <v>502.5</v>
      </c>
      <c r="L44">
        <v>14</v>
      </c>
      <c r="M44">
        <v>4.2000000000000007E-4</v>
      </c>
      <c r="N44" s="1">
        <v>2.3999999999999998E-3</v>
      </c>
      <c r="O44">
        <v>300</v>
      </c>
      <c r="P44">
        <v>600</v>
      </c>
      <c r="Q44" s="1">
        <f t="shared" si="7"/>
        <v>453.27295336452318</v>
      </c>
    </row>
    <row r="45" spans="3:17" x14ac:dyDescent="0.25">
      <c r="C45">
        <v>15</v>
      </c>
      <c r="D45">
        <v>5.4000000000000012E-4</v>
      </c>
      <c r="E45" s="1">
        <v>2.3999999999999998E-3</v>
      </c>
      <c r="F45">
        <v>300</v>
      </c>
      <c r="G45">
        <v>600</v>
      </c>
      <c r="H45" s="1">
        <f t="shared" si="6"/>
        <v>517.5</v>
      </c>
      <c r="L45">
        <v>15</v>
      </c>
      <c r="M45">
        <v>5.4000000000000012E-4</v>
      </c>
      <c r="N45" s="1">
        <v>2.3999999999999998E-3</v>
      </c>
      <c r="O45">
        <v>300</v>
      </c>
      <c r="P45">
        <v>600</v>
      </c>
      <c r="Q45" s="1">
        <f t="shared" si="7"/>
        <v>474.2448083029434</v>
      </c>
    </row>
    <row r="46" spans="3:17" x14ac:dyDescent="0.25">
      <c r="C46">
        <v>16</v>
      </c>
      <c r="D46">
        <v>6.600000000000001E-4</v>
      </c>
      <c r="E46" s="1">
        <v>2.3999999999999998E-3</v>
      </c>
      <c r="F46">
        <v>300</v>
      </c>
      <c r="G46">
        <v>600</v>
      </c>
      <c r="H46" s="1">
        <f t="shared" si="6"/>
        <v>532.5</v>
      </c>
      <c r="L46">
        <v>16</v>
      </c>
      <c r="M46">
        <v>6.600000000000001E-4</v>
      </c>
      <c r="N46" s="1">
        <v>2.3999999999999998E-3</v>
      </c>
      <c r="O46">
        <v>300</v>
      </c>
      <c r="P46">
        <v>600</v>
      </c>
      <c r="Q46" s="1">
        <f t="shared" si="7"/>
        <v>495.9912003079001</v>
      </c>
    </row>
    <row r="47" spans="3:17" x14ac:dyDescent="0.25">
      <c r="C47">
        <v>17</v>
      </c>
      <c r="D47">
        <v>7.8000000000000009E-4</v>
      </c>
      <c r="E47" s="1">
        <v>2.3999999999999998E-3</v>
      </c>
      <c r="F47">
        <v>300</v>
      </c>
      <c r="G47">
        <v>600</v>
      </c>
      <c r="H47" s="1">
        <f t="shared" si="6"/>
        <v>547.5</v>
      </c>
      <c r="L47">
        <v>17</v>
      </c>
      <c r="M47">
        <v>7.8000000000000009E-4</v>
      </c>
      <c r="N47" s="1">
        <v>2.3999999999999998E-3</v>
      </c>
      <c r="O47">
        <v>300</v>
      </c>
      <c r="P47">
        <v>600</v>
      </c>
      <c r="Q47" s="1">
        <f t="shared" si="7"/>
        <v>518.37819147636128</v>
      </c>
    </row>
    <row r="48" spans="3:17" x14ac:dyDescent="0.25">
      <c r="C48">
        <v>18</v>
      </c>
      <c r="D48">
        <v>9.0000000000000008E-4</v>
      </c>
      <c r="E48" s="1">
        <v>2.3999999999999998E-3</v>
      </c>
      <c r="F48">
        <v>300</v>
      </c>
      <c r="G48">
        <v>600</v>
      </c>
      <c r="H48" s="1">
        <f t="shared" si="6"/>
        <v>562.5</v>
      </c>
      <c r="L48">
        <v>18</v>
      </c>
      <c r="M48">
        <v>9.0000000000000008E-4</v>
      </c>
      <c r="N48" s="1">
        <v>2.3999999999999998E-3</v>
      </c>
      <c r="O48">
        <v>300</v>
      </c>
      <c r="P48">
        <v>600</v>
      </c>
      <c r="Q48" s="1">
        <f t="shared" si="7"/>
        <v>541.26789839982371</v>
      </c>
    </row>
    <row r="49" spans="3:17" x14ac:dyDescent="0.25">
      <c r="C49">
        <v>19</v>
      </c>
      <c r="D49">
        <v>1.0200000000000001E-3</v>
      </c>
      <c r="E49" s="1">
        <v>2.3999999999999998E-3</v>
      </c>
      <c r="F49">
        <v>300</v>
      </c>
      <c r="G49">
        <v>600</v>
      </c>
      <c r="H49" s="1">
        <f t="shared" si="6"/>
        <v>577.5</v>
      </c>
      <c r="L49">
        <v>19</v>
      </c>
      <c r="M49">
        <v>1.0200000000000001E-3</v>
      </c>
      <c r="N49" s="1">
        <v>2.3999999999999998E-3</v>
      </c>
      <c r="O49">
        <v>300</v>
      </c>
      <c r="P49">
        <v>600</v>
      </c>
      <c r="Q49" s="1">
        <f t="shared" si="7"/>
        <v>564.51934140011144</v>
      </c>
    </row>
    <row r="50" spans="3:17" x14ac:dyDescent="0.25">
      <c r="C50">
        <v>20</v>
      </c>
      <c r="D50">
        <v>1.1400000000000002E-3</v>
      </c>
      <c r="E50" s="1">
        <v>2.3999999999999998E-3</v>
      </c>
      <c r="F50">
        <v>300</v>
      </c>
      <c r="G50">
        <v>600</v>
      </c>
      <c r="H50" s="1">
        <f t="shared" si="6"/>
        <v>592.5</v>
      </c>
      <c r="L50">
        <v>20</v>
      </c>
      <c r="M50">
        <v>1.1400000000000002E-3</v>
      </c>
      <c r="N50" s="1">
        <v>2.3999999999999998E-3</v>
      </c>
      <c r="O50">
        <v>300</v>
      </c>
      <c r="P50">
        <v>600</v>
      </c>
      <c r="Q50" s="1">
        <f t="shared" si="7"/>
        <v>587.98931283536785</v>
      </c>
    </row>
    <row r="58" spans="3:17" x14ac:dyDescent="0.25">
      <c r="G58" s="2" t="s">
        <v>273</v>
      </c>
      <c r="H58" s="2" t="s">
        <v>274</v>
      </c>
      <c r="J58" s="2" t="s">
        <v>275</v>
      </c>
      <c r="K58" s="2" t="s">
        <v>276</v>
      </c>
    </row>
    <row r="59" spans="3:17" x14ac:dyDescent="0.25">
      <c r="F59">
        <v>-1.1999999999999999E-3</v>
      </c>
      <c r="G59">
        <v>300</v>
      </c>
      <c r="H59">
        <v>300</v>
      </c>
      <c r="I59">
        <v>-1.1999999999999999E-3</v>
      </c>
      <c r="J59">
        <v>300</v>
      </c>
      <c r="K59">
        <v>600</v>
      </c>
    </row>
    <row r="60" spans="3:17" x14ac:dyDescent="0.25">
      <c r="F60">
        <v>-1.14E-3</v>
      </c>
      <c r="G60">
        <v>307.5</v>
      </c>
      <c r="H60">
        <v>300.2310547098632</v>
      </c>
      <c r="I60">
        <v>-1.08E-3</v>
      </c>
      <c r="J60">
        <v>310.22874353527573</v>
      </c>
      <c r="K60">
        <v>600</v>
      </c>
    </row>
    <row r="61" spans="3:17" x14ac:dyDescent="0.25">
      <c r="F61">
        <v>-1.0200000000000001E-3</v>
      </c>
      <c r="G61">
        <v>322.5</v>
      </c>
      <c r="H61">
        <v>302.07735748583974</v>
      </c>
      <c r="I61">
        <v>-9.6000000000000002E-4</v>
      </c>
      <c r="J61">
        <v>320.76481705266934</v>
      </c>
      <c r="K61">
        <v>600</v>
      </c>
    </row>
    <row r="62" spans="3:17" x14ac:dyDescent="0.25">
      <c r="F62">
        <v>-8.9999999999999998E-4</v>
      </c>
      <c r="G62">
        <v>337.5</v>
      </c>
      <c r="H62">
        <v>305.75859149983285</v>
      </c>
      <c r="I62">
        <v>-8.4000000000000003E-4</v>
      </c>
      <c r="J62">
        <v>331.62726052413723</v>
      </c>
      <c r="K62">
        <v>600</v>
      </c>
    </row>
    <row r="63" spans="3:17" x14ac:dyDescent="0.25">
      <c r="F63">
        <v>-7.7999999999999999E-4</v>
      </c>
      <c r="G63">
        <v>352.5</v>
      </c>
      <c r="H63">
        <v>311.25208371420524</v>
      </c>
      <c r="I63">
        <v>-7.2000000000000005E-4</v>
      </c>
      <c r="J63">
        <v>342.83693985362277</v>
      </c>
      <c r="K63">
        <v>600</v>
      </c>
    </row>
    <row r="64" spans="3:17" x14ac:dyDescent="0.25">
      <c r="F64">
        <v>-6.6E-4</v>
      </c>
      <c r="G64">
        <v>367.5</v>
      </c>
      <c r="H64">
        <v>318.52399923683566</v>
      </c>
      <c r="I64">
        <v>-5.9999999999999995E-4</v>
      </c>
      <c r="J64">
        <v>354.41678806261763</v>
      </c>
      <c r="K64">
        <v>600</v>
      </c>
    </row>
    <row r="65" spans="6:11" x14ac:dyDescent="0.25">
      <c r="F65">
        <v>-5.4000000000000001E-4</v>
      </c>
      <c r="G65">
        <v>382.5</v>
      </c>
      <c r="H65">
        <v>327.52954971313619</v>
      </c>
      <c r="I65">
        <v>-4.8000000000000001E-4</v>
      </c>
      <c r="J65">
        <v>366.39208765811111</v>
      </c>
      <c r="K65">
        <v>600</v>
      </c>
    </row>
    <row r="66" spans="6:11" x14ac:dyDescent="0.25">
      <c r="F66">
        <v>-4.2000000000000002E-4</v>
      </c>
      <c r="G66">
        <v>397.5</v>
      </c>
      <c r="H66">
        <v>338.21326918138919</v>
      </c>
      <c r="I66">
        <v>-3.6000000000000002E-4</v>
      </c>
      <c r="J66">
        <v>378.79080291954824</v>
      </c>
      <c r="K66">
        <v>600</v>
      </c>
    </row>
    <row r="67" spans="6:11" x14ac:dyDescent="0.25">
      <c r="F67">
        <v>-2.9999999999999997E-4</v>
      </c>
      <c r="G67">
        <v>412.5</v>
      </c>
      <c r="H67">
        <v>350.50935569238709</v>
      </c>
      <c r="I67">
        <v>-2.4000000000000001E-4</v>
      </c>
      <c r="J67">
        <v>391.64397308299829</v>
      </c>
      <c r="K67">
        <v>600</v>
      </c>
    </row>
    <row r="68" spans="6:11" x14ac:dyDescent="0.25">
      <c r="F68">
        <v>-1.8000000000000001E-4</v>
      </c>
      <c r="G68">
        <v>427.5</v>
      </c>
      <c r="H68">
        <v>364.34207658931012</v>
      </c>
      <c r="I68">
        <v>-1.2E-4</v>
      </c>
      <c r="J68">
        <v>404.98618032462753</v>
      </c>
      <c r="K68">
        <v>600</v>
      </c>
    </row>
    <row r="69" spans="6:11" x14ac:dyDescent="0.25">
      <c r="F69" s="1">
        <v>-6.0000000000000002E-5</v>
      </c>
      <c r="G69">
        <v>442.5</v>
      </c>
      <c r="H69">
        <v>379.62623495168805</v>
      </c>
      <c r="I69">
        <v>0</v>
      </c>
      <c r="J69">
        <v>418.85611029464451</v>
      </c>
      <c r="K69">
        <v>600</v>
      </c>
    </row>
    <row r="70" spans="6:11" x14ac:dyDescent="0.25">
      <c r="F70" s="1">
        <v>6.0000000000000002E-5</v>
      </c>
      <c r="G70">
        <v>457.5</v>
      </c>
      <c r="H70">
        <v>396.26769433057825</v>
      </c>
      <c r="I70">
        <v>1.2E-4</v>
      </c>
      <c r="J70">
        <v>433.29722807005163</v>
      </c>
      <c r="K70">
        <v>600</v>
      </c>
    </row>
    <row r="71" spans="6:11" x14ac:dyDescent="0.25">
      <c r="F71">
        <v>1.8000000000000001E-4</v>
      </c>
      <c r="G71">
        <v>472.5</v>
      </c>
      <c r="H71">
        <v>414.16395854306944</v>
      </c>
      <c r="I71">
        <v>2.4000000000000001E-4</v>
      </c>
      <c r="J71">
        <v>448.35859926998603</v>
      </c>
      <c r="K71">
        <v>600</v>
      </c>
    </row>
    <row r="72" spans="6:11" x14ac:dyDescent="0.25">
      <c r="F72">
        <v>2.9999999999999997E-4</v>
      </c>
      <c r="G72">
        <v>487.5</v>
      </c>
      <c r="H72">
        <v>433.20480295510845</v>
      </c>
      <c r="I72">
        <v>3.6000000000000002E-4</v>
      </c>
      <c r="J72">
        <v>464.0958954213321</v>
      </c>
      <c r="K72">
        <v>600</v>
      </c>
    </row>
    <row r="73" spans="6:11" x14ac:dyDescent="0.25">
      <c r="F73">
        <v>4.2000000000000002E-4</v>
      </c>
      <c r="G73">
        <v>502.5</v>
      </c>
      <c r="H73">
        <v>453.27295336452318</v>
      </c>
      <c r="I73">
        <v>4.8000000000000001E-4</v>
      </c>
      <c r="J73">
        <v>480.57263551850247</v>
      </c>
      <c r="K73">
        <v>600</v>
      </c>
    </row>
    <row r="74" spans="6:11" x14ac:dyDescent="0.25">
      <c r="F74">
        <v>5.4000000000000001E-4</v>
      </c>
      <c r="G74">
        <v>517.5</v>
      </c>
      <c r="H74">
        <v>474.2448083029434</v>
      </c>
      <c r="I74">
        <v>5.9999999999999995E-4</v>
      </c>
      <c r="J74">
        <v>497.8617336483307</v>
      </c>
      <c r="K74">
        <v>600</v>
      </c>
    </row>
    <row r="75" spans="6:11" x14ac:dyDescent="0.25">
      <c r="F75">
        <v>6.6E-4</v>
      </c>
      <c r="G75">
        <v>532.5</v>
      </c>
      <c r="H75">
        <v>495.9912003079001</v>
      </c>
      <c r="I75">
        <v>7.2000000000000005E-4</v>
      </c>
      <c r="J75">
        <v>516.04744791566975</v>
      </c>
      <c r="K75">
        <v>600</v>
      </c>
    </row>
    <row r="76" spans="6:11" x14ac:dyDescent="0.25">
      <c r="F76">
        <v>7.7999999999999999E-4</v>
      </c>
      <c r="G76">
        <v>547.5</v>
      </c>
      <c r="H76">
        <v>518.37819147636128</v>
      </c>
      <c r="I76">
        <v>8.4000000000000003E-4</v>
      </c>
      <c r="J76">
        <v>535.22786236885611</v>
      </c>
      <c r="K76">
        <v>600</v>
      </c>
    </row>
    <row r="77" spans="6:11" x14ac:dyDescent="0.25">
      <c r="F77">
        <v>8.9999999999999998E-4</v>
      </c>
      <c r="G77">
        <v>562.5</v>
      </c>
      <c r="H77">
        <v>541.26789839982371</v>
      </c>
      <c r="I77">
        <v>9.6000000000000002E-4</v>
      </c>
      <c r="J77">
        <v>555.51808696650369</v>
      </c>
      <c r="K77">
        <v>600</v>
      </c>
    </row>
    <row r="78" spans="6:11" x14ac:dyDescent="0.25">
      <c r="F78">
        <v>1.0200000000000001E-3</v>
      </c>
      <c r="G78">
        <v>577.5</v>
      </c>
      <c r="H78">
        <v>564.51934140011144</v>
      </c>
      <c r="I78">
        <v>1.08E-3</v>
      </c>
      <c r="J78">
        <v>577.05444017762477</v>
      </c>
      <c r="K78">
        <v>600</v>
      </c>
    </row>
    <row r="79" spans="6:11" x14ac:dyDescent="0.25">
      <c r="F79">
        <v>1.14E-3</v>
      </c>
      <c r="G79">
        <v>592.5</v>
      </c>
      <c r="H79">
        <v>587.98931283536785</v>
      </c>
      <c r="I79">
        <v>1.1999999999999999E-3</v>
      </c>
      <c r="J79">
        <v>600</v>
      </c>
      <c r="K79">
        <v>600</v>
      </c>
    </row>
    <row r="80" spans="6:11" x14ac:dyDescent="0.25">
      <c r="F80">
        <v>1.1999999999999999E-3</v>
      </c>
      <c r="G80">
        <v>600</v>
      </c>
      <c r="H80">
        <v>600</v>
      </c>
      <c r="I80">
        <v>0</v>
      </c>
      <c r="J80">
        <v>0</v>
      </c>
      <c r="K80">
        <v>0</v>
      </c>
    </row>
    <row r="85" spans="1:1" x14ac:dyDescent="0.25">
      <c r="A85" s="4"/>
    </row>
    <row r="86" spans="1:1" x14ac:dyDescent="0.25">
      <c r="A86" s="4"/>
    </row>
    <row r="87" spans="1:1" x14ac:dyDescent="0.25">
      <c r="A87" s="4"/>
    </row>
    <row r="88" spans="1:1" x14ac:dyDescent="0.25">
      <c r="A88" s="4"/>
    </row>
    <row r="89" spans="1:1" x14ac:dyDescent="0.25">
      <c r="A89" s="4"/>
    </row>
    <row r="90" spans="1:1" x14ac:dyDescent="0.25">
      <c r="A90" s="4"/>
    </row>
    <row r="91" spans="1:1" x14ac:dyDescent="0.25">
      <c r="A91" s="4"/>
    </row>
    <row r="92" spans="1:1" x14ac:dyDescent="0.25">
      <c r="A92" s="4"/>
    </row>
    <row r="93" spans="1:1" x14ac:dyDescent="0.25">
      <c r="A93" s="4"/>
    </row>
    <row r="94" spans="1:1" x14ac:dyDescent="0.25">
      <c r="A94" s="4"/>
    </row>
    <row r="95" spans="1:1" x14ac:dyDescent="0.25">
      <c r="A95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2"/>
  <sheetViews>
    <sheetView topLeftCell="A26" workbookViewId="0">
      <selection activeCell="K37" sqref="K37"/>
    </sheetView>
  </sheetViews>
  <sheetFormatPr defaultRowHeight="14" x14ac:dyDescent="0.25"/>
  <cols>
    <col min="2" max="2" width="11.81640625" customWidth="1"/>
    <col min="3" max="3" width="9.26953125" bestFit="1" customWidth="1"/>
    <col min="4" max="4" width="9.6328125" customWidth="1"/>
    <col min="5" max="5" width="10.54296875" customWidth="1"/>
    <col min="6" max="6" width="10.36328125" customWidth="1"/>
    <col min="7" max="7" width="10.7265625" customWidth="1"/>
    <col min="11" max="11" width="13.08984375" customWidth="1"/>
  </cols>
  <sheetData>
    <row r="1" spans="1:13" x14ac:dyDescent="0.25">
      <c r="A1" s="2" t="s">
        <v>247</v>
      </c>
    </row>
    <row r="3" spans="1:13" x14ac:dyDescent="0.25">
      <c r="A3" t="s">
        <v>248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s="3" t="s">
        <v>255</v>
      </c>
      <c r="I3" t="s">
        <v>256</v>
      </c>
      <c r="J3" t="s">
        <v>257</v>
      </c>
      <c r="K3" t="s">
        <v>258</v>
      </c>
      <c r="L3" t="s">
        <v>259</v>
      </c>
      <c r="M3" s="1"/>
    </row>
    <row r="4" spans="1:13" x14ac:dyDescent="0.25">
      <c r="A4">
        <v>1</v>
      </c>
      <c r="B4" s="1">
        <v>0.3125</v>
      </c>
      <c r="C4" s="1">
        <v>1.2E-4</v>
      </c>
      <c r="D4" s="5">
        <f>B4*C4</f>
        <v>3.7500000000000003E-5</v>
      </c>
      <c r="E4" s="1">
        <f t="shared" ref="E4:E24" si="0">B4*C4</f>
        <v>3.7500000000000003E-5</v>
      </c>
      <c r="F4" s="1">
        <f>SUM(E4:E24)</f>
        <v>1.1793612189614001E-3</v>
      </c>
      <c r="G4" s="1">
        <f>D4/F4</f>
        <v>3.1796873932334518E-2</v>
      </c>
      <c r="H4" s="1">
        <f t="shared" ref="H4:H24" si="1">1-I4</f>
        <v>0.96820312606766545</v>
      </c>
      <c r="I4" s="1">
        <f>D4/F4</f>
        <v>3.1796873932334518E-2</v>
      </c>
      <c r="J4">
        <v>300</v>
      </c>
      <c r="K4">
        <v>600</v>
      </c>
      <c r="L4">
        <f>J4*H4+K4*I4</f>
        <v>309.53906217970035</v>
      </c>
      <c r="M4" s="1"/>
    </row>
    <row r="5" spans="1:13" x14ac:dyDescent="0.25">
      <c r="A5">
        <v>2</v>
      </c>
      <c r="B5" s="1">
        <v>0.32175032175032175</v>
      </c>
      <c r="C5" s="1">
        <v>1.2E-4</v>
      </c>
      <c r="D5" s="5">
        <f>B5*C5+D4</f>
        <v>7.6110038610038616E-5</v>
      </c>
      <c r="E5" s="1">
        <f t="shared" si="0"/>
        <v>3.8610038610038613E-5</v>
      </c>
      <c r="F5" s="1">
        <v>1.1793612189614001E-3</v>
      </c>
      <c r="G5" s="1">
        <f t="shared" ref="G5:G24" si="2">D5/F5</f>
        <v>6.453496807116027E-2</v>
      </c>
      <c r="H5" s="1">
        <f t="shared" si="1"/>
        <v>0.93546503192883979</v>
      </c>
      <c r="I5" s="1">
        <f t="shared" ref="I5:I24" si="3">D5/F5</f>
        <v>6.453496807116027E-2</v>
      </c>
      <c r="J5">
        <v>300</v>
      </c>
      <c r="K5">
        <v>600</v>
      </c>
      <c r="L5">
        <f t="shared" ref="L5:L24" si="4">J5*H5+K5*I5</f>
        <v>319.36049042134812</v>
      </c>
      <c r="M5" s="1"/>
    </row>
    <row r="6" spans="1:13" x14ac:dyDescent="0.25">
      <c r="A6">
        <v>3</v>
      </c>
      <c r="B6" s="1">
        <v>0.33156498673740048</v>
      </c>
      <c r="C6" s="1">
        <v>1.2E-4</v>
      </c>
      <c r="D6" s="5">
        <f t="shared" ref="D6:D24" si="5">B6*C6+D5</f>
        <v>1.1589783701852668E-4</v>
      </c>
      <c r="E6" s="1">
        <f t="shared" si="0"/>
        <v>3.9787798408488056E-5</v>
      </c>
      <c r="F6" s="1">
        <v>1.1793612189614001E-3</v>
      </c>
      <c r="G6" s="1">
        <f t="shared" si="2"/>
        <v>9.8271704338889196E-2</v>
      </c>
      <c r="H6" s="1">
        <f t="shared" si="1"/>
        <v>0.90172829566111079</v>
      </c>
      <c r="I6" s="1">
        <f t="shared" si="3"/>
        <v>9.8271704338889196E-2</v>
      </c>
      <c r="J6">
        <v>300</v>
      </c>
      <c r="K6">
        <v>600</v>
      </c>
      <c r="L6">
        <f t="shared" si="4"/>
        <v>329.48151130166673</v>
      </c>
      <c r="M6" s="1"/>
    </row>
    <row r="7" spans="1:13" x14ac:dyDescent="0.25">
      <c r="A7">
        <v>4</v>
      </c>
      <c r="B7" s="1">
        <v>0.34199726402188779</v>
      </c>
      <c r="C7" s="1">
        <v>1.2E-4</v>
      </c>
      <c r="D7" s="5">
        <f t="shared" si="5"/>
        <v>1.569375087011532E-4</v>
      </c>
      <c r="E7" s="1">
        <f t="shared" si="0"/>
        <v>4.1039671682626536E-5</v>
      </c>
      <c r="F7" s="1">
        <v>1.1793612189614001E-3</v>
      </c>
      <c r="G7" s="1">
        <f t="shared" si="2"/>
        <v>0.1330699247846725</v>
      </c>
      <c r="H7" s="1">
        <f t="shared" si="1"/>
        <v>0.8669300752153275</v>
      </c>
      <c r="I7" s="1">
        <f t="shared" si="3"/>
        <v>0.1330699247846725</v>
      </c>
      <c r="J7">
        <v>300</v>
      </c>
      <c r="K7">
        <v>600</v>
      </c>
      <c r="L7">
        <f t="shared" si="4"/>
        <v>339.92097743540171</v>
      </c>
      <c r="M7" s="1"/>
    </row>
    <row r="8" spans="1:13" x14ac:dyDescent="0.25">
      <c r="A8">
        <v>5</v>
      </c>
      <c r="B8" s="1">
        <v>0.35310734463276838</v>
      </c>
      <c r="C8" s="1">
        <v>1.2E-4</v>
      </c>
      <c r="D8" s="5">
        <f t="shared" si="5"/>
        <v>1.9931039005708541E-4</v>
      </c>
      <c r="E8" s="1">
        <f t="shared" si="0"/>
        <v>4.2372881355932206E-5</v>
      </c>
      <c r="F8" s="1">
        <v>1.1793612189614001E-3</v>
      </c>
      <c r="G8" s="1">
        <f t="shared" si="2"/>
        <v>0.16899859589465502</v>
      </c>
      <c r="H8" s="1">
        <f t="shared" si="1"/>
        <v>0.83100140410534495</v>
      </c>
      <c r="I8" s="1">
        <f t="shared" si="3"/>
        <v>0.16899859589465502</v>
      </c>
      <c r="J8">
        <v>300</v>
      </c>
      <c r="K8">
        <v>600</v>
      </c>
      <c r="L8">
        <f t="shared" si="4"/>
        <v>350.69957876839646</v>
      </c>
      <c r="M8" s="1"/>
    </row>
    <row r="9" spans="1:13" x14ac:dyDescent="0.25">
      <c r="A9">
        <v>6</v>
      </c>
      <c r="B9" s="1">
        <v>0.36496350364963503</v>
      </c>
      <c r="C9" s="1">
        <v>1.2E-4</v>
      </c>
      <c r="D9" s="5">
        <f t="shared" si="5"/>
        <v>2.4310601049504162E-4</v>
      </c>
      <c r="E9" s="1">
        <f t="shared" si="0"/>
        <v>4.3795620437956203E-5</v>
      </c>
      <c r="F9" s="1">
        <v>1.1793612189614001E-3</v>
      </c>
      <c r="G9" s="1">
        <f t="shared" si="2"/>
        <v>0.2061336311440968</v>
      </c>
      <c r="H9" s="1">
        <f t="shared" si="1"/>
        <v>0.79386636885590323</v>
      </c>
      <c r="I9" s="1">
        <f t="shared" si="3"/>
        <v>0.2061336311440968</v>
      </c>
      <c r="J9">
        <v>300</v>
      </c>
      <c r="K9">
        <v>600</v>
      </c>
      <c r="L9">
        <f t="shared" si="4"/>
        <v>361.84008934322901</v>
      </c>
      <c r="M9" s="1"/>
    </row>
    <row r="10" spans="1:13" x14ac:dyDescent="0.25">
      <c r="A10">
        <v>7</v>
      </c>
      <c r="B10" s="1">
        <v>0.37764350453172202</v>
      </c>
      <c r="C10" s="1">
        <v>1.2E-4</v>
      </c>
      <c r="D10" s="5">
        <f t="shared" si="5"/>
        <v>2.8842323103884826E-4</v>
      </c>
      <c r="E10" s="1">
        <f t="shared" si="0"/>
        <v>4.5317220543806646E-5</v>
      </c>
      <c r="F10" s="1">
        <v>1.1793612189614001E-3</v>
      </c>
      <c r="G10" s="1">
        <f t="shared" si="2"/>
        <v>0.2445588564399693</v>
      </c>
      <c r="H10" s="1">
        <f t="shared" si="1"/>
        <v>0.75544114356003067</v>
      </c>
      <c r="I10" s="1">
        <f t="shared" si="3"/>
        <v>0.2445588564399693</v>
      </c>
      <c r="J10">
        <v>300</v>
      </c>
      <c r="K10">
        <v>600</v>
      </c>
      <c r="L10">
        <f t="shared" si="4"/>
        <v>373.36765693199078</v>
      </c>
      <c r="M10" s="1"/>
    </row>
    <row r="11" spans="1:13" x14ac:dyDescent="0.25">
      <c r="A11">
        <v>8</v>
      </c>
      <c r="B11" s="1">
        <v>0.39123630672926446</v>
      </c>
      <c r="C11" s="1">
        <v>1.2E-4</v>
      </c>
      <c r="D11" s="5">
        <f t="shared" si="5"/>
        <v>3.3537158784636002E-4</v>
      </c>
      <c r="E11" s="1">
        <f t="shared" si="0"/>
        <v>4.6948356807511737E-5</v>
      </c>
      <c r="F11" s="1">
        <v>1.1793612189614001E-3</v>
      </c>
      <c r="G11" s="1">
        <f t="shared" si="2"/>
        <v>0.28436714931300161</v>
      </c>
      <c r="H11" s="1">
        <f t="shared" si="1"/>
        <v>0.71563285068699845</v>
      </c>
      <c r="I11" s="1">
        <f t="shared" si="3"/>
        <v>0.28436714931300161</v>
      </c>
      <c r="J11">
        <v>300</v>
      </c>
      <c r="K11">
        <v>600</v>
      </c>
      <c r="L11">
        <f t="shared" si="4"/>
        <v>385.31014479390046</v>
      </c>
      <c r="M11" s="1"/>
    </row>
    <row r="12" spans="1:13" x14ac:dyDescent="0.25">
      <c r="A12">
        <v>9</v>
      </c>
      <c r="B12" s="1">
        <v>0.40584415584415584</v>
      </c>
      <c r="C12" s="1">
        <v>1.2E-4</v>
      </c>
      <c r="D12" s="5">
        <f t="shared" si="5"/>
        <v>3.8407288654765869E-4</v>
      </c>
      <c r="E12" s="1">
        <f t="shared" si="0"/>
        <v>4.8701298701298701E-5</v>
      </c>
      <c r="F12" s="1">
        <v>1.1793612189614001E-3</v>
      </c>
      <c r="G12" s="1">
        <f t="shared" si="2"/>
        <v>0.32566179078356589</v>
      </c>
      <c r="H12" s="1">
        <f t="shared" si="1"/>
        <v>0.67433820921643406</v>
      </c>
      <c r="I12" s="1">
        <f t="shared" si="3"/>
        <v>0.32566179078356589</v>
      </c>
      <c r="J12">
        <v>300</v>
      </c>
      <c r="K12">
        <v>600</v>
      </c>
      <c r="L12">
        <f t="shared" si="4"/>
        <v>397.69853723506975</v>
      </c>
      <c r="M12" s="1"/>
    </row>
    <row r="13" spans="1:13" x14ac:dyDescent="0.25">
      <c r="A13">
        <v>10</v>
      </c>
      <c r="B13" s="1">
        <v>0.42158516020236092</v>
      </c>
      <c r="C13" s="1">
        <v>1.2E-4</v>
      </c>
      <c r="D13" s="5">
        <f t="shared" si="5"/>
        <v>4.34663105771942E-4</v>
      </c>
      <c r="E13" s="1">
        <f t="shared" si="0"/>
        <v>5.0590219224283314E-5</v>
      </c>
      <c r="F13" s="1">
        <v>1.1793612189614001E-3</v>
      </c>
      <c r="G13" s="1">
        <f t="shared" si="2"/>
        <v>0.36855807939379792</v>
      </c>
      <c r="H13" s="1">
        <f t="shared" si="1"/>
        <v>0.63144192060620208</v>
      </c>
      <c r="I13" s="1">
        <f t="shared" si="3"/>
        <v>0.36855807939379792</v>
      </c>
      <c r="J13">
        <v>300</v>
      </c>
      <c r="K13">
        <v>600</v>
      </c>
      <c r="L13">
        <f t="shared" si="4"/>
        <v>410.56742381813933</v>
      </c>
      <c r="M13" s="1"/>
    </row>
    <row r="14" spans="1:13" x14ac:dyDescent="0.25">
      <c r="A14">
        <v>11</v>
      </c>
      <c r="B14" s="1">
        <v>0.43859649122807015</v>
      </c>
      <c r="C14" s="1">
        <v>1.2E-4</v>
      </c>
      <c r="D14" s="5">
        <f t="shared" si="5"/>
        <v>4.8729468471931043E-4</v>
      </c>
      <c r="E14" s="1">
        <f t="shared" si="0"/>
        <v>5.2631578947368417E-5</v>
      </c>
      <c r="F14" s="1">
        <v>1.1793612189614001E-3</v>
      </c>
      <c r="G14" s="1">
        <f t="shared" si="2"/>
        <v>0.41318527087777618</v>
      </c>
      <c r="H14" s="1">
        <f t="shared" si="1"/>
        <v>0.58681472912222388</v>
      </c>
      <c r="I14" s="1">
        <f t="shared" si="3"/>
        <v>0.41318527087777618</v>
      </c>
      <c r="J14">
        <v>300</v>
      </c>
      <c r="K14">
        <v>600</v>
      </c>
      <c r="L14">
        <f t="shared" si="4"/>
        <v>423.95558126333287</v>
      </c>
      <c r="M14" s="1"/>
    </row>
    <row r="15" spans="1:13" x14ac:dyDescent="0.25">
      <c r="A15">
        <v>12</v>
      </c>
      <c r="B15" s="1">
        <v>0.45703839122486295</v>
      </c>
      <c r="C15" s="1">
        <v>1.2E-4</v>
      </c>
      <c r="D15" s="5">
        <f t="shared" si="5"/>
        <v>5.4213929166629395E-4</v>
      </c>
      <c r="E15" s="1">
        <f t="shared" si="0"/>
        <v>5.4844606946983556E-5</v>
      </c>
      <c r="F15" s="1">
        <v>1.1793612189614001E-3</v>
      </c>
      <c r="G15" s="1">
        <f t="shared" si="2"/>
        <v>0.45968892562342079</v>
      </c>
      <c r="H15" s="1">
        <f t="shared" si="1"/>
        <v>0.54031107437657921</v>
      </c>
      <c r="I15" s="1">
        <f t="shared" si="3"/>
        <v>0.45968892562342079</v>
      </c>
      <c r="J15">
        <v>300</v>
      </c>
      <c r="K15">
        <v>600</v>
      </c>
      <c r="L15">
        <f t="shared" si="4"/>
        <v>437.90667768702622</v>
      </c>
      <c r="M15" s="1"/>
    </row>
    <row r="16" spans="1:13" x14ac:dyDescent="0.25">
      <c r="A16">
        <v>13</v>
      </c>
      <c r="B16" s="1">
        <v>0.47709923664122134</v>
      </c>
      <c r="C16" s="1">
        <v>1.2E-4</v>
      </c>
      <c r="D16" s="5">
        <f t="shared" si="5"/>
        <v>5.993912000632405E-4</v>
      </c>
      <c r="E16" s="1">
        <f t="shared" si="0"/>
        <v>5.7251908396946563E-5</v>
      </c>
      <c r="F16" s="1">
        <v>1.1793612189614001E-3</v>
      </c>
      <c r="G16" s="1">
        <f t="shared" si="2"/>
        <v>0.50823377132164138</v>
      </c>
      <c r="H16" s="1">
        <f t="shared" si="1"/>
        <v>0.49176622867835862</v>
      </c>
      <c r="I16" s="1">
        <f t="shared" si="3"/>
        <v>0.50823377132164138</v>
      </c>
      <c r="J16">
        <v>300</v>
      </c>
      <c r="K16">
        <v>600</v>
      </c>
      <c r="L16">
        <f t="shared" si="4"/>
        <v>452.47013139649243</v>
      </c>
      <c r="M16" s="1"/>
    </row>
    <row r="17" spans="1:17" x14ac:dyDescent="0.25">
      <c r="A17">
        <v>14</v>
      </c>
      <c r="B17" s="1">
        <v>0.49900199600798401</v>
      </c>
      <c r="C17" s="1">
        <v>1.2E-4</v>
      </c>
      <c r="D17" s="5">
        <f t="shared" si="5"/>
        <v>6.5927143958419859E-4</v>
      </c>
      <c r="E17" s="1">
        <f t="shared" si="0"/>
        <v>5.9880239520958083E-5</v>
      </c>
      <c r="F17" s="1">
        <v>1.1793612189614001E-3</v>
      </c>
      <c r="G17" s="1">
        <f t="shared" si="2"/>
        <v>0.55900722271059877</v>
      </c>
      <c r="H17" s="1">
        <f t="shared" si="1"/>
        <v>0.44099277728940123</v>
      </c>
      <c r="I17" s="1">
        <f t="shared" si="3"/>
        <v>0.55900722271059877</v>
      </c>
      <c r="J17">
        <v>300</v>
      </c>
      <c r="K17">
        <v>600</v>
      </c>
      <c r="L17">
        <f t="shared" si="4"/>
        <v>467.70216681317964</v>
      </c>
      <c r="M17" s="1"/>
    </row>
    <row r="18" spans="1:17" x14ac:dyDescent="0.25">
      <c r="A18">
        <v>15</v>
      </c>
      <c r="B18" s="1">
        <v>0.52301255230125521</v>
      </c>
      <c r="C18" s="1">
        <v>1.2E-4</v>
      </c>
      <c r="D18" s="5">
        <f t="shared" si="5"/>
        <v>7.2203294586034919E-4</v>
      </c>
      <c r="E18" s="1">
        <f t="shared" si="0"/>
        <v>6.2761506276150632E-5</v>
      </c>
      <c r="F18" s="1">
        <v>1.1793612189614001E-3</v>
      </c>
      <c r="G18" s="1">
        <f t="shared" si="2"/>
        <v>0.61222374812036362</v>
      </c>
      <c r="H18" s="1">
        <f t="shared" si="1"/>
        <v>0.38777625187963638</v>
      </c>
      <c r="I18" s="1">
        <f t="shared" si="3"/>
        <v>0.61222374812036362</v>
      </c>
      <c r="J18">
        <v>300</v>
      </c>
      <c r="K18">
        <v>600</v>
      </c>
      <c r="L18">
        <f t="shared" si="4"/>
        <v>483.66712443610908</v>
      </c>
    </row>
    <row r="19" spans="1:17" x14ac:dyDescent="0.25">
      <c r="A19">
        <v>16</v>
      </c>
      <c r="B19" s="1">
        <v>0.5494505494505495</v>
      </c>
      <c r="C19" s="1">
        <v>1.2E-4</v>
      </c>
      <c r="D19" s="5">
        <f t="shared" si="5"/>
        <v>7.8796701179441515E-4</v>
      </c>
      <c r="E19" s="1">
        <f t="shared" si="0"/>
        <v>6.5934065934065942E-5</v>
      </c>
      <c r="F19" s="1">
        <v>1.1793612189614001E-3</v>
      </c>
      <c r="G19" s="1">
        <f t="shared" si="2"/>
        <v>0.668130339649743</v>
      </c>
      <c r="H19" s="1">
        <f t="shared" si="1"/>
        <v>0.331869660350257</v>
      </c>
      <c r="I19" s="1">
        <f t="shared" si="3"/>
        <v>0.668130339649743</v>
      </c>
      <c r="J19">
        <v>300</v>
      </c>
      <c r="K19">
        <v>600</v>
      </c>
      <c r="L19">
        <f t="shared" si="4"/>
        <v>500.43910189492294</v>
      </c>
    </row>
    <row r="20" spans="1:17" x14ac:dyDescent="0.25">
      <c r="A20">
        <v>17</v>
      </c>
      <c r="B20" s="1">
        <v>0.57870370370370372</v>
      </c>
      <c r="C20" s="1">
        <v>1.2E-4</v>
      </c>
      <c r="D20" s="5">
        <f t="shared" si="5"/>
        <v>8.5741145623885961E-4</v>
      </c>
      <c r="E20" s="1">
        <f t="shared" si="0"/>
        <v>6.9444444444444444E-5</v>
      </c>
      <c r="F20" s="1">
        <v>1.1793612189614001E-3</v>
      </c>
      <c r="G20" s="1">
        <f t="shared" si="2"/>
        <v>0.72701343952443653</v>
      </c>
      <c r="H20" s="1">
        <f t="shared" si="1"/>
        <v>0.27298656047556347</v>
      </c>
      <c r="I20" s="1">
        <f t="shared" si="3"/>
        <v>0.72701343952443653</v>
      </c>
      <c r="J20">
        <v>300</v>
      </c>
      <c r="K20">
        <v>600</v>
      </c>
      <c r="L20">
        <f t="shared" si="4"/>
        <v>518.10403185733094</v>
      </c>
    </row>
    <row r="21" spans="1:17" x14ac:dyDescent="0.25">
      <c r="A21">
        <v>18</v>
      </c>
      <c r="B21" s="1">
        <v>0.61124694376528133</v>
      </c>
      <c r="C21" s="1">
        <v>1.2E-4</v>
      </c>
      <c r="D21" s="5">
        <f t="shared" si="5"/>
        <v>9.3076108949069339E-4</v>
      </c>
      <c r="E21" s="1">
        <f t="shared" si="0"/>
        <v>7.3349633251833761E-5</v>
      </c>
      <c r="F21" s="1">
        <v>1.1793612189614001E-3</v>
      </c>
      <c r="G21" s="1">
        <f t="shared" si="2"/>
        <v>0.78920781396421069</v>
      </c>
      <c r="H21" s="1">
        <f t="shared" si="1"/>
        <v>0.21079218603578931</v>
      </c>
      <c r="I21" s="1">
        <f t="shared" si="3"/>
        <v>0.78920781396421069</v>
      </c>
      <c r="J21">
        <v>300</v>
      </c>
      <c r="K21">
        <v>600</v>
      </c>
      <c r="L21">
        <f t="shared" si="4"/>
        <v>536.76234418926322</v>
      </c>
    </row>
    <row r="22" spans="1:17" x14ac:dyDescent="0.25">
      <c r="A22">
        <v>19</v>
      </c>
      <c r="B22" s="1">
        <v>0.64766839378238361</v>
      </c>
      <c r="C22" s="1">
        <v>1.2E-4</v>
      </c>
      <c r="D22" s="5">
        <f t="shared" si="5"/>
        <v>1.0084812967445795E-3</v>
      </c>
      <c r="E22" s="1">
        <f t="shared" si="0"/>
        <v>7.7720207253886031E-5</v>
      </c>
      <c r="F22" s="1">
        <v>1.1793612189614001E-3</v>
      </c>
      <c r="G22" s="1">
        <f t="shared" si="2"/>
        <v>0.85510807081879014</v>
      </c>
      <c r="H22" s="1">
        <f t="shared" si="1"/>
        <v>0.14489192918120986</v>
      </c>
      <c r="I22" s="1">
        <f t="shared" si="3"/>
        <v>0.85510807081879014</v>
      </c>
      <c r="J22">
        <v>300</v>
      </c>
      <c r="K22">
        <v>600</v>
      </c>
      <c r="L22">
        <f t="shared" si="4"/>
        <v>556.53242124563712</v>
      </c>
    </row>
    <row r="23" spans="1:17" x14ac:dyDescent="0.25">
      <c r="A23">
        <v>20</v>
      </c>
      <c r="B23" s="1">
        <v>0.68870523415977969</v>
      </c>
      <c r="C23" s="1">
        <v>1.2E-4</v>
      </c>
      <c r="D23" s="5">
        <f t="shared" si="5"/>
        <v>1.0911259248437531E-3</v>
      </c>
      <c r="E23" s="1">
        <f t="shared" si="0"/>
        <v>8.264462809917356E-5</v>
      </c>
      <c r="F23" s="1">
        <v>1.1793612189614001E-3</v>
      </c>
      <c r="G23" s="1">
        <f t="shared" si="2"/>
        <v>0.9251838260415659</v>
      </c>
      <c r="H23" s="1">
        <f t="shared" si="1"/>
        <v>7.4816173958434096E-2</v>
      </c>
      <c r="I23" s="1">
        <f t="shared" si="3"/>
        <v>0.9251838260415659</v>
      </c>
      <c r="J23">
        <v>300</v>
      </c>
      <c r="K23">
        <v>600</v>
      </c>
      <c r="L23">
        <f t="shared" si="4"/>
        <v>577.55514781246984</v>
      </c>
    </row>
    <row r="24" spans="1:17" x14ac:dyDescent="0.25">
      <c r="B24">
        <v>0.73529411764705888</v>
      </c>
      <c r="C24" s="1">
        <v>1.2E-4</v>
      </c>
      <c r="D24" s="5">
        <f t="shared" si="5"/>
        <v>1.1793612189614001E-3</v>
      </c>
      <c r="E24" s="1">
        <f t="shared" si="0"/>
        <v>8.8235294117647065E-5</v>
      </c>
      <c r="F24" s="1">
        <v>1.1793612189614001E-3</v>
      </c>
      <c r="G24" s="1">
        <f t="shared" si="2"/>
        <v>1</v>
      </c>
      <c r="H24" s="1">
        <f t="shared" si="1"/>
        <v>0</v>
      </c>
      <c r="I24" s="1">
        <f t="shared" si="3"/>
        <v>1</v>
      </c>
      <c r="J24">
        <v>300</v>
      </c>
      <c r="K24">
        <v>600</v>
      </c>
      <c r="L24">
        <f t="shared" si="4"/>
        <v>600</v>
      </c>
    </row>
    <row r="28" spans="1:17" x14ac:dyDescent="0.25">
      <c r="B28" t="s">
        <v>245</v>
      </c>
    </row>
    <row r="30" spans="1:17" x14ac:dyDescent="0.25">
      <c r="C30" t="s">
        <v>15</v>
      </c>
      <c r="D30" t="s">
        <v>243</v>
      </c>
      <c r="E30" t="s">
        <v>242</v>
      </c>
      <c r="F30" t="s">
        <v>24</v>
      </c>
      <c r="G30" t="s">
        <v>25</v>
      </c>
      <c r="H30" t="s">
        <v>244</v>
      </c>
      <c r="K30" t="s">
        <v>246</v>
      </c>
      <c r="L30" t="s">
        <v>15</v>
      </c>
      <c r="M30" t="s">
        <v>243</v>
      </c>
      <c r="N30" t="s">
        <v>242</v>
      </c>
      <c r="O30" t="s">
        <v>24</v>
      </c>
      <c r="P30" t="s">
        <v>25</v>
      </c>
      <c r="Q30" t="s">
        <v>244</v>
      </c>
    </row>
    <row r="31" spans="1:17" x14ac:dyDescent="0.25">
      <c r="C31">
        <v>1</v>
      </c>
      <c r="D31">
        <v>-1.1999999999999999E-3</v>
      </c>
      <c r="E31" s="1">
        <v>2.3999999999999998E-3</v>
      </c>
      <c r="F31" s="8">
        <v>300</v>
      </c>
      <c r="G31">
        <v>600</v>
      </c>
      <c r="H31" s="1">
        <f>F31+(G31-F31)*(D31/E31+0.5)</f>
        <v>300</v>
      </c>
      <c r="L31">
        <v>1</v>
      </c>
      <c r="M31">
        <v>-1.14E-3</v>
      </c>
      <c r="N31" s="1">
        <v>2.3999999999999998E-3</v>
      </c>
      <c r="O31" s="8">
        <v>300</v>
      </c>
      <c r="P31">
        <v>600</v>
      </c>
      <c r="Q31" s="1">
        <f>O31+(P31-O31)*(1-COS(3.14/4+(M31*3.14)/(2*N31)))</f>
        <v>300.2310547098632</v>
      </c>
    </row>
    <row r="32" spans="1:17" x14ac:dyDescent="0.25">
      <c r="C32">
        <v>2</v>
      </c>
      <c r="D32">
        <v>-1.08E-3</v>
      </c>
      <c r="E32" s="1">
        <v>2.3999999999999998E-3</v>
      </c>
      <c r="F32" s="8">
        <v>300</v>
      </c>
      <c r="G32">
        <v>600</v>
      </c>
      <c r="H32" s="1">
        <f t="shared" ref="H32:H51" si="6">F32+(G32-F32)*(D32/E32+0.5)</f>
        <v>315</v>
      </c>
      <c r="L32">
        <v>2</v>
      </c>
      <c r="M32">
        <v>-1.0199999999999999E-3</v>
      </c>
      <c r="N32" s="1">
        <v>2.3999999999999998E-3</v>
      </c>
      <c r="O32" s="8">
        <v>300</v>
      </c>
      <c r="P32">
        <v>600</v>
      </c>
      <c r="Q32" s="1">
        <f t="shared" ref="Q32:Q50" si="7">O32+(P32-O32)*(1-COS(3.14/4+(M32*3.14)/(2*N32)))</f>
        <v>302.07735748583974</v>
      </c>
    </row>
    <row r="33" spans="3:17" x14ac:dyDescent="0.25">
      <c r="C33">
        <v>3</v>
      </c>
      <c r="D33">
        <v>-9.6000000000000002E-4</v>
      </c>
      <c r="E33" s="1">
        <v>2.3999999999999998E-3</v>
      </c>
      <c r="F33" s="8">
        <v>300</v>
      </c>
      <c r="G33">
        <v>600</v>
      </c>
      <c r="H33" s="1">
        <f t="shared" si="6"/>
        <v>330</v>
      </c>
      <c r="L33">
        <v>3</v>
      </c>
      <c r="M33">
        <v>-8.9999999999999987E-4</v>
      </c>
      <c r="N33" s="1">
        <v>2.3999999999999998E-3</v>
      </c>
      <c r="O33" s="8">
        <v>300</v>
      </c>
      <c r="P33">
        <v>600</v>
      </c>
      <c r="Q33" s="1">
        <f t="shared" si="7"/>
        <v>305.75859149983285</v>
      </c>
    </row>
    <row r="34" spans="3:17" x14ac:dyDescent="0.25">
      <c r="C34">
        <v>4</v>
      </c>
      <c r="D34">
        <v>-8.4000000000000003E-4</v>
      </c>
      <c r="E34" s="1">
        <v>2.3999999999999998E-3</v>
      </c>
      <c r="F34" s="8">
        <v>300</v>
      </c>
      <c r="G34">
        <v>600</v>
      </c>
      <c r="H34" s="1">
        <f t="shared" si="6"/>
        <v>345</v>
      </c>
      <c r="L34">
        <v>4</v>
      </c>
      <c r="M34">
        <v>-7.7999999999999988E-4</v>
      </c>
      <c r="N34" s="1">
        <v>2.3999999999999998E-3</v>
      </c>
      <c r="O34" s="8">
        <v>300</v>
      </c>
      <c r="P34">
        <v>600</v>
      </c>
      <c r="Q34" s="1">
        <f t="shared" si="7"/>
        <v>311.25208371420524</v>
      </c>
    </row>
    <row r="35" spans="3:17" x14ac:dyDescent="0.25">
      <c r="C35">
        <v>5</v>
      </c>
      <c r="D35">
        <v>-7.2000000000000005E-4</v>
      </c>
      <c r="E35" s="1">
        <v>2.3999999999999998E-3</v>
      </c>
      <c r="F35" s="8">
        <v>300</v>
      </c>
      <c r="G35">
        <v>600</v>
      </c>
      <c r="H35" s="1">
        <f t="shared" si="6"/>
        <v>360</v>
      </c>
      <c r="L35">
        <v>5</v>
      </c>
      <c r="M35">
        <v>-6.5999999999999989E-4</v>
      </c>
      <c r="N35" s="1">
        <v>2.3999999999999998E-3</v>
      </c>
      <c r="O35" s="8">
        <v>300</v>
      </c>
      <c r="P35">
        <v>600</v>
      </c>
      <c r="Q35" s="1">
        <f t="shared" si="7"/>
        <v>318.52399923683566</v>
      </c>
    </row>
    <row r="36" spans="3:17" x14ac:dyDescent="0.25">
      <c r="C36">
        <v>6</v>
      </c>
      <c r="D36">
        <v>-5.9999999999999995E-4</v>
      </c>
      <c r="E36" s="1">
        <v>2.3999999999999998E-3</v>
      </c>
      <c r="F36" s="8">
        <v>300</v>
      </c>
      <c r="G36">
        <v>600</v>
      </c>
      <c r="H36" s="1">
        <f t="shared" si="6"/>
        <v>375</v>
      </c>
      <c r="L36">
        <v>6</v>
      </c>
      <c r="M36">
        <v>-5.399999999999999E-4</v>
      </c>
      <c r="N36" s="1">
        <v>2.3999999999999998E-3</v>
      </c>
      <c r="O36" s="8">
        <v>300</v>
      </c>
      <c r="P36">
        <v>600</v>
      </c>
      <c r="Q36" s="1">
        <f t="shared" si="7"/>
        <v>327.52954971313619</v>
      </c>
    </row>
    <row r="37" spans="3:17" x14ac:dyDescent="0.25">
      <c r="C37">
        <v>7</v>
      </c>
      <c r="D37">
        <v>-4.8000000000000001E-4</v>
      </c>
      <c r="E37" s="1">
        <v>2.3999999999999998E-3</v>
      </c>
      <c r="F37" s="8">
        <v>300</v>
      </c>
      <c r="G37">
        <v>600</v>
      </c>
      <c r="H37" s="1">
        <f t="shared" si="6"/>
        <v>390</v>
      </c>
      <c r="L37">
        <v>7</v>
      </c>
      <c r="M37">
        <v>-4.1999999999999991E-4</v>
      </c>
      <c r="N37" s="1">
        <v>2.3999999999999998E-3</v>
      </c>
      <c r="O37" s="8">
        <v>300</v>
      </c>
      <c r="P37">
        <v>600</v>
      </c>
      <c r="Q37" s="1">
        <f t="shared" si="7"/>
        <v>338.21326918138919</v>
      </c>
    </row>
    <row r="38" spans="3:17" x14ac:dyDescent="0.25">
      <c r="C38">
        <v>8</v>
      </c>
      <c r="D38">
        <v>-3.6000000000000002E-4</v>
      </c>
      <c r="E38" s="1">
        <v>2.3999999999999998E-3</v>
      </c>
      <c r="F38" s="8">
        <v>300</v>
      </c>
      <c r="G38">
        <v>600</v>
      </c>
      <c r="H38" s="1">
        <f t="shared" si="6"/>
        <v>405</v>
      </c>
      <c r="L38">
        <v>8</v>
      </c>
      <c r="M38">
        <v>-2.9999999999999992E-4</v>
      </c>
      <c r="N38" s="1">
        <v>2.3999999999999998E-3</v>
      </c>
      <c r="O38" s="8">
        <v>300</v>
      </c>
      <c r="P38">
        <v>600</v>
      </c>
      <c r="Q38" s="1">
        <f t="shared" si="7"/>
        <v>350.50935569238709</v>
      </c>
    </row>
    <row r="39" spans="3:17" x14ac:dyDescent="0.25">
      <c r="C39">
        <v>9</v>
      </c>
      <c r="D39">
        <v>-2.4000000000000001E-4</v>
      </c>
      <c r="E39" s="1">
        <v>2.3999999999999998E-3</v>
      </c>
      <c r="F39" s="8">
        <v>300</v>
      </c>
      <c r="G39">
        <v>600</v>
      </c>
      <c r="H39" s="1">
        <f t="shared" si="6"/>
        <v>420</v>
      </c>
      <c r="L39">
        <v>9</v>
      </c>
      <c r="M39">
        <v>-1.7999999999999993E-4</v>
      </c>
      <c r="N39" s="1">
        <v>2.3999999999999998E-3</v>
      </c>
      <c r="O39" s="8">
        <v>300</v>
      </c>
      <c r="P39">
        <v>600</v>
      </c>
      <c r="Q39" s="1">
        <f t="shared" si="7"/>
        <v>364.34207658931012</v>
      </c>
    </row>
    <row r="40" spans="3:17" x14ac:dyDescent="0.25">
      <c r="C40">
        <v>10</v>
      </c>
      <c r="D40">
        <v>-1.2E-4</v>
      </c>
      <c r="E40" s="1">
        <v>2.3999999999999998E-3</v>
      </c>
      <c r="F40" s="8">
        <v>300</v>
      </c>
      <c r="G40">
        <v>600</v>
      </c>
      <c r="H40" s="1">
        <f t="shared" si="6"/>
        <v>435</v>
      </c>
      <c r="L40">
        <v>10</v>
      </c>
      <c r="M40">
        <v>-5.9999999999999927E-5</v>
      </c>
      <c r="N40" s="1">
        <v>2.3999999999999998E-3</v>
      </c>
      <c r="O40" s="8">
        <v>300</v>
      </c>
      <c r="P40">
        <v>600</v>
      </c>
      <c r="Q40" s="1">
        <f t="shared" si="7"/>
        <v>379.62623495168805</v>
      </c>
    </row>
    <row r="41" spans="3:17" x14ac:dyDescent="0.25">
      <c r="C41">
        <v>11</v>
      </c>
      <c r="D41">
        <v>0</v>
      </c>
      <c r="E41" s="1">
        <v>2.3999999999999998E-3</v>
      </c>
      <c r="F41" s="8">
        <v>300</v>
      </c>
      <c r="G41">
        <v>600</v>
      </c>
      <c r="H41" s="1">
        <f t="shared" si="6"/>
        <v>450</v>
      </c>
      <c r="L41">
        <v>11</v>
      </c>
      <c r="M41">
        <v>6.0000000000000076E-5</v>
      </c>
      <c r="N41" s="1">
        <v>2.3999999999999998E-3</v>
      </c>
      <c r="O41" s="8">
        <v>300</v>
      </c>
      <c r="P41">
        <v>600</v>
      </c>
      <c r="Q41" s="1">
        <f t="shared" si="7"/>
        <v>396.26769433057825</v>
      </c>
    </row>
    <row r="42" spans="3:17" x14ac:dyDescent="0.25">
      <c r="C42">
        <v>12</v>
      </c>
      <c r="D42">
        <v>1.2E-4</v>
      </c>
      <c r="E42" s="1">
        <v>2.3999999999999998E-3</v>
      </c>
      <c r="F42" s="8">
        <v>300</v>
      </c>
      <c r="G42">
        <v>600</v>
      </c>
      <c r="H42" s="1">
        <f t="shared" si="6"/>
        <v>465</v>
      </c>
      <c r="L42">
        <v>12</v>
      </c>
      <c r="M42">
        <v>1.8000000000000009E-4</v>
      </c>
      <c r="N42" s="1">
        <v>2.3999999999999998E-3</v>
      </c>
      <c r="O42" s="8">
        <v>300</v>
      </c>
      <c r="P42">
        <v>600</v>
      </c>
      <c r="Q42" s="1">
        <f t="shared" si="7"/>
        <v>414.16395854306944</v>
      </c>
    </row>
    <row r="43" spans="3:17" x14ac:dyDescent="0.25">
      <c r="C43">
        <v>13</v>
      </c>
      <c r="D43">
        <v>2.4000000000000001E-4</v>
      </c>
      <c r="E43" s="1">
        <v>2.3999999999999998E-3</v>
      </c>
      <c r="F43" s="8">
        <v>300</v>
      </c>
      <c r="G43">
        <v>600</v>
      </c>
      <c r="H43" s="1">
        <f t="shared" si="6"/>
        <v>480</v>
      </c>
      <c r="L43">
        <v>13</v>
      </c>
      <c r="M43">
        <v>3.0000000000000008E-4</v>
      </c>
      <c r="N43" s="1">
        <v>2.3999999999999998E-3</v>
      </c>
      <c r="O43" s="8">
        <v>300</v>
      </c>
      <c r="P43">
        <v>600</v>
      </c>
      <c r="Q43" s="1">
        <f t="shared" si="7"/>
        <v>433.20480295510845</v>
      </c>
    </row>
    <row r="44" spans="3:17" x14ac:dyDescent="0.25">
      <c r="C44">
        <v>14</v>
      </c>
      <c r="D44">
        <v>3.6000000000000002E-4</v>
      </c>
      <c r="E44" s="1">
        <v>2.3999999999999998E-3</v>
      </c>
      <c r="F44" s="8">
        <v>300</v>
      </c>
      <c r="G44">
        <v>600</v>
      </c>
      <c r="H44" s="1">
        <f t="shared" si="6"/>
        <v>495</v>
      </c>
      <c r="L44">
        <v>14</v>
      </c>
      <c r="M44">
        <v>4.2000000000000007E-4</v>
      </c>
      <c r="N44" s="1">
        <v>2.3999999999999998E-3</v>
      </c>
      <c r="O44" s="8">
        <v>300</v>
      </c>
      <c r="P44">
        <v>600</v>
      </c>
      <c r="Q44" s="1">
        <f t="shared" si="7"/>
        <v>453.27295336452318</v>
      </c>
    </row>
    <row r="45" spans="3:17" x14ac:dyDescent="0.25">
      <c r="C45">
        <v>15</v>
      </c>
      <c r="D45">
        <v>4.8000000000000001E-4</v>
      </c>
      <c r="E45" s="1">
        <v>2.3999999999999998E-3</v>
      </c>
      <c r="F45" s="8">
        <v>300</v>
      </c>
      <c r="G45">
        <v>600</v>
      </c>
      <c r="H45" s="1">
        <f t="shared" si="6"/>
        <v>510</v>
      </c>
      <c r="L45">
        <v>15</v>
      </c>
      <c r="M45">
        <v>5.4000000000000012E-4</v>
      </c>
      <c r="N45" s="1">
        <v>2.3999999999999998E-3</v>
      </c>
      <c r="O45" s="8">
        <v>300</v>
      </c>
      <c r="P45">
        <v>600</v>
      </c>
      <c r="Q45" s="1">
        <f t="shared" si="7"/>
        <v>474.2448083029434</v>
      </c>
    </row>
    <row r="46" spans="3:17" x14ac:dyDescent="0.25">
      <c r="C46">
        <v>16</v>
      </c>
      <c r="D46">
        <v>5.9999999999999995E-4</v>
      </c>
      <c r="E46" s="1">
        <v>2.3999999999999998E-3</v>
      </c>
      <c r="F46" s="8">
        <v>300</v>
      </c>
      <c r="G46">
        <v>600</v>
      </c>
      <c r="H46" s="1">
        <f t="shared" si="6"/>
        <v>525</v>
      </c>
      <c r="L46">
        <v>16</v>
      </c>
      <c r="M46">
        <v>6.600000000000001E-4</v>
      </c>
      <c r="N46" s="1">
        <v>2.3999999999999998E-3</v>
      </c>
      <c r="O46" s="8">
        <v>300</v>
      </c>
      <c r="P46">
        <v>600</v>
      </c>
      <c r="Q46" s="1">
        <f t="shared" si="7"/>
        <v>495.9912003079001</v>
      </c>
    </row>
    <row r="47" spans="3:17" x14ac:dyDescent="0.25">
      <c r="C47">
        <v>17</v>
      </c>
      <c r="D47">
        <v>7.2000000000000005E-4</v>
      </c>
      <c r="E47" s="1">
        <v>2.3999999999999998E-3</v>
      </c>
      <c r="F47" s="8">
        <v>300</v>
      </c>
      <c r="G47">
        <v>600</v>
      </c>
      <c r="H47" s="1">
        <f t="shared" si="6"/>
        <v>540</v>
      </c>
      <c r="L47">
        <v>17</v>
      </c>
      <c r="M47">
        <v>7.8000000000000009E-4</v>
      </c>
      <c r="N47" s="1">
        <v>2.3999999999999998E-3</v>
      </c>
      <c r="O47" s="8">
        <v>300</v>
      </c>
      <c r="P47">
        <v>600</v>
      </c>
      <c r="Q47" s="1">
        <f t="shared" si="7"/>
        <v>518.37819147636128</v>
      </c>
    </row>
    <row r="48" spans="3:17" x14ac:dyDescent="0.25">
      <c r="C48">
        <v>18</v>
      </c>
      <c r="D48">
        <v>8.4000000000000003E-4</v>
      </c>
      <c r="E48" s="1">
        <v>2.3999999999999998E-3</v>
      </c>
      <c r="F48" s="8">
        <v>300</v>
      </c>
      <c r="G48">
        <v>600</v>
      </c>
      <c r="H48" s="1">
        <f t="shared" si="6"/>
        <v>555</v>
      </c>
      <c r="L48">
        <v>18</v>
      </c>
      <c r="M48">
        <v>9.0000000000000008E-4</v>
      </c>
      <c r="N48" s="1">
        <v>2.3999999999999998E-3</v>
      </c>
      <c r="O48" s="8">
        <v>300</v>
      </c>
      <c r="P48">
        <v>600</v>
      </c>
      <c r="Q48" s="1">
        <f t="shared" si="7"/>
        <v>541.26789839982371</v>
      </c>
    </row>
    <row r="49" spans="3:17" x14ac:dyDescent="0.25">
      <c r="C49">
        <v>19</v>
      </c>
      <c r="D49">
        <v>9.6000000000000002E-4</v>
      </c>
      <c r="E49" s="1">
        <v>2.3999999999999998E-3</v>
      </c>
      <c r="F49" s="8">
        <v>300</v>
      </c>
      <c r="G49">
        <v>600</v>
      </c>
      <c r="H49" s="1">
        <f t="shared" si="6"/>
        <v>570</v>
      </c>
      <c r="L49">
        <v>19</v>
      </c>
      <c r="M49">
        <v>1.0200000000000001E-3</v>
      </c>
      <c r="N49" s="1">
        <v>2.3999999999999998E-3</v>
      </c>
      <c r="O49" s="8">
        <v>300</v>
      </c>
      <c r="P49">
        <v>600</v>
      </c>
      <c r="Q49" s="1">
        <f t="shared" si="7"/>
        <v>564.51934140011144</v>
      </c>
    </row>
    <row r="50" spans="3:17" x14ac:dyDescent="0.25">
      <c r="C50">
        <v>20</v>
      </c>
      <c r="D50">
        <v>1.08E-3</v>
      </c>
      <c r="E50" s="1">
        <v>2.3999999999999998E-3</v>
      </c>
      <c r="F50" s="8">
        <v>300</v>
      </c>
      <c r="G50">
        <v>600</v>
      </c>
      <c r="H50" s="1">
        <f t="shared" si="6"/>
        <v>585</v>
      </c>
      <c r="L50">
        <v>20</v>
      </c>
      <c r="M50">
        <v>1.1400000000000002E-3</v>
      </c>
      <c r="N50" s="1">
        <v>2.3999999999999998E-3</v>
      </c>
      <c r="O50" s="8">
        <v>300</v>
      </c>
      <c r="P50">
        <v>600</v>
      </c>
      <c r="Q50" s="1">
        <f t="shared" si="7"/>
        <v>587.98931283536785</v>
      </c>
    </row>
    <row r="51" spans="3:17" x14ac:dyDescent="0.25">
      <c r="C51">
        <v>21</v>
      </c>
      <c r="D51">
        <v>1.1999999999999999E-3</v>
      </c>
      <c r="E51" s="1">
        <v>2.3999999999999998E-3</v>
      </c>
      <c r="F51" s="8">
        <v>300</v>
      </c>
      <c r="G51">
        <v>600</v>
      </c>
      <c r="H51" s="1">
        <f t="shared" si="6"/>
        <v>600</v>
      </c>
    </row>
    <row r="52" spans="3:17" x14ac:dyDescent="0.25">
      <c r="H52" s="1"/>
    </row>
  </sheetData>
  <phoneticPr fontId="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topLeftCell="D1" workbookViewId="0">
      <selection activeCell="P4" sqref="P4:P24"/>
    </sheetView>
  </sheetViews>
  <sheetFormatPr defaultRowHeight="14" x14ac:dyDescent="0.25"/>
  <cols>
    <col min="4" max="4" width="10.7265625" customWidth="1"/>
    <col min="5" max="5" width="12.7265625" customWidth="1"/>
    <col min="9" max="9" width="10.81640625" customWidth="1"/>
    <col min="10" max="10" width="11" customWidth="1"/>
    <col min="11" max="11" width="9.26953125" bestFit="1" customWidth="1"/>
    <col min="19" max="19" width="10.7265625" customWidth="1"/>
    <col min="20" max="20" width="10" customWidth="1"/>
  </cols>
  <sheetData>
    <row r="1" spans="1:20" x14ac:dyDescent="0.25">
      <c r="A1" s="2" t="s">
        <v>247</v>
      </c>
    </row>
    <row r="3" spans="1:20" x14ac:dyDescent="0.25">
      <c r="A3" t="s">
        <v>248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s="3" t="s">
        <v>255</v>
      </c>
      <c r="I3" t="s">
        <v>256</v>
      </c>
      <c r="J3" t="s">
        <v>257</v>
      </c>
      <c r="K3" t="s">
        <v>258</v>
      </c>
      <c r="L3" t="s">
        <v>259</v>
      </c>
    </row>
    <row r="4" spans="1:20" x14ac:dyDescent="0.25">
      <c r="A4">
        <v>1</v>
      </c>
      <c r="B4" s="1">
        <v>0.31994880819068949</v>
      </c>
      <c r="C4" s="1">
        <v>1.2E-4</v>
      </c>
      <c r="D4" s="5">
        <f>B4*C4</f>
        <v>3.8393856982882739E-5</v>
      </c>
      <c r="E4" s="1">
        <f t="shared" ref="E4:E23" si="0">B4*C4</f>
        <v>3.8393856982882739E-5</v>
      </c>
      <c r="F4" s="1">
        <f>SUM(E4:E23)</f>
        <v>1.0813443787983145E-3</v>
      </c>
      <c r="G4" s="1">
        <f>D4/F4</f>
        <v>3.55056702893757E-2</v>
      </c>
      <c r="H4" s="1">
        <f t="shared" ref="H4:H23" si="1">1-I4</f>
        <v>0.96449432971062432</v>
      </c>
      <c r="I4" s="1">
        <f>D4/F4</f>
        <v>3.55056702893757E-2</v>
      </c>
      <c r="J4">
        <v>300</v>
      </c>
      <c r="K4">
        <v>600</v>
      </c>
      <c r="L4">
        <f>J4*H4+K4*I4</f>
        <v>310.65170108681275</v>
      </c>
      <c r="P4">
        <v>-1.1999999999999999E-3</v>
      </c>
      <c r="Q4">
        <v>0</v>
      </c>
      <c r="R4">
        <v>0</v>
      </c>
      <c r="S4">
        <v>0</v>
      </c>
      <c r="T4">
        <v>0</v>
      </c>
    </row>
    <row r="5" spans="1:20" x14ac:dyDescent="0.25">
      <c r="A5">
        <v>2</v>
      </c>
      <c r="B5" s="1">
        <v>0.33596505963379814</v>
      </c>
      <c r="C5" s="1">
        <v>1.2E-4</v>
      </c>
      <c r="D5" s="5">
        <f>B5*C5+D4</f>
        <v>7.8709664138938514E-5</v>
      </c>
      <c r="E5" s="1">
        <f t="shared" si="0"/>
        <v>4.0315807156055775E-5</v>
      </c>
      <c r="F5" s="1">
        <v>1.0813443787983145E-3</v>
      </c>
      <c r="G5" s="1">
        <f t="shared" ref="G5:G23" si="2">D5/F5</f>
        <v>7.2788711609531515E-2</v>
      </c>
      <c r="H5" s="1">
        <f t="shared" si="1"/>
        <v>0.92721128839046851</v>
      </c>
      <c r="I5" s="1">
        <f t="shared" ref="I5:I23" si="3">D5/F5</f>
        <v>7.2788711609531515E-2</v>
      </c>
      <c r="J5">
        <v>300</v>
      </c>
      <c r="K5">
        <v>600</v>
      </c>
      <c r="L5">
        <f t="shared" ref="L5:L23" si="4">J5*H5+K5*I5</f>
        <v>321.83661348285949</v>
      </c>
      <c r="P5">
        <v>-1.08E-3</v>
      </c>
      <c r="Q5">
        <v>12.98769134</v>
      </c>
      <c r="R5">
        <v>10.228743535275683</v>
      </c>
      <c r="S5">
        <v>10.651701086812711</v>
      </c>
      <c r="T5">
        <v>15.751830811341147</v>
      </c>
    </row>
    <row r="6" spans="1:20" x14ac:dyDescent="0.25">
      <c r="A6">
        <v>3</v>
      </c>
      <c r="B6" s="1">
        <v>0.35366931918656053</v>
      </c>
      <c r="C6" s="1">
        <v>1.2E-4</v>
      </c>
      <c r="D6" s="5">
        <f t="shared" ref="D6:D23" si="5">B6*C6+D5</f>
        <v>1.2114998244132578E-4</v>
      </c>
      <c r="E6" s="1">
        <f t="shared" si="0"/>
        <v>4.2440318302387262E-5</v>
      </c>
      <c r="F6" s="1">
        <v>1.0813443787983145E-3</v>
      </c>
      <c r="G6" s="1">
        <f t="shared" si="2"/>
        <v>0.11203644723798199</v>
      </c>
      <c r="H6" s="1">
        <f t="shared" si="1"/>
        <v>0.88796355276201799</v>
      </c>
      <c r="I6" s="1">
        <f t="shared" si="3"/>
        <v>0.11203644723798199</v>
      </c>
      <c r="J6">
        <v>300</v>
      </c>
      <c r="K6">
        <v>600</v>
      </c>
      <c r="L6">
        <f t="shared" si="4"/>
        <v>333.6109341713946</v>
      </c>
      <c r="P6">
        <v>-9.6000000000000002E-4</v>
      </c>
      <c r="Q6">
        <v>26.15174318</v>
      </c>
      <c r="R6">
        <v>20.764817052669379</v>
      </c>
      <c r="S6">
        <v>21.836613482859455</v>
      </c>
      <c r="T6">
        <v>30.932445357318077</v>
      </c>
    </row>
    <row r="7" spans="1:20" x14ac:dyDescent="0.25">
      <c r="A7">
        <v>4</v>
      </c>
      <c r="B7" s="1">
        <v>0.37334328915437742</v>
      </c>
      <c r="C7" s="1">
        <v>1.2E-4</v>
      </c>
      <c r="D7" s="5">
        <f t="shared" si="5"/>
        <v>1.6595117713985108E-4</v>
      </c>
      <c r="E7" s="1">
        <f t="shared" si="0"/>
        <v>4.4801194698525294E-5</v>
      </c>
      <c r="F7" s="1">
        <v>1.0813443787983145E-3</v>
      </c>
      <c r="G7" s="1">
        <f t="shared" si="2"/>
        <v>0.15346746179442919</v>
      </c>
      <c r="H7" s="1">
        <f t="shared" si="1"/>
        <v>0.84653253820557084</v>
      </c>
      <c r="I7" s="1">
        <f t="shared" si="3"/>
        <v>0.15346746179442919</v>
      </c>
      <c r="J7">
        <v>300</v>
      </c>
      <c r="K7">
        <v>600</v>
      </c>
      <c r="L7">
        <f t="shared" si="4"/>
        <v>346.04023853832877</v>
      </c>
      <c r="P7">
        <v>-8.4000000000000003E-4</v>
      </c>
      <c r="Q7">
        <v>39.49701108</v>
      </c>
      <c r="R7">
        <v>31.627260524137228</v>
      </c>
      <c r="S7">
        <v>33.610934171394597</v>
      </c>
      <c r="T7">
        <v>45.58182245074476</v>
      </c>
    </row>
    <row r="8" spans="1:20" x14ac:dyDescent="0.25">
      <c r="A8">
        <v>5</v>
      </c>
      <c r="B8" s="1">
        <v>0.39533504645186801</v>
      </c>
      <c r="C8" s="1">
        <v>1.2E-4</v>
      </c>
      <c r="D8" s="5">
        <f t="shared" si="5"/>
        <v>2.1339138271407525E-4</v>
      </c>
      <c r="E8" s="1">
        <f t="shared" si="0"/>
        <v>4.7440205574224161E-5</v>
      </c>
      <c r="F8" s="1">
        <v>1.0813443787983145E-3</v>
      </c>
      <c r="G8" s="1">
        <f t="shared" si="2"/>
        <v>0.19733896702844531</v>
      </c>
      <c r="H8" s="1">
        <f t="shared" si="1"/>
        <v>0.80266103297155467</v>
      </c>
      <c r="I8" s="1">
        <f t="shared" si="3"/>
        <v>0.19733896702844531</v>
      </c>
      <c r="J8">
        <v>300</v>
      </c>
      <c r="K8">
        <v>600</v>
      </c>
      <c r="L8">
        <f t="shared" si="4"/>
        <v>359.20169010853357</v>
      </c>
      <c r="P8">
        <v>-7.2000000000000005E-4</v>
      </c>
      <c r="Q8">
        <v>53.028553899999999</v>
      </c>
      <c r="R8">
        <v>42.836939853622802</v>
      </c>
      <c r="S8">
        <v>46.040238538328758</v>
      </c>
      <c r="T8">
        <v>59.735885702792999</v>
      </c>
    </row>
    <row r="9" spans="1:20" x14ac:dyDescent="0.25">
      <c r="A9">
        <v>6</v>
      </c>
      <c r="B9" s="1">
        <v>0.4200798151648813</v>
      </c>
      <c r="C9" s="1">
        <v>1.2E-4</v>
      </c>
      <c r="D9" s="5">
        <f t="shared" si="5"/>
        <v>2.6380096053386102E-4</v>
      </c>
      <c r="E9" s="1">
        <f t="shared" si="0"/>
        <v>5.0409577819785757E-5</v>
      </c>
      <c r="F9" s="1">
        <v>1.0813443787983145E-3</v>
      </c>
      <c r="G9" s="1">
        <f t="shared" si="2"/>
        <v>0.24395647280010829</v>
      </c>
      <c r="H9" s="1">
        <f t="shared" si="1"/>
        <v>0.75604352719989176</v>
      </c>
      <c r="I9" s="1">
        <f t="shared" si="3"/>
        <v>0.24395647280010829</v>
      </c>
      <c r="J9">
        <v>300</v>
      </c>
      <c r="K9">
        <v>600</v>
      </c>
      <c r="L9">
        <f t="shared" si="4"/>
        <v>373.18694184003255</v>
      </c>
      <c r="P9">
        <v>-5.9999999999999995E-4</v>
      </c>
      <c r="Q9">
        <v>66.751645350000004</v>
      </c>
      <c r="R9">
        <v>54.416788062617606</v>
      </c>
      <c r="S9">
        <v>59.20169010853359</v>
      </c>
      <c r="T9">
        <v>73.427034031673458</v>
      </c>
    </row>
    <row r="10" spans="1:20" x14ac:dyDescent="0.25">
      <c r="A10">
        <v>7</v>
      </c>
      <c r="B10" s="1">
        <v>0.44812906116961682</v>
      </c>
      <c r="C10" s="1">
        <v>1.2E-4</v>
      </c>
      <c r="D10" s="5">
        <f t="shared" si="5"/>
        <v>3.1757644787421501E-4</v>
      </c>
      <c r="E10" s="1">
        <f t="shared" si="0"/>
        <v>5.3775487340354018E-5</v>
      </c>
      <c r="F10" s="1">
        <v>1.0813443787983145E-3</v>
      </c>
      <c r="G10" s="1">
        <f t="shared" si="2"/>
        <v>0.29368668677700444</v>
      </c>
      <c r="H10" s="1">
        <f t="shared" si="1"/>
        <v>0.70631331322299551</v>
      </c>
      <c r="I10" s="1">
        <f t="shared" si="3"/>
        <v>0.29368668677700444</v>
      </c>
      <c r="J10">
        <v>300</v>
      </c>
      <c r="K10">
        <v>600</v>
      </c>
      <c r="L10">
        <f t="shared" si="4"/>
        <v>388.10600603310132</v>
      </c>
      <c r="P10">
        <v>-4.8000000000000001E-4</v>
      </c>
      <c r="Q10">
        <v>80.671786330000003</v>
      </c>
      <c r="R10">
        <v>66.392087658111095</v>
      </c>
      <c r="S10">
        <v>73.186941840032489</v>
      </c>
      <c r="T10">
        <v>86.684588166133565</v>
      </c>
    </row>
    <row r="11" spans="1:20" x14ac:dyDescent="0.25">
      <c r="A11">
        <v>8</v>
      </c>
      <c r="B11" s="1">
        <v>0.48019207683073228</v>
      </c>
      <c r="C11" s="1">
        <v>1.2E-4</v>
      </c>
      <c r="D11" s="5">
        <f t="shared" si="5"/>
        <v>3.7519949709390288E-4</v>
      </c>
      <c r="E11" s="1">
        <f t="shared" si="0"/>
        <v>5.7623049219687876E-5</v>
      </c>
      <c r="F11" s="1">
        <v>1.0813443787983145E-3</v>
      </c>
      <c r="G11" s="1">
        <f t="shared" si="2"/>
        <v>0.34697502890879012</v>
      </c>
      <c r="H11" s="1">
        <f t="shared" si="1"/>
        <v>0.65302497109120994</v>
      </c>
      <c r="I11" s="1">
        <f t="shared" si="3"/>
        <v>0.34697502890879012</v>
      </c>
      <c r="J11">
        <v>300</v>
      </c>
      <c r="K11">
        <v>600</v>
      </c>
      <c r="L11">
        <f t="shared" si="4"/>
        <v>404.09250867263705</v>
      </c>
      <c r="P11">
        <v>-3.6000000000000002E-4</v>
      </c>
      <c r="Q11">
        <v>94.794718119999999</v>
      </c>
      <c r="R11">
        <v>78.79080291954827</v>
      </c>
      <c r="S11">
        <v>88.106006033101337</v>
      </c>
      <c r="T11">
        <v>99.535168616264031</v>
      </c>
    </row>
    <row r="12" spans="1:20" x14ac:dyDescent="0.25">
      <c r="A12">
        <v>9</v>
      </c>
      <c r="B12" s="1">
        <v>0.51719679337988111</v>
      </c>
      <c r="C12" s="1">
        <v>1.2E-4</v>
      </c>
      <c r="D12" s="5">
        <f t="shared" si="5"/>
        <v>4.3726311229948863E-4</v>
      </c>
      <c r="E12" s="1">
        <f t="shared" si="0"/>
        <v>6.2063615205585739E-5</v>
      </c>
      <c r="F12" s="1">
        <v>1.0813443787983145E-3</v>
      </c>
      <c r="G12" s="1">
        <f t="shared" si="2"/>
        <v>0.4043698944321642</v>
      </c>
      <c r="H12" s="1">
        <f t="shared" si="1"/>
        <v>0.5956301055678358</v>
      </c>
      <c r="I12" s="1">
        <f t="shared" si="3"/>
        <v>0.4043698944321642</v>
      </c>
      <c r="J12">
        <v>300</v>
      </c>
      <c r="K12">
        <v>600</v>
      </c>
      <c r="L12">
        <f t="shared" si="4"/>
        <v>421.31096832964926</v>
      </c>
      <c r="P12">
        <v>-2.4000000000000001E-4</v>
      </c>
      <c r="Q12">
        <v>109.1264367</v>
      </c>
      <c r="R12">
        <v>91.643973082998286</v>
      </c>
      <c r="S12">
        <v>104.09250867263704</v>
      </c>
      <c r="T12">
        <v>112.00301735836044</v>
      </c>
    </row>
    <row r="13" spans="1:20" x14ac:dyDescent="0.25">
      <c r="A13">
        <v>10</v>
      </c>
      <c r="B13" s="1">
        <v>0.56038105912020175</v>
      </c>
      <c r="C13" s="1">
        <v>1.2E-4</v>
      </c>
      <c r="D13" s="5">
        <f t="shared" si="5"/>
        <v>5.0450883939391286E-4</v>
      </c>
      <c r="E13" s="1">
        <f t="shared" si="0"/>
        <v>6.7245727094424217E-5</v>
      </c>
      <c r="F13" s="1">
        <v>1.0813443787983145E-3</v>
      </c>
      <c r="G13" s="1">
        <f t="shared" si="2"/>
        <v>0.46655704628951578</v>
      </c>
      <c r="H13" s="1">
        <f t="shared" si="1"/>
        <v>0.53344295371048422</v>
      </c>
      <c r="I13" s="1">
        <f t="shared" si="3"/>
        <v>0.46655704628951578</v>
      </c>
      <c r="J13">
        <v>300</v>
      </c>
      <c r="K13">
        <v>600</v>
      </c>
      <c r="L13">
        <f t="shared" si="4"/>
        <v>439.96711388685469</v>
      </c>
      <c r="P13">
        <v>-1.2E-4</v>
      </c>
      <c r="Q13">
        <v>123.6732078</v>
      </c>
      <c r="R13">
        <v>104.98618032462751</v>
      </c>
      <c r="S13">
        <v>121.31096832964926</v>
      </c>
      <c r="T13">
        <v>124.11027300119798</v>
      </c>
    </row>
    <row r="14" spans="1:20" x14ac:dyDescent="0.25">
      <c r="A14">
        <v>11</v>
      </c>
      <c r="B14" s="1">
        <v>0.5715918833952558</v>
      </c>
      <c r="C14" s="1">
        <v>1.2E-4</v>
      </c>
      <c r="D14" s="5">
        <f t="shared" si="5"/>
        <v>5.7309986540134356E-4</v>
      </c>
      <c r="E14" s="1">
        <f t="shared" si="0"/>
        <v>6.85910260074307E-5</v>
      </c>
      <c r="F14" s="1">
        <v>1.0813443787983145E-3</v>
      </c>
      <c r="G14" s="1">
        <f t="shared" si="2"/>
        <v>0.52998829664072677</v>
      </c>
      <c r="H14" s="1">
        <f t="shared" si="1"/>
        <v>0.47001170335927323</v>
      </c>
      <c r="I14" s="1">
        <f t="shared" si="3"/>
        <v>0.52998829664072677</v>
      </c>
      <c r="J14">
        <v>300</v>
      </c>
      <c r="K14">
        <v>600</v>
      </c>
      <c r="L14">
        <f t="shared" si="4"/>
        <v>458.99648899221802</v>
      </c>
      <c r="P14">
        <v>0</v>
      </c>
      <c r="Q14">
        <v>138.4415837</v>
      </c>
      <c r="R14">
        <v>118.85611029464451</v>
      </c>
      <c r="S14">
        <v>139.96711388685472</v>
      </c>
      <c r="T14">
        <v>135.87720727923065</v>
      </c>
    </row>
    <row r="15" spans="1:20" x14ac:dyDescent="0.25">
      <c r="A15">
        <v>12</v>
      </c>
      <c r="B15" s="1">
        <v>0.5468963631391851</v>
      </c>
      <c r="C15" s="1">
        <v>1.2E-4</v>
      </c>
      <c r="D15" s="5">
        <f t="shared" si="5"/>
        <v>6.3872742897804575E-4</v>
      </c>
      <c r="E15" s="1">
        <f t="shared" si="0"/>
        <v>6.562756357670222E-5</v>
      </c>
      <c r="F15" s="1">
        <v>1.0813443787983145E-3</v>
      </c>
      <c r="G15" s="1">
        <f t="shared" si="2"/>
        <v>0.59067901170194848</v>
      </c>
      <c r="H15" s="1">
        <f t="shared" si="1"/>
        <v>0.40932098829805152</v>
      </c>
      <c r="I15" s="1">
        <f t="shared" si="3"/>
        <v>0.59067901170194848</v>
      </c>
      <c r="J15">
        <v>300</v>
      </c>
      <c r="K15">
        <v>600</v>
      </c>
      <c r="L15">
        <f t="shared" si="4"/>
        <v>477.20370351058455</v>
      </c>
      <c r="P15">
        <v>1.2E-4</v>
      </c>
      <c r="Q15">
        <v>153.4384206</v>
      </c>
      <c r="R15">
        <v>133.29722807005163</v>
      </c>
      <c r="S15">
        <v>158.99648899221802</v>
      </c>
      <c r="T15">
        <v>147.79252660490556</v>
      </c>
    </row>
    <row r="16" spans="1:20" x14ac:dyDescent="0.25">
      <c r="A16">
        <v>13</v>
      </c>
      <c r="B16" s="1">
        <v>0.52424639580602883</v>
      </c>
      <c r="C16" s="1">
        <v>1.2E-4</v>
      </c>
      <c r="D16" s="5">
        <f t="shared" si="5"/>
        <v>7.0163699647476918E-4</v>
      </c>
      <c r="E16" s="1">
        <f t="shared" si="0"/>
        <v>6.2909567496723459E-5</v>
      </c>
      <c r="F16" s="1">
        <v>1.0813443787983145E-3</v>
      </c>
      <c r="G16" s="1">
        <f t="shared" si="2"/>
        <v>0.64885619256142091</v>
      </c>
      <c r="H16" s="1">
        <f t="shared" si="1"/>
        <v>0.35114380743857909</v>
      </c>
      <c r="I16" s="1">
        <f t="shared" si="3"/>
        <v>0.64885619256142091</v>
      </c>
      <c r="J16">
        <v>300</v>
      </c>
      <c r="K16">
        <v>600</v>
      </c>
      <c r="L16">
        <f t="shared" si="4"/>
        <v>494.65685776842628</v>
      </c>
      <c r="P16">
        <v>2.4000000000000001E-4</v>
      </c>
      <c r="Q16">
        <v>168.67089809999999</v>
      </c>
      <c r="R16">
        <v>148.35859926998603</v>
      </c>
      <c r="S16">
        <v>177.20370351058455</v>
      </c>
      <c r="T16">
        <v>160.38379589423002</v>
      </c>
    </row>
    <row r="17" spans="1:20" x14ac:dyDescent="0.25">
      <c r="A17">
        <v>14</v>
      </c>
      <c r="B17" s="1">
        <v>0.50339793606846217</v>
      </c>
      <c r="C17" s="1">
        <v>1.2E-4</v>
      </c>
      <c r="D17" s="5">
        <f t="shared" si="5"/>
        <v>7.6204474880298459E-4</v>
      </c>
      <c r="E17" s="1">
        <f t="shared" si="0"/>
        <v>6.0407752328215465E-5</v>
      </c>
      <c r="F17" s="1">
        <v>1.0813443787983145E-3</v>
      </c>
      <c r="G17" s="1">
        <f t="shared" si="2"/>
        <v>0.70471975787198904</v>
      </c>
      <c r="H17" s="1">
        <f t="shared" si="1"/>
        <v>0.29528024212801096</v>
      </c>
      <c r="I17" s="1">
        <f t="shared" si="3"/>
        <v>0.70471975787198904</v>
      </c>
      <c r="J17">
        <v>300</v>
      </c>
      <c r="K17">
        <v>600</v>
      </c>
      <c r="L17">
        <f t="shared" si="4"/>
        <v>511.41592736159669</v>
      </c>
      <c r="P17">
        <v>3.6000000000000002E-4</v>
      </c>
      <c r="Q17">
        <v>184.14653949999999</v>
      </c>
      <c r="R17">
        <v>164.09589542133213</v>
      </c>
      <c r="S17">
        <v>194.65685776842628</v>
      </c>
      <c r="T17">
        <v>173.73232012769552</v>
      </c>
    </row>
    <row r="18" spans="1:20" x14ac:dyDescent="0.25">
      <c r="A18">
        <v>15</v>
      </c>
      <c r="B18" s="1">
        <v>0.48414427499394819</v>
      </c>
      <c r="C18" s="1">
        <v>1.2E-4</v>
      </c>
      <c r="D18" s="5">
        <f t="shared" si="5"/>
        <v>8.2014206180225835E-4</v>
      </c>
      <c r="E18" s="1">
        <f t="shared" si="0"/>
        <v>5.8097312999273787E-5</v>
      </c>
      <c r="F18" s="1">
        <v>1.0813443787983145E-3</v>
      </c>
      <c r="G18" s="1">
        <f t="shared" si="2"/>
        <v>0.75844668718181418</v>
      </c>
      <c r="H18" s="1">
        <f t="shared" si="1"/>
        <v>0.24155331281818582</v>
      </c>
      <c r="I18" s="1">
        <f t="shared" si="3"/>
        <v>0.75844668718181418</v>
      </c>
      <c r="J18">
        <v>300</v>
      </c>
      <c r="K18">
        <v>600</v>
      </c>
      <c r="L18">
        <f t="shared" si="4"/>
        <v>527.53400615454427</v>
      </c>
      <c r="P18">
        <v>4.8000000000000001E-4</v>
      </c>
      <c r="Q18">
        <v>199.87323409999999</v>
      </c>
      <c r="R18">
        <v>180.57263551850247</v>
      </c>
      <c r="S18">
        <v>211.41592736159672</v>
      </c>
      <c r="T18">
        <v>187.93501232800074</v>
      </c>
    </row>
    <row r="19" spans="1:20" x14ac:dyDescent="0.25">
      <c r="A19">
        <v>16</v>
      </c>
      <c r="B19" s="1">
        <v>0.46630916297505248</v>
      </c>
      <c r="C19" s="1">
        <v>1.2E-4</v>
      </c>
      <c r="D19" s="5">
        <f t="shared" si="5"/>
        <v>8.7609916135926468E-4</v>
      </c>
      <c r="E19" s="1">
        <f t="shared" si="0"/>
        <v>5.5957099557006302E-5</v>
      </c>
      <c r="F19" s="1">
        <v>1.0813443787983145E-3</v>
      </c>
      <c r="G19" s="1">
        <f t="shared" si="2"/>
        <v>0.81019440109622021</v>
      </c>
      <c r="H19" s="1">
        <f t="shared" si="1"/>
        <v>0.18980559890377979</v>
      </c>
      <c r="I19" s="1">
        <f t="shared" si="3"/>
        <v>0.81019440109622021</v>
      </c>
      <c r="J19">
        <v>300</v>
      </c>
      <c r="K19">
        <v>600</v>
      </c>
      <c r="L19">
        <f t="shared" si="4"/>
        <v>543.0583203288661</v>
      </c>
      <c r="P19">
        <v>5.9999999999999995E-4</v>
      </c>
      <c r="Q19">
        <v>215.85926169999999</v>
      </c>
      <c r="R19">
        <v>197.8617336483307</v>
      </c>
      <c r="S19">
        <v>227.53400615454424</v>
      </c>
      <c r="T19">
        <v>203.10866169180471</v>
      </c>
    </row>
    <row r="20" spans="1:20" x14ac:dyDescent="0.25">
      <c r="A20">
        <v>17</v>
      </c>
      <c r="B20" s="1">
        <v>0.44974139869574992</v>
      </c>
      <c r="C20" s="1">
        <v>1.2E-4</v>
      </c>
      <c r="D20" s="5">
        <f t="shared" si="5"/>
        <v>9.3006812920275466E-4</v>
      </c>
      <c r="E20" s="1">
        <f t="shared" si="0"/>
        <v>5.3968967843489992E-5</v>
      </c>
      <c r="F20" s="1">
        <v>1.0813443787983145E-3</v>
      </c>
      <c r="G20" s="1">
        <f t="shared" si="2"/>
        <v>0.86010354096104757</v>
      </c>
      <c r="H20" s="1">
        <f t="shared" si="1"/>
        <v>0.13989645903895243</v>
      </c>
      <c r="I20" s="1">
        <f t="shared" si="3"/>
        <v>0.86010354096104757</v>
      </c>
      <c r="J20">
        <v>300</v>
      </c>
      <c r="K20">
        <v>600</v>
      </c>
      <c r="L20">
        <f t="shared" si="4"/>
        <v>558.03106228831427</v>
      </c>
      <c r="P20">
        <v>7.2000000000000005E-4</v>
      </c>
      <c r="Q20">
        <v>232.11331849999999</v>
      </c>
      <c r="R20">
        <v>216.04744791566975</v>
      </c>
      <c r="S20">
        <v>243.05832032886607</v>
      </c>
      <c r="T20">
        <v>219.39576771909393</v>
      </c>
    </row>
    <row r="21" spans="1:20" x14ac:dyDescent="0.25">
      <c r="A21">
        <v>18</v>
      </c>
      <c r="B21" s="1">
        <v>0.43431053203040171</v>
      </c>
      <c r="C21" s="1">
        <v>1.2E-4</v>
      </c>
      <c r="D21" s="5">
        <f t="shared" si="5"/>
        <v>9.8218539304640294E-4</v>
      </c>
      <c r="E21" s="1">
        <f t="shared" si="0"/>
        <v>5.2117263843648206E-5</v>
      </c>
      <c r="F21" s="1">
        <v>1.0813443787983145E-3</v>
      </c>
      <c r="G21" s="1">
        <f t="shared" si="2"/>
        <v>0.90830027168393312</v>
      </c>
      <c r="H21" s="1">
        <f t="shared" si="1"/>
        <v>9.1699728316066875E-2</v>
      </c>
      <c r="I21" s="1">
        <f t="shared" si="3"/>
        <v>0.90830027168393312</v>
      </c>
      <c r="J21">
        <v>300</v>
      </c>
      <c r="K21">
        <v>600</v>
      </c>
      <c r="L21">
        <f t="shared" si="4"/>
        <v>572.49008150518</v>
      </c>
      <c r="P21">
        <v>8.4000000000000003E-4</v>
      </c>
      <c r="Q21">
        <v>248.64454559999999</v>
      </c>
      <c r="R21">
        <v>235.22786236885617</v>
      </c>
      <c r="S21">
        <v>258.03106228831427</v>
      </c>
      <c r="T21">
        <v>236.972684428321</v>
      </c>
    </row>
    <row r="22" spans="1:20" x14ac:dyDescent="0.25">
      <c r="A22">
        <v>19</v>
      </c>
      <c r="B22" s="1">
        <v>0.41990342221289106</v>
      </c>
      <c r="C22" s="1">
        <v>1.2E-4</v>
      </c>
      <c r="D22" s="5">
        <f t="shared" si="5"/>
        <v>1.0325738037119498E-3</v>
      </c>
      <c r="E22" s="1">
        <f t="shared" si="0"/>
        <v>5.038841066554693E-5</v>
      </c>
      <c r="F22" s="1">
        <v>1.0813443787983145E-3</v>
      </c>
      <c r="G22" s="1">
        <f t="shared" si="2"/>
        <v>0.95489820260538749</v>
      </c>
      <c r="H22" s="1">
        <f t="shared" si="1"/>
        <v>4.5101797394612508E-2</v>
      </c>
      <c r="I22" s="1">
        <f t="shared" si="3"/>
        <v>0.95489820260538749</v>
      </c>
      <c r="J22">
        <v>300</v>
      </c>
      <c r="K22">
        <v>600</v>
      </c>
      <c r="L22">
        <f t="shared" si="4"/>
        <v>586.46946078161625</v>
      </c>
      <c r="P22">
        <v>9.6000000000000002E-4</v>
      </c>
      <c r="Q22">
        <v>265.46255980000001</v>
      </c>
      <c r="R22">
        <v>255.51808696650366</v>
      </c>
      <c r="S22">
        <v>272.49008150517994</v>
      </c>
      <c r="T22">
        <v>256.06126670157391</v>
      </c>
    </row>
    <row r="23" spans="1:20" x14ac:dyDescent="0.25">
      <c r="A23">
        <v>20</v>
      </c>
      <c r="B23" s="1">
        <v>0.406421459053038</v>
      </c>
      <c r="C23" s="1">
        <v>1.2E-4</v>
      </c>
      <c r="D23" s="5">
        <f t="shared" si="5"/>
        <v>1.0813443787983145E-3</v>
      </c>
      <c r="E23" s="1">
        <f t="shared" si="0"/>
        <v>4.8770575086364559E-5</v>
      </c>
      <c r="F23" s="1">
        <v>1.0813443787983145E-3</v>
      </c>
      <c r="G23" s="1">
        <f t="shared" si="2"/>
        <v>1</v>
      </c>
      <c r="H23" s="1">
        <f t="shared" si="1"/>
        <v>0</v>
      </c>
      <c r="I23" s="1">
        <f t="shared" si="3"/>
        <v>1</v>
      </c>
      <c r="J23">
        <v>300</v>
      </c>
      <c r="K23">
        <v>600</v>
      </c>
      <c r="L23">
        <f t="shared" si="4"/>
        <v>600</v>
      </c>
      <c r="P23">
        <v>1.08E-3</v>
      </c>
      <c r="Q23">
        <v>282.57748720000001</v>
      </c>
      <c r="R23">
        <v>277.05444017762483</v>
      </c>
      <c r="S23">
        <v>286.46946078161625</v>
      </c>
      <c r="T23">
        <v>276.9459959648583</v>
      </c>
    </row>
    <row r="24" spans="1:20" x14ac:dyDescent="0.25">
      <c r="P24">
        <v>1.1999999999999999E-3</v>
      </c>
      <c r="Q24">
        <v>300</v>
      </c>
      <c r="R24">
        <v>300</v>
      </c>
      <c r="S24">
        <v>300</v>
      </c>
      <c r="T24">
        <v>300</v>
      </c>
    </row>
    <row r="36" spans="2:20" x14ac:dyDescent="0.2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</row>
    <row r="37" spans="2:20" x14ac:dyDescent="0.2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2:20" x14ac:dyDescent="0.2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</row>
    <row r="41" spans="2:20" x14ac:dyDescent="0.2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</row>
    <row r="42" spans="2:20" x14ac:dyDescent="0.2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</row>
    <row r="43" spans="2:20" x14ac:dyDescent="0.2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</row>
    <row r="48" spans="2:20" x14ac:dyDescent="0.2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</row>
    <row r="49" spans="2:20" x14ac:dyDescent="0.2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workbookViewId="0">
      <selection activeCell="L4" sqref="L4:L23"/>
    </sheetView>
  </sheetViews>
  <sheetFormatPr defaultRowHeight="14" x14ac:dyDescent="0.25"/>
  <cols>
    <col min="4" max="4" width="10.7265625" customWidth="1"/>
    <col min="6" max="6" width="10.7265625" customWidth="1"/>
  </cols>
  <sheetData>
    <row r="1" spans="1:12" x14ac:dyDescent="0.25">
      <c r="A1" s="2" t="s">
        <v>247</v>
      </c>
    </row>
    <row r="3" spans="1:12" x14ac:dyDescent="0.25">
      <c r="A3" t="s">
        <v>248</v>
      </c>
      <c r="B3" t="s">
        <v>249</v>
      </c>
      <c r="C3" t="s">
        <v>250</v>
      </c>
      <c r="D3" t="s">
        <v>251</v>
      </c>
      <c r="E3" t="s">
        <v>252</v>
      </c>
      <c r="F3" t="s">
        <v>253</v>
      </c>
      <c r="G3" t="s">
        <v>254</v>
      </c>
      <c r="H3" s="3" t="s">
        <v>255</v>
      </c>
      <c r="I3" t="s">
        <v>256</v>
      </c>
      <c r="J3" t="s">
        <v>257</v>
      </c>
      <c r="K3" t="s">
        <v>258</v>
      </c>
      <c r="L3" t="s">
        <v>259</v>
      </c>
    </row>
    <row r="4" spans="1:12" x14ac:dyDescent="0.25">
      <c r="A4">
        <v>1</v>
      </c>
      <c r="B4" s="1">
        <v>0.4763038818766373</v>
      </c>
      <c r="C4" s="1">
        <v>1.2E-4</v>
      </c>
      <c r="D4" s="5">
        <f>B4*C4</f>
        <v>5.7156465825196477E-5</v>
      </c>
      <c r="E4" s="1">
        <f t="shared" ref="E4:E23" si="0">B4*C4</f>
        <v>5.7156465825196477E-5</v>
      </c>
      <c r="F4" s="1">
        <f>SUM(E4:E23)</f>
        <v>1.0885680498303304E-3</v>
      </c>
      <c r="G4" s="1">
        <f>D4/F4</f>
        <v>5.2506102704470488E-2</v>
      </c>
      <c r="H4" s="1">
        <f t="shared" ref="H4:H23" si="1">1-I4</f>
        <v>0.94749389729552946</v>
      </c>
      <c r="I4" s="1">
        <f>D4/F4</f>
        <v>5.2506102704470488E-2</v>
      </c>
      <c r="J4">
        <v>300</v>
      </c>
      <c r="K4">
        <v>600</v>
      </c>
      <c r="L4">
        <f>J4*H4+K4*I4</f>
        <v>315.75183081134111</v>
      </c>
    </row>
    <row r="5" spans="1:12" x14ac:dyDescent="0.25">
      <c r="A5">
        <v>2</v>
      </c>
      <c r="B5" s="1">
        <v>0.45903144365389037</v>
      </c>
      <c r="C5" s="1">
        <v>1.2E-4</v>
      </c>
      <c r="D5" s="5">
        <f>B5*C5+D4</f>
        <v>1.1224023906366332E-4</v>
      </c>
      <c r="E5" s="1">
        <f t="shared" si="0"/>
        <v>5.5083773238466848E-5</v>
      </c>
      <c r="F5" s="1">
        <v>1.0885680498303304E-3</v>
      </c>
      <c r="G5" s="1">
        <f t="shared" ref="G5:G23" si="2">D5/F5</f>
        <v>0.10310815119106026</v>
      </c>
      <c r="H5" s="1">
        <f t="shared" si="1"/>
        <v>0.89689184880893968</v>
      </c>
      <c r="I5" s="1">
        <f t="shared" ref="I5:I23" si="3">D5/F5</f>
        <v>0.10310815119106026</v>
      </c>
      <c r="J5">
        <v>300</v>
      </c>
      <c r="K5">
        <v>600</v>
      </c>
      <c r="L5">
        <f t="shared" ref="L5:L23" si="4">J5*H5+K5*I5</f>
        <v>330.93244535731804</v>
      </c>
    </row>
    <row r="6" spans="1:12" x14ac:dyDescent="0.25">
      <c r="A6">
        <v>3</v>
      </c>
      <c r="B6" s="1">
        <v>0.44296788482834987</v>
      </c>
      <c r="C6" s="1">
        <v>1.2E-4</v>
      </c>
      <c r="D6" s="5">
        <f t="shared" ref="D6:D23" si="5">B6*C6+D5</f>
        <v>1.6539638524306531E-4</v>
      </c>
      <c r="E6" s="1">
        <f t="shared" si="0"/>
        <v>5.3156146179401988E-5</v>
      </c>
      <c r="F6" s="1">
        <v>1.0885680498303304E-3</v>
      </c>
      <c r="G6" s="1">
        <f t="shared" si="2"/>
        <v>0.15193940816914919</v>
      </c>
      <c r="H6" s="1">
        <f t="shared" si="1"/>
        <v>0.84806059183085081</v>
      </c>
      <c r="I6" s="1">
        <f t="shared" si="3"/>
        <v>0.15193940816914919</v>
      </c>
      <c r="J6">
        <v>300</v>
      </c>
      <c r="K6">
        <v>600</v>
      </c>
      <c r="L6">
        <f t="shared" si="4"/>
        <v>345.58182245074477</v>
      </c>
    </row>
    <row r="7" spans="1:12" x14ac:dyDescent="0.25">
      <c r="A7">
        <v>4</v>
      </c>
      <c r="B7" s="1">
        <v>0.42799058420714742</v>
      </c>
      <c r="C7" s="1">
        <v>1.2E-4</v>
      </c>
      <c r="D7" s="5">
        <f t="shared" si="5"/>
        <v>2.1675525534792299E-4</v>
      </c>
      <c r="E7" s="1">
        <f t="shared" si="0"/>
        <v>5.135887010485769E-5</v>
      </c>
      <c r="F7" s="1">
        <v>1.0885680498303304E-3</v>
      </c>
      <c r="G7" s="1">
        <f t="shared" si="2"/>
        <v>0.19911961900930999</v>
      </c>
      <c r="H7" s="1">
        <f t="shared" si="1"/>
        <v>0.80088038099069003</v>
      </c>
      <c r="I7" s="1">
        <f t="shared" si="3"/>
        <v>0.19911961900930999</v>
      </c>
      <c r="J7">
        <v>300</v>
      </c>
      <c r="K7">
        <v>600</v>
      </c>
      <c r="L7">
        <f t="shared" si="4"/>
        <v>359.73588570279298</v>
      </c>
    </row>
    <row r="8" spans="1:12" x14ac:dyDescent="0.25">
      <c r="A8">
        <v>5</v>
      </c>
      <c r="B8" s="1">
        <v>0.41399296211964398</v>
      </c>
      <c r="C8" s="1">
        <v>1.2E-4</v>
      </c>
      <c r="D8" s="5">
        <f t="shared" si="5"/>
        <v>2.6643441080228029E-4</v>
      </c>
      <c r="E8" s="1">
        <f t="shared" si="0"/>
        <v>4.9679155454357276E-5</v>
      </c>
      <c r="F8" s="1">
        <v>1.0885680498303304E-3</v>
      </c>
      <c r="G8" s="1">
        <f t="shared" si="2"/>
        <v>0.24475678010557819</v>
      </c>
      <c r="H8" s="1">
        <f t="shared" si="1"/>
        <v>0.75524321989442178</v>
      </c>
      <c r="I8" s="1">
        <f t="shared" si="3"/>
        <v>0.24475678010557819</v>
      </c>
      <c r="J8">
        <v>300</v>
      </c>
      <c r="K8">
        <v>600</v>
      </c>
      <c r="L8">
        <f t="shared" si="4"/>
        <v>373.42703403167343</v>
      </c>
    </row>
    <row r="9" spans="1:12" x14ac:dyDescent="0.25">
      <c r="A9">
        <v>6</v>
      </c>
      <c r="B9" s="1">
        <v>0.40088194026859086</v>
      </c>
      <c r="C9" s="1">
        <v>1.2E-4</v>
      </c>
      <c r="D9" s="5">
        <f t="shared" si="5"/>
        <v>3.145402436345112E-4</v>
      </c>
      <c r="E9" s="1">
        <f t="shared" si="0"/>
        <v>4.8105832832230908E-5</v>
      </c>
      <c r="F9" s="1">
        <v>1.0885680498303304E-3</v>
      </c>
      <c r="G9" s="1">
        <f t="shared" si="2"/>
        <v>0.28894862722044523</v>
      </c>
      <c r="H9" s="1">
        <f t="shared" si="1"/>
        <v>0.71105137277955477</v>
      </c>
      <c r="I9" s="1">
        <f t="shared" si="3"/>
        <v>0.28894862722044523</v>
      </c>
      <c r="J9">
        <v>300</v>
      </c>
      <c r="K9">
        <v>600</v>
      </c>
      <c r="L9">
        <f t="shared" si="4"/>
        <v>386.68458816613355</v>
      </c>
    </row>
    <row r="10" spans="1:12" x14ac:dyDescent="0.25">
      <c r="A10">
        <v>7</v>
      </c>
      <c r="B10" s="1">
        <v>0.38857586943850786</v>
      </c>
      <c r="C10" s="1">
        <v>1.2E-4</v>
      </c>
      <c r="D10" s="5">
        <f t="shared" si="5"/>
        <v>3.6116934796713216E-4</v>
      </c>
      <c r="E10" s="1">
        <f t="shared" si="0"/>
        <v>4.6629104332620943E-5</v>
      </c>
      <c r="F10" s="1">
        <v>1.0885680498303304E-3</v>
      </c>
      <c r="G10" s="1">
        <f t="shared" si="2"/>
        <v>0.33178389538754677</v>
      </c>
      <c r="H10" s="1">
        <f t="shared" si="1"/>
        <v>0.66821610461245329</v>
      </c>
      <c r="I10" s="1">
        <f t="shared" si="3"/>
        <v>0.33178389538754677</v>
      </c>
      <c r="J10">
        <v>300</v>
      </c>
      <c r="K10">
        <v>600</v>
      </c>
      <c r="L10">
        <f t="shared" si="4"/>
        <v>399.53516861626406</v>
      </c>
    </row>
    <row r="11" spans="1:12" x14ac:dyDescent="0.25">
      <c r="A11">
        <v>8</v>
      </c>
      <c r="B11" s="1">
        <v>0.37700282752120645</v>
      </c>
      <c r="C11" s="1">
        <v>1.2E-4</v>
      </c>
      <c r="D11" s="5">
        <f t="shared" si="5"/>
        <v>4.0640968726967692E-4</v>
      </c>
      <c r="E11" s="1">
        <f t="shared" si="0"/>
        <v>4.5240339302544774E-5</v>
      </c>
      <c r="F11" s="1">
        <v>1.0885680498303304E-3</v>
      </c>
      <c r="G11" s="1">
        <f t="shared" si="2"/>
        <v>0.3733433911945348</v>
      </c>
      <c r="H11" s="1">
        <f t="shared" si="1"/>
        <v>0.62665660880546525</v>
      </c>
      <c r="I11" s="1">
        <f t="shared" si="3"/>
        <v>0.3733433911945348</v>
      </c>
      <c r="J11">
        <v>300</v>
      </c>
      <c r="K11">
        <v>600</v>
      </c>
      <c r="L11">
        <f t="shared" si="4"/>
        <v>412.00301735836047</v>
      </c>
    </row>
    <row r="12" spans="1:12" x14ac:dyDescent="0.25">
      <c r="A12">
        <v>9</v>
      </c>
      <c r="B12" s="1">
        <v>0.36609921288669228</v>
      </c>
      <c r="C12" s="1">
        <v>1.2E-4</v>
      </c>
      <c r="D12" s="5">
        <f t="shared" si="5"/>
        <v>4.5034159281608001E-4</v>
      </c>
      <c r="E12" s="1">
        <f t="shared" si="0"/>
        <v>4.3931905546403077E-5</v>
      </c>
      <c r="F12" s="1">
        <v>1.0885680498303304E-3</v>
      </c>
      <c r="G12" s="1">
        <f t="shared" si="2"/>
        <v>0.41370091000399328</v>
      </c>
      <c r="H12" s="1">
        <f t="shared" si="1"/>
        <v>0.58629908999600677</v>
      </c>
      <c r="I12" s="1">
        <f t="shared" si="3"/>
        <v>0.41370091000399328</v>
      </c>
      <c r="J12">
        <v>300</v>
      </c>
      <c r="K12">
        <v>600</v>
      </c>
      <c r="L12">
        <f t="shared" si="4"/>
        <v>424.11027300119798</v>
      </c>
    </row>
    <row r="13" spans="1:12" x14ac:dyDescent="0.25">
      <c r="A13">
        <v>10</v>
      </c>
      <c r="B13" s="1">
        <v>0.35580857498665713</v>
      </c>
      <c r="C13" s="1">
        <v>1.2E-4</v>
      </c>
      <c r="D13" s="5">
        <f t="shared" si="5"/>
        <v>4.9303862181447893E-4</v>
      </c>
      <c r="E13" s="1">
        <f t="shared" si="0"/>
        <v>4.2697028998398858E-5</v>
      </c>
      <c r="F13" s="1">
        <v>1.0885680498303304E-3</v>
      </c>
      <c r="G13" s="1">
        <f t="shared" si="2"/>
        <v>0.45292402426410211</v>
      </c>
      <c r="H13" s="1">
        <f t="shared" si="1"/>
        <v>0.54707597573589783</v>
      </c>
      <c r="I13" s="1">
        <f t="shared" si="3"/>
        <v>0.45292402426410211</v>
      </c>
      <c r="J13">
        <v>300</v>
      </c>
      <c r="K13">
        <v>600</v>
      </c>
      <c r="L13">
        <f t="shared" si="4"/>
        <v>435.87720727923067</v>
      </c>
    </row>
    <row r="14" spans="1:12" x14ac:dyDescent="0.25">
      <c r="A14">
        <v>11</v>
      </c>
      <c r="B14" s="1">
        <v>0.36029544226265536</v>
      </c>
      <c r="C14" s="1">
        <v>1.2E-4</v>
      </c>
      <c r="D14" s="5">
        <f t="shared" si="5"/>
        <v>5.3627407488599757E-4</v>
      </c>
      <c r="E14" s="1">
        <f t="shared" si="0"/>
        <v>4.3235453071518645E-5</v>
      </c>
      <c r="F14" s="1">
        <v>1.0885680498303304E-3</v>
      </c>
      <c r="G14" s="1">
        <f t="shared" si="2"/>
        <v>0.49264175534968518</v>
      </c>
      <c r="H14" s="1">
        <f t="shared" si="1"/>
        <v>0.50735824465031487</v>
      </c>
      <c r="I14" s="1">
        <f t="shared" si="3"/>
        <v>0.49264175534968518</v>
      </c>
      <c r="J14">
        <v>300</v>
      </c>
      <c r="K14">
        <v>600</v>
      </c>
      <c r="L14">
        <f t="shared" si="4"/>
        <v>447.79252660490556</v>
      </c>
    </row>
    <row r="15" spans="1:12" x14ac:dyDescent="0.25">
      <c r="A15">
        <v>12</v>
      </c>
      <c r="B15" s="1">
        <v>0.38073481819912436</v>
      </c>
      <c r="C15" s="1">
        <v>1.2E-4</v>
      </c>
      <c r="D15" s="5">
        <f t="shared" si="5"/>
        <v>5.8196225306989251E-4</v>
      </c>
      <c r="E15" s="1">
        <f t="shared" si="0"/>
        <v>4.5688178183894926E-5</v>
      </c>
      <c r="F15" s="1">
        <v>1.0885680498303304E-3</v>
      </c>
      <c r="G15" s="1">
        <f t="shared" si="2"/>
        <v>0.53461265298076677</v>
      </c>
      <c r="H15" s="1">
        <f t="shared" si="1"/>
        <v>0.46538734701923323</v>
      </c>
      <c r="I15" s="1">
        <f t="shared" si="3"/>
        <v>0.53461265298076677</v>
      </c>
      <c r="J15">
        <v>300</v>
      </c>
      <c r="K15">
        <v>600</v>
      </c>
      <c r="L15">
        <f t="shared" si="4"/>
        <v>460.38379589423005</v>
      </c>
    </row>
    <row r="16" spans="1:12" x14ac:dyDescent="0.25">
      <c r="A16">
        <v>13</v>
      </c>
      <c r="B16" s="1">
        <v>0.40363269424823411</v>
      </c>
      <c r="C16" s="1">
        <v>1.2E-4</v>
      </c>
      <c r="D16" s="5">
        <f t="shared" si="5"/>
        <v>6.3039817637968061E-4</v>
      </c>
      <c r="E16" s="1">
        <f t="shared" si="0"/>
        <v>4.8435923309788095E-5</v>
      </c>
      <c r="F16" s="1">
        <v>1.0885680498303304E-3</v>
      </c>
      <c r="G16" s="1">
        <f t="shared" si="2"/>
        <v>0.57910773375898505</v>
      </c>
      <c r="H16" s="1">
        <f t="shared" si="1"/>
        <v>0.42089226624101495</v>
      </c>
      <c r="I16" s="1">
        <f t="shared" si="3"/>
        <v>0.57910773375898505</v>
      </c>
      <c r="J16">
        <v>300</v>
      </c>
      <c r="K16">
        <v>600</v>
      </c>
      <c r="L16">
        <f t="shared" si="4"/>
        <v>473.73232012769552</v>
      </c>
    </row>
    <row r="17" spans="1:12" x14ac:dyDescent="0.25">
      <c r="A17">
        <v>14</v>
      </c>
      <c r="B17" s="1">
        <v>0.42946102641185313</v>
      </c>
      <c r="C17" s="1">
        <v>1.2E-4</v>
      </c>
      <c r="D17" s="5">
        <f t="shared" si="5"/>
        <v>6.8193349954910295E-4</v>
      </c>
      <c r="E17" s="1">
        <f t="shared" si="0"/>
        <v>5.1535323169422375E-5</v>
      </c>
      <c r="F17" s="1">
        <v>1.0885680498303304E-3</v>
      </c>
      <c r="G17" s="1">
        <f t="shared" si="2"/>
        <v>0.6264500410933358</v>
      </c>
      <c r="H17" s="1">
        <f t="shared" si="1"/>
        <v>0.3735499589066642</v>
      </c>
      <c r="I17" s="1">
        <f t="shared" si="3"/>
        <v>0.6264500410933358</v>
      </c>
      <c r="J17">
        <v>300</v>
      </c>
      <c r="K17">
        <v>600</v>
      </c>
      <c r="L17">
        <f t="shared" si="4"/>
        <v>487.93501232800077</v>
      </c>
    </row>
    <row r="18" spans="1:12" x14ac:dyDescent="0.25">
      <c r="A18">
        <v>15</v>
      </c>
      <c r="B18" s="1">
        <v>0.45882083046570321</v>
      </c>
      <c r="C18" s="1">
        <v>1.2E-4</v>
      </c>
      <c r="D18" s="5">
        <f t="shared" si="5"/>
        <v>7.369919992049873E-4</v>
      </c>
      <c r="E18" s="1">
        <f t="shared" si="0"/>
        <v>5.505849965588439E-5</v>
      </c>
      <c r="F18" s="1">
        <v>1.0885680498303304E-3</v>
      </c>
      <c r="G18" s="1">
        <f t="shared" si="2"/>
        <v>0.67702887230601572</v>
      </c>
      <c r="H18" s="1">
        <f t="shared" si="1"/>
        <v>0.32297112769398428</v>
      </c>
      <c r="I18" s="1">
        <f t="shared" si="3"/>
        <v>0.67702887230601572</v>
      </c>
      <c r="J18">
        <v>300</v>
      </c>
      <c r="K18">
        <v>600</v>
      </c>
      <c r="L18">
        <f t="shared" si="4"/>
        <v>503.10866169180474</v>
      </c>
    </row>
    <row r="19" spans="1:12" x14ac:dyDescent="0.25">
      <c r="A19">
        <v>16</v>
      </c>
      <c r="B19" s="1">
        <v>0.49248953459738992</v>
      </c>
      <c r="C19" s="1">
        <v>1.2E-4</v>
      </c>
      <c r="D19" s="5">
        <f t="shared" si="5"/>
        <v>7.9609074335667412E-4</v>
      </c>
      <c r="E19" s="1">
        <f t="shared" si="0"/>
        <v>5.9098744151686793E-5</v>
      </c>
      <c r="F19" s="1">
        <v>1.0885680498303304E-3</v>
      </c>
      <c r="G19" s="1">
        <f t="shared" si="2"/>
        <v>0.73131922573031305</v>
      </c>
      <c r="H19" s="1">
        <f t="shared" si="1"/>
        <v>0.26868077426968695</v>
      </c>
      <c r="I19" s="1">
        <f t="shared" si="3"/>
        <v>0.73131922573031305</v>
      </c>
      <c r="J19">
        <v>300</v>
      </c>
      <c r="K19">
        <v>600</v>
      </c>
      <c r="L19">
        <f t="shared" si="4"/>
        <v>519.3957677190939</v>
      </c>
    </row>
    <row r="20" spans="1:12" x14ac:dyDescent="0.25">
      <c r="A20">
        <v>17</v>
      </c>
      <c r="B20" s="1">
        <v>0.53149083178315171</v>
      </c>
      <c r="C20" s="1">
        <v>1.2E-4</v>
      </c>
      <c r="D20" s="5">
        <f t="shared" si="5"/>
        <v>8.5986964317065235E-4</v>
      </c>
      <c r="E20" s="1">
        <f t="shared" si="0"/>
        <v>6.3778899813978209E-5</v>
      </c>
      <c r="F20" s="1">
        <v>1.0885680498303304E-3</v>
      </c>
      <c r="G20" s="1">
        <f t="shared" si="2"/>
        <v>0.78990894809440337</v>
      </c>
      <c r="H20" s="1">
        <f t="shared" si="1"/>
        <v>0.21009105190559663</v>
      </c>
      <c r="I20" s="1">
        <f t="shared" si="3"/>
        <v>0.78990894809440337</v>
      </c>
      <c r="J20">
        <v>300</v>
      </c>
      <c r="K20">
        <v>600</v>
      </c>
      <c r="L20">
        <f t="shared" si="4"/>
        <v>536.97268442832103</v>
      </c>
    </row>
    <row r="21" spans="1:12" x14ac:dyDescent="0.25">
      <c r="A21">
        <v>18</v>
      </c>
      <c r="B21" s="1">
        <v>0.57720057720057727</v>
      </c>
      <c r="C21" s="1">
        <v>1.2E-4</v>
      </c>
      <c r="D21" s="5">
        <f t="shared" si="5"/>
        <v>9.2913371243472163E-4</v>
      </c>
      <c r="E21" s="1">
        <f t="shared" si="0"/>
        <v>6.9264069264069272E-5</v>
      </c>
      <c r="F21" s="1">
        <v>1.0885680498303304E-3</v>
      </c>
      <c r="G21" s="1">
        <f t="shared" si="2"/>
        <v>0.85353755567191314</v>
      </c>
      <c r="H21" s="1">
        <f t="shared" si="1"/>
        <v>0.14646244432808686</v>
      </c>
      <c r="I21" s="1">
        <f t="shared" si="3"/>
        <v>0.85353755567191314</v>
      </c>
      <c r="J21">
        <v>300</v>
      </c>
      <c r="K21">
        <v>600</v>
      </c>
      <c r="L21">
        <f t="shared" si="4"/>
        <v>556.06126670157391</v>
      </c>
    </row>
    <row r="22" spans="1:12" x14ac:dyDescent="0.25">
      <c r="A22">
        <v>19</v>
      </c>
      <c r="B22" s="1">
        <v>0.63151247237132957</v>
      </c>
      <c r="C22" s="1">
        <v>1.2E-4</v>
      </c>
      <c r="D22" s="5">
        <f t="shared" si="5"/>
        <v>1.0049152091192812E-3</v>
      </c>
      <c r="E22" s="1">
        <f t="shared" si="0"/>
        <v>7.5781496684559555E-5</v>
      </c>
      <c r="F22" s="1">
        <v>1.0885680498303304E-3</v>
      </c>
      <c r="G22" s="1">
        <f t="shared" si="2"/>
        <v>0.92315331988286098</v>
      </c>
      <c r="H22" s="1">
        <f t="shared" si="1"/>
        <v>7.6846680117139021E-2</v>
      </c>
      <c r="I22" s="1">
        <f t="shared" si="3"/>
        <v>0.92315331988286098</v>
      </c>
      <c r="J22">
        <v>300</v>
      </c>
      <c r="K22">
        <v>600</v>
      </c>
      <c r="L22">
        <f t="shared" si="4"/>
        <v>576.9459959648583</v>
      </c>
    </row>
    <row r="23" spans="1:12" x14ac:dyDescent="0.25">
      <c r="A23">
        <v>20</v>
      </c>
      <c r="B23" s="1">
        <v>0.69710700592540975</v>
      </c>
      <c r="C23" s="1">
        <v>1.2E-4</v>
      </c>
      <c r="D23" s="5">
        <f t="shared" si="5"/>
        <v>1.0885680498303304E-3</v>
      </c>
      <c r="E23" s="1">
        <f t="shared" si="0"/>
        <v>8.3652840711049176E-5</v>
      </c>
      <c r="F23" s="1">
        <v>1.0885680498303304E-3</v>
      </c>
      <c r="G23" s="1">
        <f t="shared" si="2"/>
        <v>1</v>
      </c>
      <c r="H23" s="1">
        <f t="shared" si="1"/>
        <v>0</v>
      </c>
      <c r="I23" s="1">
        <f t="shared" si="3"/>
        <v>1</v>
      </c>
      <c r="J23">
        <v>300</v>
      </c>
      <c r="K23">
        <v>600</v>
      </c>
      <c r="L23">
        <f t="shared" si="4"/>
        <v>600</v>
      </c>
    </row>
  </sheetData>
  <phoneticPr fontId="1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9"/>
  <sheetViews>
    <sheetView workbookViewId="0">
      <selection activeCell="J14" sqref="J14"/>
    </sheetView>
  </sheetViews>
  <sheetFormatPr defaultRowHeight="14" x14ac:dyDescent="0.25"/>
  <cols>
    <col min="1" max="1" width="3.08984375" customWidth="1"/>
    <col min="2" max="2" width="3.1796875" customWidth="1"/>
    <col min="4" max="4" width="2.81640625" customWidth="1"/>
    <col min="6" max="6" width="4.08984375" customWidth="1"/>
    <col min="7" max="7" width="8.54296875" customWidth="1"/>
    <col min="8" max="8" width="3.26953125" customWidth="1"/>
    <col min="10" max="10" width="13" customWidth="1"/>
    <col min="11" max="11" width="7.54296875" customWidth="1"/>
    <col min="12" max="12" width="8" customWidth="1"/>
    <col min="14" max="14" width="8.453125" customWidth="1"/>
    <col min="16" max="16" width="9.1796875" customWidth="1"/>
    <col min="18" max="18" width="8.54296875" customWidth="1"/>
    <col min="20" max="23" width="10.26953125" bestFit="1" customWidth="1"/>
  </cols>
  <sheetData>
    <row r="1" spans="1:26" ht="15" thickBot="1" x14ac:dyDescent="0.3">
      <c r="A1" s="22"/>
      <c r="B1" s="24"/>
      <c r="C1" s="20"/>
      <c r="D1" s="24"/>
      <c r="E1" s="20"/>
      <c r="F1" s="24"/>
      <c r="G1" s="20"/>
      <c r="H1" s="24"/>
      <c r="I1" s="20"/>
      <c r="K1" s="2"/>
      <c r="M1" s="27"/>
      <c r="N1" s="27"/>
      <c r="O1" s="27"/>
      <c r="P1" s="27"/>
      <c r="Q1" s="25"/>
      <c r="R1" s="25"/>
      <c r="S1" s="25"/>
      <c r="T1" s="4"/>
      <c r="U1" s="4"/>
      <c r="V1" s="29"/>
      <c r="W1" s="24"/>
      <c r="X1" s="24"/>
      <c r="Y1" s="24"/>
      <c r="Z1" s="24"/>
    </row>
    <row r="2" spans="1:26" ht="15" thickBot="1" x14ac:dyDescent="0.3">
      <c r="A2" s="23"/>
      <c r="B2" s="24"/>
      <c r="C2" s="21"/>
      <c r="D2" s="24"/>
      <c r="E2" s="21"/>
      <c r="F2" s="24"/>
      <c r="G2" s="21"/>
      <c r="H2" s="24"/>
      <c r="I2" s="21"/>
      <c r="M2" s="28"/>
      <c r="N2" s="28"/>
      <c r="O2" s="28"/>
      <c r="P2" s="28"/>
      <c r="Q2" s="26"/>
      <c r="R2" s="25"/>
      <c r="S2" s="26"/>
      <c r="T2" s="4"/>
      <c r="U2" s="4"/>
      <c r="V2" s="23"/>
      <c r="W2" s="30"/>
      <c r="X2" s="30"/>
      <c r="Y2" s="30"/>
      <c r="Z2" s="30"/>
    </row>
    <row r="3" spans="1:26" ht="15" thickBot="1" x14ac:dyDescent="0.3">
      <c r="A3" s="23"/>
      <c r="B3" s="24"/>
      <c r="C3" s="21"/>
      <c r="D3" s="24"/>
      <c r="E3" s="21"/>
      <c r="F3" s="24"/>
      <c r="G3" s="21"/>
      <c r="H3" s="24"/>
      <c r="I3" s="21"/>
      <c r="M3" s="28"/>
      <c r="N3" s="28"/>
      <c r="O3" s="28"/>
      <c r="P3" s="28"/>
      <c r="Q3" s="26"/>
      <c r="R3" s="25"/>
      <c r="S3" s="26"/>
      <c r="T3" s="4"/>
      <c r="U3" s="4"/>
      <c r="V3" s="23"/>
      <c r="W3" s="30"/>
      <c r="X3" s="30"/>
      <c r="Y3" s="30"/>
      <c r="Z3" s="30"/>
    </row>
    <row r="4" spans="1:26" ht="15" thickBot="1" x14ac:dyDescent="0.3">
      <c r="A4" s="23"/>
      <c r="B4" s="24"/>
      <c r="C4" s="21"/>
      <c r="D4" s="24"/>
      <c r="E4" s="21"/>
      <c r="F4" s="24"/>
      <c r="G4" s="21"/>
      <c r="H4" s="24"/>
      <c r="I4" s="21"/>
      <c r="M4" s="28"/>
      <c r="N4" s="28"/>
      <c r="O4" s="28"/>
      <c r="P4" s="28"/>
      <c r="Q4" s="26"/>
      <c r="R4" s="25"/>
      <c r="S4" s="26"/>
      <c r="T4" s="4"/>
      <c r="U4" s="4"/>
      <c r="V4" s="23"/>
      <c r="W4" s="30"/>
      <c r="X4" s="30"/>
      <c r="Y4" s="30"/>
      <c r="Z4" s="30"/>
    </row>
    <row r="5" spans="1:26" ht="15" thickBot="1" x14ac:dyDescent="0.3">
      <c r="A5" s="23"/>
      <c r="B5" s="24"/>
      <c r="C5" s="21"/>
      <c r="D5" s="24"/>
      <c r="E5" s="21"/>
      <c r="F5" s="24"/>
      <c r="G5" s="21"/>
      <c r="H5" s="24"/>
      <c r="I5" s="21"/>
      <c r="M5" s="28"/>
      <c r="N5" s="28"/>
      <c r="O5" s="28"/>
      <c r="P5" s="28"/>
      <c r="Q5" s="26"/>
      <c r="R5" s="25"/>
      <c r="S5" s="26"/>
      <c r="T5" s="4"/>
      <c r="U5" s="4"/>
      <c r="V5" s="23"/>
      <c r="W5" s="30"/>
      <c r="X5" s="30"/>
      <c r="Y5" s="30"/>
      <c r="Z5" s="30"/>
    </row>
    <row r="6" spans="1:26" ht="15" thickBot="1" x14ac:dyDescent="0.3">
      <c r="A6" s="23"/>
      <c r="B6" s="24"/>
      <c r="C6" s="21"/>
      <c r="D6" s="24"/>
      <c r="E6" s="21"/>
      <c r="F6" s="24"/>
      <c r="G6" s="21"/>
      <c r="H6" s="24"/>
      <c r="I6" s="21"/>
      <c r="M6" s="28"/>
      <c r="N6" s="28"/>
      <c r="O6" s="28"/>
      <c r="P6" s="28"/>
      <c r="Q6" s="26"/>
      <c r="R6" s="25"/>
      <c r="S6" s="26"/>
      <c r="T6" s="4"/>
      <c r="U6" s="4"/>
      <c r="V6" s="23"/>
      <c r="W6" s="30"/>
      <c r="X6" s="30"/>
      <c r="Y6" s="30"/>
      <c r="Z6" s="30"/>
    </row>
    <row r="7" spans="1:26" ht="15" thickBot="1" x14ac:dyDescent="0.3">
      <c r="A7" s="23"/>
      <c r="B7" s="24"/>
      <c r="C7" s="21"/>
      <c r="D7" s="24"/>
      <c r="E7" s="21"/>
      <c r="F7" s="24"/>
      <c r="G7" s="21"/>
      <c r="H7" s="24"/>
      <c r="I7" s="21"/>
      <c r="M7" s="28"/>
      <c r="N7" s="28"/>
      <c r="O7" s="28"/>
      <c r="P7" s="28"/>
      <c r="Q7" s="26"/>
      <c r="R7" s="25"/>
      <c r="S7" s="26"/>
      <c r="T7" s="4"/>
      <c r="U7" s="4"/>
      <c r="V7" s="23"/>
      <c r="W7" s="30"/>
      <c r="X7" s="30"/>
      <c r="Y7" s="30"/>
      <c r="Z7" s="30"/>
    </row>
    <row r="8" spans="1:26" ht="15" thickBot="1" x14ac:dyDescent="0.3">
      <c r="A8" s="23"/>
      <c r="B8" s="24"/>
      <c r="C8" s="21"/>
      <c r="D8" s="24"/>
      <c r="E8" s="21"/>
      <c r="F8" s="24"/>
      <c r="G8" s="21"/>
      <c r="H8" s="24"/>
      <c r="I8" s="21"/>
      <c r="M8" s="28"/>
      <c r="N8" s="28"/>
      <c r="O8" s="28"/>
      <c r="P8" s="28"/>
      <c r="Q8" s="26"/>
      <c r="R8" s="25"/>
      <c r="S8" s="26"/>
      <c r="T8" s="4"/>
      <c r="U8" s="4"/>
      <c r="V8" s="23"/>
      <c r="W8" s="30"/>
      <c r="X8" s="30"/>
      <c r="Y8" s="30"/>
      <c r="Z8" s="30"/>
    </row>
    <row r="9" spans="1:26" ht="15" thickBot="1" x14ac:dyDescent="0.3">
      <c r="A9" s="23"/>
      <c r="B9" s="24"/>
      <c r="C9" s="21"/>
      <c r="D9" s="24"/>
      <c r="E9" s="21"/>
      <c r="F9" s="24"/>
      <c r="G9" s="21"/>
      <c r="H9" s="24"/>
      <c r="I9" s="21"/>
      <c r="M9" s="28"/>
      <c r="N9" s="28"/>
      <c r="O9" s="28"/>
      <c r="P9" s="28"/>
      <c r="Q9" s="26"/>
      <c r="R9" s="25"/>
      <c r="S9" s="26"/>
      <c r="T9" s="4"/>
      <c r="U9" s="4"/>
      <c r="V9" s="23"/>
      <c r="W9" s="30"/>
      <c r="X9" s="30"/>
      <c r="Y9" s="30"/>
      <c r="Z9" s="30"/>
    </row>
    <row r="10" spans="1:26" ht="15" thickBot="1" x14ac:dyDescent="0.3">
      <c r="A10" s="23"/>
      <c r="B10" s="24"/>
      <c r="C10" s="21"/>
      <c r="D10" s="24"/>
      <c r="E10" s="21"/>
      <c r="F10" s="24"/>
      <c r="G10" s="21"/>
      <c r="H10" s="24"/>
      <c r="I10" s="21"/>
      <c r="M10" s="28"/>
      <c r="N10" s="28"/>
      <c r="O10" s="28"/>
      <c r="P10" s="28"/>
      <c r="Q10" s="26"/>
      <c r="R10" s="25"/>
      <c r="S10" s="26"/>
      <c r="T10" s="4"/>
      <c r="U10" s="4"/>
      <c r="V10" s="23"/>
      <c r="W10" s="30"/>
      <c r="X10" s="30"/>
      <c r="Y10" s="30"/>
      <c r="Z10" s="30"/>
    </row>
    <row r="11" spans="1:26" ht="15" thickBot="1" x14ac:dyDescent="0.3">
      <c r="M11" s="28"/>
      <c r="N11" s="28"/>
      <c r="O11" s="28"/>
      <c r="P11" s="28"/>
      <c r="T11" s="4"/>
      <c r="U11" s="4"/>
      <c r="V11" s="23"/>
      <c r="W11" s="30"/>
      <c r="X11" s="30"/>
      <c r="Y11" s="30"/>
      <c r="Z11" s="30"/>
    </row>
    <row r="12" spans="1:26" ht="14.5" thickBot="1" x14ac:dyDescent="0.3">
      <c r="T12" s="4"/>
      <c r="U12" s="4"/>
      <c r="V12" s="4"/>
      <c r="W12" s="4"/>
    </row>
    <row r="13" spans="1:26" ht="15" thickBot="1" x14ac:dyDescent="0.3">
      <c r="K13" s="2"/>
      <c r="M13" s="27"/>
      <c r="N13" s="27"/>
      <c r="O13" s="27"/>
      <c r="P13" s="27"/>
      <c r="T13" s="4"/>
      <c r="U13" s="4"/>
      <c r="V13" s="4"/>
      <c r="W13" s="4"/>
    </row>
    <row r="14" spans="1:26" ht="15" thickBot="1" x14ac:dyDescent="0.3">
      <c r="M14" s="28"/>
      <c r="N14" s="28"/>
      <c r="O14" s="28"/>
      <c r="P14" s="28"/>
      <c r="T14" s="4"/>
      <c r="U14" s="4"/>
      <c r="V14" s="4"/>
      <c r="W14" s="4"/>
    </row>
    <row r="15" spans="1:26" ht="15" thickBot="1" x14ac:dyDescent="0.3">
      <c r="M15" s="28"/>
      <c r="N15" s="28"/>
      <c r="O15" s="28"/>
      <c r="P15" s="28"/>
      <c r="T15" s="4"/>
      <c r="U15" s="4"/>
      <c r="V15" s="4"/>
      <c r="W15" s="4"/>
    </row>
    <row r="16" spans="1:26" ht="15" thickBot="1" x14ac:dyDescent="0.3">
      <c r="M16" s="28"/>
      <c r="N16" s="28"/>
      <c r="O16" s="28"/>
      <c r="P16" s="28"/>
      <c r="T16" s="4"/>
      <c r="U16" s="4"/>
      <c r="V16" s="4"/>
      <c r="W16" s="4"/>
    </row>
    <row r="17" spans="11:23" ht="15" thickBot="1" x14ac:dyDescent="0.3">
      <c r="M17" s="28"/>
      <c r="N17" s="28"/>
      <c r="O17" s="28"/>
      <c r="P17" s="28"/>
      <c r="T17" s="4"/>
      <c r="U17" s="30"/>
      <c r="V17" s="30"/>
      <c r="W17" s="4"/>
    </row>
    <row r="18" spans="11:23" ht="15" thickBot="1" x14ac:dyDescent="0.3">
      <c r="M18" s="28"/>
      <c r="N18" s="28"/>
      <c r="O18" s="28"/>
      <c r="P18" s="28"/>
      <c r="T18" s="4"/>
      <c r="U18" s="30"/>
      <c r="V18" s="30"/>
      <c r="W18" s="4"/>
    </row>
    <row r="19" spans="11:23" ht="15" thickBot="1" x14ac:dyDescent="0.3">
      <c r="M19" s="28"/>
      <c r="N19" s="28"/>
      <c r="O19" s="28"/>
      <c r="P19" s="28"/>
      <c r="T19" s="4"/>
      <c r="U19" s="4"/>
      <c r="V19" s="4"/>
      <c r="W19" s="4"/>
    </row>
    <row r="20" spans="11:23" ht="15" thickBot="1" x14ac:dyDescent="0.3">
      <c r="M20" s="28"/>
      <c r="N20" s="28"/>
      <c r="O20" s="28"/>
      <c r="P20" s="28"/>
    </row>
    <row r="21" spans="11:23" ht="15" thickBot="1" x14ac:dyDescent="0.3">
      <c r="M21" s="28"/>
      <c r="N21" s="28"/>
      <c r="O21" s="28"/>
      <c r="P21" s="28"/>
    </row>
    <row r="22" spans="11:23" ht="15" thickBot="1" x14ac:dyDescent="0.3">
      <c r="M22" s="28"/>
      <c r="N22" s="28"/>
      <c r="O22" s="28"/>
      <c r="P22" s="28"/>
    </row>
    <row r="23" spans="11:23" ht="15" thickBot="1" x14ac:dyDescent="0.3">
      <c r="M23" s="28"/>
      <c r="N23" s="28"/>
      <c r="O23" s="28"/>
      <c r="P23" s="28"/>
    </row>
    <row r="25" spans="11:23" ht="14.5" thickBot="1" x14ac:dyDescent="0.3"/>
    <row r="26" spans="11:23" ht="15" thickBot="1" x14ac:dyDescent="0.3">
      <c r="K26" s="2"/>
      <c r="M26" s="27"/>
      <c r="N26" s="27"/>
      <c r="O26" s="27"/>
      <c r="P26" s="27"/>
    </row>
    <row r="27" spans="11:23" ht="15" thickBot="1" x14ac:dyDescent="0.3">
      <c r="M27" s="28"/>
      <c r="N27" s="28"/>
      <c r="O27" s="28"/>
      <c r="P27" s="28"/>
    </row>
    <row r="28" spans="11:23" ht="15" thickBot="1" x14ac:dyDescent="0.3">
      <c r="M28" s="28"/>
      <c r="N28" s="28"/>
      <c r="O28" s="28"/>
      <c r="P28" s="28"/>
    </row>
    <row r="29" spans="11:23" ht="15" thickBot="1" x14ac:dyDescent="0.3">
      <c r="M29" s="28"/>
      <c r="N29" s="28"/>
      <c r="O29" s="28"/>
      <c r="P29" s="28"/>
    </row>
    <row r="30" spans="11:23" ht="15" thickBot="1" x14ac:dyDescent="0.3">
      <c r="M30" s="28"/>
      <c r="N30" s="28"/>
      <c r="O30" s="28"/>
      <c r="P30" s="28"/>
    </row>
    <row r="31" spans="11:23" ht="15" thickBot="1" x14ac:dyDescent="0.3">
      <c r="M31" s="28"/>
      <c r="N31" s="28"/>
      <c r="O31" s="28"/>
      <c r="P31" s="28"/>
    </row>
    <row r="32" spans="11:23" ht="15" thickBot="1" x14ac:dyDescent="0.3">
      <c r="M32" s="28"/>
      <c r="N32" s="28"/>
      <c r="O32" s="28"/>
      <c r="P32" s="28"/>
    </row>
    <row r="33" spans="11:16" ht="15" thickBot="1" x14ac:dyDescent="0.3">
      <c r="M33" s="28"/>
      <c r="N33" s="28"/>
      <c r="O33" s="28"/>
      <c r="P33" s="28"/>
    </row>
    <row r="34" spans="11:16" ht="15" thickBot="1" x14ac:dyDescent="0.3">
      <c r="M34" s="28"/>
      <c r="N34" s="28"/>
      <c r="O34" s="28"/>
      <c r="P34" s="28"/>
    </row>
    <row r="35" spans="11:16" ht="15" thickBot="1" x14ac:dyDescent="0.3">
      <c r="M35" s="28"/>
      <c r="N35" s="28"/>
      <c r="O35" s="28"/>
      <c r="P35" s="28"/>
    </row>
    <row r="36" spans="11:16" ht="15" thickBot="1" x14ac:dyDescent="0.3">
      <c r="M36" s="28"/>
      <c r="N36" s="28"/>
      <c r="O36" s="28"/>
      <c r="P36" s="28"/>
    </row>
    <row r="38" spans="11:16" ht="14.5" thickBot="1" x14ac:dyDescent="0.3"/>
    <row r="39" spans="11:16" ht="15" thickBot="1" x14ac:dyDescent="0.3">
      <c r="K39" s="2"/>
      <c r="M39" s="27"/>
      <c r="N39" s="27"/>
      <c r="O39" s="27"/>
      <c r="P39" s="27"/>
    </row>
    <row r="40" spans="11:16" ht="15" thickBot="1" x14ac:dyDescent="0.3">
      <c r="M40" s="28"/>
      <c r="N40" s="28"/>
      <c r="O40" s="28"/>
      <c r="P40" s="28"/>
    </row>
    <row r="41" spans="11:16" ht="15" thickBot="1" x14ac:dyDescent="0.3">
      <c r="M41" s="28"/>
      <c r="N41" s="28"/>
      <c r="O41" s="28"/>
      <c r="P41" s="28"/>
    </row>
    <row r="42" spans="11:16" ht="15" thickBot="1" x14ac:dyDescent="0.3">
      <c r="M42" s="28"/>
      <c r="N42" s="28"/>
      <c r="O42" s="28"/>
      <c r="P42" s="28"/>
    </row>
    <row r="43" spans="11:16" ht="15" thickBot="1" x14ac:dyDescent="0.3">
      <c r="M43" s="28"/>
      <c r="N43" s="28"/>
      <c r="O43" s="28"/>
      <c r="P43" s="28"/>
    </row>
    <row r="44" spans="11:16" ht="15" thickBot="1" x14ac:dyDescent="0.3">
      <c r="M44" s="28"/>
      <c r="N44" s="28"/>
      <c r="O44" s="28"/>
      <c r="P44" s="28"/>
    </row>
    <row r="45" spans="11:16" ht="15" thickBot="1" x14ac:dyDescent="0.3">
      <c r="M45" s="28"/>
      <c r="N45" s="28"/>
      <c r="O45" s="28"/>
      <c r="P45" s="28"/>
    </row>
    <row r="46" spans="11:16" ht="15" thickBot="1" x14ac:dyDescent="0.3">
      <c r="M46" s="28"/>
      <c r="N46" s="28"/>
      <c r="O46" s="28"/>
      <c r="P46" s="28"/>
    </row>
    <row r="47" spans="11:16" ht="15" thickBot="1" x14ac:dyDescent="0.3">
      <c r="M47" s="28"/>
      <c r="N47" s="28"/>
      <c r="O47" s="28"/>
      <c r="P47" s="28"/>
    </row>
    <row r="48" spans="11:16" ht="15" thickBot="1" x14ac:dyDescent="0.3">
      <c r="M48" s="28"/>
      <c r="N48" s="28"/>
      <c r="O48" s="28"/>
      <c r="P48" s="28"/>
    </row>
    <row r="49" spans="13:16" ht="15" thickBot="1" x14ac:dyDescent="0.3">
      <c r="M49" s="28"/>
      <c r="N49" s="28"/>
      <c r="O49" s="28"/>
      <c r="P49" s="2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selection activeCell="J17" sqref="J17"/>
    </sheetView>
  </sheetViews>
  <sheetFormatPr defaultRowHeight="14" x14ac:dyDescent="0.25"/>
  <cols>
    <col min="1" max="4" width="10.26953125" style="3" bestFit="1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FG-MEEP-B-U分布</vt:lpstr>
      <vt:lpstr>FG-MEEP-B-V分布</vt:lpstr>
      <vt:lpstr>FG-MEEP-B-O分布</vt:lpstr>
      <vt:lpstr>FG-MEEP-B-X分布</vt:lpstr>
      <vt:lpstr>沿弧度方向正应力分布-UTR</vt:lpstr>
      <vt:lpstr>沿弧度方向正应力分布-LTR</vt:lpstr>
      <vt:lpstr>沿弧度方向正应力分布-STR</vt:lpstr>
      <vt:lpstr>沿弧度方向正应力分布-HC</vt:lpstr>
      <vt:lpstr>每层输出电势与磁势</vt:lpstr>
      <vt:lpstr>Sheet1</vt:lpstr>
      <vt:lpstr>沿厚度温度分布-U-B_rich</vt:lpstr>
      <vt:lpstr>沿厚度温度分布-V-B_rich</vt:lpstr>
      <vt:lpstr>沿厚度温度分布-O-B_rich</vt:lpstr>
      <vt:lpstr>沿厚度温度分布-X-B_rich</vt:lpstr>
      <vt:lpstr>Sheet4</vt:lpstr>
      <vt:lpstr>Sheet2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2023-03-02T04:56:37Z</dcterms:modified>
</cp:coreProperties>
</file>