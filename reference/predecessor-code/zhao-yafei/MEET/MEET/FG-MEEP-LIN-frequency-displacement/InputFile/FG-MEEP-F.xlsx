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110" windowWidth="5710" windowHeight="7870" activeTab="2"/>
  </bookViews>
  <sheets>
    <sheet name="FG-MEEP-F-U分布-不同指数" sheetId="1" r:id="rId1"/>
    <sheet name="FG-MEEP-F-V分布-不同指数" sheetId="2" r:id="rId2"/>
    <sheet name="FG-MEEP-F-O分布-不同指数" sheetId="3" r:id="rId3"/>
    <sheet name="FG-MEEP-F-X分布-不同指数" sheetId="4" r:id="rId4"/>
    <sheet name="指数-孔隙率的频率1" sheetId="6" r:id="rId5"/>
    <sheet name="Sheet1" sheetId="8" r:id="rId6"/>
    <sheet name="不同孔隙率下的位移FHFH-面积相等" sheetId="9" r:id="rId7"/>
    <sheet name="Sheet3" sheetId="10" r:id="rId8"/>
    <sheet name="Sheet2" sheetId="11" r:id="rId9"/>
  </sheets>
  <calcPr calcId="144525"/>
</workbook>
</file>

<file path=xl/calcChain.xml><?xml version="1.0" encoding="utf-8"?>
<calcChain xmlns="http://schemas.openxmlformats.org/spreadsheetml/2006/main">
  <c r="G179" i="3" l="1"/>
  <c r="G178" i="3"/>
  <c r="G177" i="3"/>
  <c r="G176" i="3"/>
  <c r="G175" i="3"/>
  <c r="G174" i="3"/>
  <c r="G173" i="3"/>
  <c r="G172" i="3"/>
  <c r="G171" i="3"/>
  <c r="G170" i="3"/>
  <c r="G169" i="3"/>
  <c r="G168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98" i="3"/>
  <c r="G97" i="3"/>
  <c r="G96" i="3"/>
  <c r="G95" i="3"/>
  <c r="G94" i="3"/>
  <c r="G93" i="3"/>
  <c r="G92" i="3"/>
  <c r="G91" i="3"/>
  <c r="G90" i="3"/>
  <c r="G89" i="3"/>
  <c r="G88" i="3"/>
  <c r="G87" i="3"/>
  <c r="G84" i="3"/>
  <c r="G83" i="3"/>
  <c r="G82" i="3"/>
  <c r="G81" i="3"/>
  <c r="G80" i="3"/>
  <c r="G79" i="3"/>
  <c r="G78" i="3"/>
  <c r="G77" i="3"/>
  <c r="G76" i="3"/>
  <c r="G75" i="3"/>
  <c r="G74" i="3"/>
  <c r="G73" i="3"/>
  <c r="G68" i="3"/>
  <c r="G67" i="3"/>
  <c r="G66" i="3"/>
  <c r="G65" i="3"/>
  <c r="G64" i="3"/>
  <c r="G63" i="3"/>
  <c r="G62" i="3"/>
  <c r="G61" i="3"/>
  <c r="G60" i="3"/>
  <c r="G59" i="3"/>
  <c r="G58" i="3"/>
  <c r="G57" i="3"/>
  <c r="G53" i="3"/>
  <c r="G52" i="3"/>
  <c r="G51" i="3"/>
  <c r="G50" i="3"/>
  <c r="G49" i="3"/>
  <c r="G48" i="3"/>
  <c r="G47" i="3"/>
  <c r="G46" i="3"/>
  <c r="G45" i="3"/>
  <c r="G44" i="3"/>
  <c r="G43" i="3"/>
  <c r="G42" i="3"/>
  <c r="K56" i="9" l="1"/>
  <c r="K57" i="9" s="1"/>
  <c r="K58" i="9" s="1"/>
  <c r="K59" i="9" s="1"/>
  <c r="G179" i="2" l="1"/>
  <c r="G178" i="2"/>
  <c r="G177" i="2"/>
  <c r="G176" i="2"/>
  <c r="G175" i="2"/>
  <c r="G174" i="2"/>
  <c r="G173" i="2"/>
  <c r="G172" i="2"/>
  <c r="G171" i="2"/>
  <c r="G170" i="2"/>
  <c r="G169" i="2"/>
  <c r="G168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98" i="2"/>
  <c r="G97" i="2"/>
  <c r="G96" i="2"/>
  <c r="G95" i="2"/>
  <c r="G94" i="2"/>
  <c r="G93" i="2"/>
  <c r="G92" i="2"/>
  <c r="G91" i="2"/>
  <c r="G90" i="2"/>
  <c r="G89" i="2"/>
  <c r="G88" i="2"/>
  <c r="G87" i="2"/>
  <c r="G84" i="2"/>
  <c r="G83" i="2"/>
  <c r="G82" i="2"/>
  <c r="G81" i="2"/>
  <c r="G80" i="2"/>
  <c r="G79" i="2"/>
  <c r="G78" i="2"/>
  <c r="G77" i="2"/>
  <c r="G76" i="2"/>
  <c r="G75" i="2"/>
  <c r="G74" i="2"/>
  <c r="G73" i="2"/>
  <c r="G70" i="2"/>
  <c r="G69" i="2"/>
  <c r="G68" i="2"/>
  <c r="G67" i="2"/>
  <c r="G66" i="2"/>
  <c r="G65" i="2"/>
  <c r="G64" i="2"/>
  <c r="G63" i="2"/>
  <c r="G62" i="2"/>
  <c r="G61" i="2"/>
  <c r="G60" i="2"/>
  <c r="G59" i="2"/>
  <c r="G56" i="2"/>
  <c r="G55" i="2"/>
  <c r="G54" i="2"/>
  <c r="G53" i="2"/>
  <c r="G52" i="2"/>
  <c r="G51" i="2"/>
  <c r="G50" i="2"/>
  <c r="G49" i="2"/>
  <c r="G48" i="2"/>
  <c r="G47" i="2"/>
  <c r="G46" i="2"/>
  <c r="G45" i="2"/>
  <c r="G176" i="1"/>
  <c r="G175" i="1"/>
  <c r="G174" i="1"/>
  <c r="G173" i="1"/>
  <c r="G172" i="1"/>
  <c r="G171" i="1"/>
  <c r="G170" i="1"/>
  <c r="G169" i="1"/>
  <c r="G168" i="1"/>
  <c r="G167" i="1"/>
  <c r="G166" i="1"/>
  <c r="G165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5" i="1"/>
  <c r="G94" i="1"/>
  <c r="G93" i="1"/>
  <c r="G92" i="1"/>
  <c r="G91" i="1"/>
  <c r="G90" i="1"/>
  <c r="G89" i="1"/>
  <c r="G88" i="1"/>
  <c r="G87" i="1"/>
  <c r="G86" i="1"/>
  <c r="G85" i="1"/>
  <c r="G84" i="1"/>
  <c r="G81" i="1"/>
  <c r="G80" i="1"/>
  <c r="G79" i="1"/>
  <c r="G78" i="1"/>
  <c r="G77" i="1"/>
  <c r="G76" i="1"/>
  <c r="G75" i="1"/>
  <c r="G74" i="1"/>
  <c r="G73" i="1"/>
  <c r="G72" i="1"/>
  <c r="G71" i="1"/>
  <c r="G70" i="1"/>
  <c r="G67" i="1"/>
  <c r="G66" i="1"/>
  <c r="G65" i="1"/>
  <c r="G64" i="1"/>
  <c r="G63" i="1"/>
  <c r="G62" i="1"/>
  <c r="G61" i="1"/>
  <c r="G60" i="1"/>
  <c r="G59" i="1"/>
  <c r="G58" i="1"/>
  <c r="G57" i="1"/>
  <c r="G56" i="1"/>
  <c r="G53" i="1"/>
  <c r="G52" i="1"/>
  <c r="G51" i="1"/>
  <c r="G50" i="1"/>
  <c r="G49" i="1"/>
  <c r="G48" i="1"/>
  <c r="G47" i="1"/>
  <c r="G46" i="1"/>
  <c r="G45" i="1"/>
  <c r="G44" i="1"/>
  <c r="G43" i="1"/>
  <c r="G42" i="1"/>
  <c r="G179" i="4" l="1"/>
  <c r="G168" i="4"/>
  <c r="G165" i="4"/>
  <c r="G154" i="4"/>
  <c r="G152" i="4"/>
  <c r="G141" i="4"/>
  <c r="G139" i="4"/>
  <c r="G128" i="4"/>
  <c r="G126" i="4"/>
  <c r="G115" i="4"/>
  <c r="G112" i="4"/>
  <c r="G101" i="4"/>
  <c r="G98" i="4"/>
  <c r="G87" i="4"/>
  <c r="G84" i="4"/>
  <c r="G73" i="4"/>
  <c r="G68" i="4"/>
  <c r="G57" i="4"/>
  <c r="G53" i="4"/>
  <c r="G52" i="4"/>
  <c r="G51" i="4"/>
  <c r="G50" i="4"/>
  <c r="G49" i="4"/>
  <c r="G48" i="4"/>
  <c r="G47" i="4"/>
  <c r="G46" i="4"/>
  <c r="G45" i="4"/>
  <c r="G44" i="4"/>
  <c r="G43" i="4"/>
  <c r="G42" i="4"/>
  <c r="AA475" i="4"/>
  <c r="AA476" i="4" s="1"/>
  <c r="AA477" i="4" s="1"/>
  <c r="AA478" i="4" s="1"/>
  <c r="AA479" i="4" s="1"/>
  <c r="AA480" i="4" s="1"/>
  <c r="AA481" i="4" s="1"/>
  <c r="AA482" i="4" s="1"/>
  <c r="AA483" i="4" s="1"/>
  <c r="AA484" i="4" s="1"/>
  <c r="AA485" i="4" s="1"/>
  <c r="Z475" i="4"/>
  <c r="Z476" i="4" s="1"/>
  <c r="Z477" i="4" s="1"/>
  <c r="Z478" i="4" s="1"/>
  <c r="Z479" i="4" s="1"/>
  <c r="Z480" i="4" s="1"/>
  <c r="Z481" i="4" s="1"/>
  <c r="Z482" i="4" s="1"/>
  <c r="Z483" i="4" s="1"/>
  <c r="Z484" i="4" s="1"/>
  <c r="Z485" i="4" s="1"/>
  <c r="AA459" i="4"/>
  <c r="AA460" i="4" s="1"/>
  <c r="AA461" i="4" s="1"/>
  <c r="AA462" i="4" s="1"/>
  <c r="AA463" i="4" s="1"/>
  <c r="AA464" i="4" s="1"/>
  <c r="AA465" i="4" s="1"/>
  <c r="AA466" i="4" s="1"/>
  <c r="AA467" i="4" s="1"/>
  <c r="AA468" i="4" s="1"/>
  <c r="AA469" i="4" s="1"/>
  <c r="Z459" i="4"/>
  <c r="Z460" i="4" s="1"/>
  <c r="Z461" i="4" s="1"/>
  <c r="Z462" i="4" s="1"/>
  <c r="Z463" i="4" s="1"/>
  <c r="Z464" i="4" s="1"/>
  <c r="Z465" i="4" s="1"/>
  <c r="Z466" i="4" s="1"/>
  <c r="Z467" i="4" s="1"/>
  <c r="Z468" i="4" s="1"/>
  <c r="Z469" i="4" s="1"/>
  <c r="AA443" i="4"/>
  <c r="AA444" i="4" s="1"/>
  <c r="AA445" i="4" s="1"/>
  <c r="AA446" i="4" s="1"/>
  <c r="AA447" i="4" s="1"/>
  <c r="AA448" i="4" s="1"/>
  <c r="AA449" i="4" s="1"/>
  <c r="AA450" i="4" s="1"/>
  <c r="AA451" i="4" s="1"/>
  <c r="AA452" i="4" s="1"/>
  <c r="AA453" i="4" s="1"/>
  <c r="Z443" i="4"/>
  <c r="Z444" i="4" s="1"/>
  <c r="Z445" i="4" s="1"/>
  <c r="Z446" i="4" s="1"/>
  <c r="Z447" i="4" s="1"/>
  <c r="Z448" i="4" s="1"/>
  <c r="Z449" i="4" s="1"/>
  <c r="Z450" i="4" s="1"/>
  <c r="Z451" i="4" s="1"/>
  <c r="Z452" i="4" s="1"/>
  <c r="Z453" i="4" s="1"/>
  <c r="AA427" i="4"/>
  <c r="AA428" i="4" s="1"/>
  <c r="AA429" i="4" s="1"/>
  <c r="AA430" i="4" s="1"/>
  <c r="AA431" i="4" s="1"/>
  <c r="AA432" i="4" s="1"/>
  <c r="AA433" i="4" s="1"/>
  <c r="AA434" i="4" s="1"/>
  <c r="AA435" i="4" s="1"/>
  <c r="AA436" i="4" s="1"/>
  <c r="AA437" i="4" s="1"/>
  <c r="Z427" i="4"/>
  <c r="Z428" i="4" s="1"/>
  <c r="Z429" i="4" s="1"/>
  <c r="Z430" i="4" s="1"/>
  <c r="Z431" i="4" s="1"/>
  <c r="Z432" i="4" s="1"/>
  <c r="Z433" i="4" s="1"/>
  <c r="Z434" i="4" s="1"/>
  <c r="Z435" i="4" s="1"/>
  <c r="Z436" i="4" s="1"/>
  <c r="Z437" i="4" s="1"/>
  <c r="AA410" i="4"/>
  <c r="AA411" i="4" s="1"/>
  <c r="AA412" i="4" s="1"/>
  <c r="AA413" i="4" s="1"/>
  <c r="AA414" i="4" s="1"/>
  <c r="AA415" i="4" s="1"/>
  <c r="AA416" i="4" s="1"/>
  <c r="AA417" i="4" s="1"/>
  <c r="AA418" i="4" s="1"/>
  <c r="AA419" i="4" s="1"/>
  <c r="AA420" i="4" s="1"/>
  <c r="Z410" i="4"/>
  <c r="Z411" i="4" s="1"/>
  <c r="Z412" i="4" s="1"/>
  <c r="Z413" i="4" s="1"/>
  <c r="Z414" i="4" s="1"/>
  <c r="Z415" i="4" s="1"/>
  <c r="Z416" i="4" s="1"/>
  <c r="Z417" i="4" s="1"/>
  <c r="Z418" i="4" s="1"/>
  <c r="Z419" i="4" s="1"/>
  <c r="Z420" i="4" s="1"/>
  <c r="AA394" i="4"/>
  <c r="AA395" i="4" s="1"/>
  <c r="AA396" i="4" s="1"/>
  <c r="AA397" i="4" s="1"/>
  <c r="AA398" i="4" s="1"/>
  <c r="AA399" i="4" s="1"/>
  <c r="AA400" i="4" s="1"/>
  <c r="AA401" i="4" s="1"/>
  <c r="AA402" i="4" s="1"/>
  <c r="AA403" i="4" s="1"/>
  <c r="AA404" i="4" s="1"/>
  <c r="Z394" i="4"/>
  <c r="Z395" i="4" s="1"/>
  <c r="Z396" i="4" s="1"/>
  <c r="Z397" i="4" s="1"/>
  <c r="Z398" i="4" s="1"/>
  <c r="Z399" i="4" s="1"/>
  <c r="Z400" i="4" s="1"/>
  <c r="Z401" i="4" s="1"/>
  <c r="Z402" i="4" s="1"/>
  <c r="Z403" i="4" s="1"/>
  <c r="Z404" i="4" s="1"/>
  <c r="AA378" i="4"/>
  <c r="AA379" i="4" s="1"/>
  <c r="AA380" i="4" s="1"/>
  <c r="AA381" i="4" s="1"/>
  <c r="AA382" i="4" s="1"/>
  <c r="AA383" i="4" s="1"/>
  <c r="AA384" i="4" s="1"/>
  <c r="AA385" i="4" s="1"/>
  <c r="AA386" i="4" s="1"/>
  <c r="AA387" i="4" s="1"/>
  <c r="AA388" i="4" s="1"/>
  <c r="Z378" i="4"/>
  <c r="Z379" i="4" s="1"/>
  <c r="Z380" i="4" s="1"/>
  <c r="Z381" i="4" s="1"/>
  <c r="Z382" i="4" s="1"/>
  <c r="Z383" i="4" s="1"/>
  <c r="Z384" i="4" s="1"/>
  <c r="Z385" i="4" s="1"/>
  <c r="Z386" i="4" s="1"/>
  <c r="Z387" i="4" s="1"/>
  <c r="Z388" i="4" s="1"/>
  <c r="AA362" i="4"/>
  <c r="AA363" i="4" s="1"/>
  <c r="AA364" i="4" s="1"/>
  <c r="AA365" i="4" s="1"/>
  <c r="AA366" i="4" s="1"/>
  <c r="AA367" i="4" s="1"/>
  <c r="AA368" i="4" s="1"/>
  <c r="AA369" i="4" s="1"/>
  <c r="AA370" i="4" s="1"/>
  <c r="AA371" i="4" s="1"/>
  <c r="AA372" i="4" s="1"/>
  <c r="Z362" i="4"/>
  <c r="Z363" i="4" s="1"/>
  <c r="Z364" i="4" s="1"/>
  <c r="Z365" i="4" s="1"/>
  <c r="Z366" i="4" s="1"/>
  <c r="Z367" i="4" s="1"/>
  <c r="Z368" i="4" s="1"/>
  <c r="Z369" i="4" s="1"/>
  <c r="Z370" i="4" s="1"/>
  <c r="Z371" i="4" s="1"/>
  <c r="Z372" i="4" s="1"/>
  <c r="AA348" i="4"/>
  <c r="AA349" i="4" s="1"/>
  <c r="AA350" i="4" s="1"/>
  <c r="AA351" i="4" s="1"/>
  <c r="AA352" i="4" s="1"/>
  <c r="AA353" i="4" s="1"/>
  <c r="AA354" i="4" s="1"/>
  <c r="AA355" i="4" s="1"/>
  <c r="AA356" i="4" s="1"/>
  <c r="AA357" i="4" s="1"/>
  <c r="AA358" i="4" s="1"/>
  <c r="Z348" i="4"/>
  <c r="Z349" i="4" s="1"/>
  <c r="Z350" i="4" s="1"/>
  <c r="Z351" i="4" s="1"/>
  <c r="Z352" i="4" s="1"/>
  <c r="Z353" i="4" s="1"/>
  <c r="Z354" i="4" s="1"/>
  <c r="Z355" i="4" s="1"/>
  <c r="Z356" i="4" s="1"/>
  <c r="Z357" i="4" s="1"/>
  <c r="Z358" i="4" s="1"/>
  <c r="AA331" i="4"/>
  <c r="AA332" i="4" s="1"/>
  <c r="AA333" i="4" s="1"/>
  <c r="AA334" i="4" s="1"/>
  <c r="AA335" i="4" s="1"/>
  <c r="AA336" i="4" s="1"/>
  <c r="AA337" i="4" s="1"/>
  <c r="AA338" i="4" s="1"/>
  <c r="AA339" i="4" s="1"/>
  <c r="AA340" i="4" s="1"/>
  <c r="AA341" i="4" s="1"/>
  <c r="Z331" i="4"/>
  <c r="Z332" i="4" s="1"/>
  <c r="Z333" i="4" s="1"/>
  <c r="Z334" i="4" s="1"/>
  <c r="Z335" i="4" s="1"/>
  <c r="Z336" i="4" s="1"/>
  <c r="Z337" i="4" s="1"/>
  <c r="Z338" i="4" s="1"/>
  <c r="Z339" i="4" s="1"/>
  <c r="Z340" i="4" s="1"/>
  <c r="Z341" i="4" s="1"/>
  <c r="AA315" i="4"/>
  <c r="AA316" i="4" s="1"/>
  <c r="AA317" i="4" s="1"/>
  <c r="AA318" i="4" s="1"/>
  <c r="AA319" i="4" s="1"/>
  <c r="AA320" i="4" s="1"/>
  <c r="AA321" i="4" s="1"/>
  <c r="AA322" i="4" s="1"/>
  <c r="AA323" i="4" s="1"/>
  <c r="AA324" i="4" s="1"/>
  <c r="AA325" i="4" s="1"/>
  <c r="Z315" i="4"/>
  <c r="Z316" i="4" s="1"/>
  <c r="Z317" i="4" s="1"/>
  <c r="Z318" i="4" s="1"/>
  <c r="Z319" i="4" s="1"/>
  <c r="Z320" i="4" s="1"/>
  <c r="Z321" i="4" s="1"/>
  <c r="Z322" i="4" s="1"/>
  <c r="Z323" i="4" s="1"/>
  <c r="Z324" i="4" s="1"/>
  <c r="Z325" i="4" s="1"/>
  <c r="AA299" i="4"/>
  <c r="AA300" i="4" s="1"/>
  <c r="AA301" i="4" s="1"/>
  <c r="AA302" i="4" s="1"/>
  <c r="AA303" i="4" s="1"/>
  <c r="AA304" i="4" s="1"/>
  <c r="AA305" i="4" s="1"/>
  <c r="AA306" i="4" s="1"/>
  <c r="AA307" i="4" s="1"/>
  <c r="AA308" i="4" s="1"/>
  <c r="AA309" i="4" s="1"/>
  <c r="Z299" i="4"/>
  <c r="Z300" i="4" s="1"/>
  <c r="Z301" i="4" s="1"/>
  <c r="Z302" i="4" s="1"/>
  <c r="Z303" i="4" s="1"/>
  <c r="Z304" i="4" s="1"/>
  <c r="Z305" i="4" s="1"/>
  <c r="Z306" i="4" s="1"/>
  <c r="Z307" i="4" s="1"/>
  <c r="Z308" i="4" s="1"/>
  <c r="Z309" i="4" s="1"/>
  <c r="AA283" i="4"/>
  <c r="AA284" i="4" s="1"/>
  <c r="AA285" i="4" s="1"/>
  <c r="AA286" i="4" s="1"/>
  <c r="AA287" i="4" s="1"/>
  <c r="AA288" i="4" s="1"/>
  <c r="AA289" i="4" s="1"/>
  <c r="AA290" i="4" s="1"/>
  <c r="AA291" i="4" s="1"/>
  <c r="AA292" i="4" s="1"/>
  <c r="AA293" i="4" s="1"/>
  <c r="Z283" i="4"/>
  <c r="Z284" i="4" s="1"/>
  <c r="Z285" i="4" s="1"/>
  <c r="Z286" i="4" s="1"/>
  <c r="Z287" i="4" s="1"/>
  <c r="Z288" i="4" s="1"/>
  <c r="Z289" i="4" s="1"/>
  <c r="Z290" i="4" s="1"/>
  <c r="Z291" i="4" s="1"/>
  <c r="Z292" i="4" s="1"/>
  <c r="Z293" i="4" s="1"/>
  <c r="AA265" i="4"/>
  <c r="AA266" i="4" s="1"/>
  <c r="AA267" i="4" s="1"/>
  <c r="AA268" i="4" s="1"/>
  <c r="AA269" i="4" s="1"/>
  <c r="AA270" i="4" s="1"/>
  <c r="AA271" i="4" s="1"/>
  <c r="AA272" i="4" s="1"/>
  <c r="AA273" i="4" s="1"/>
  <c r="AA274" i="4" s="1"/>
  <c r="AA275" i="4" s="1"/>
  <c r="Z265" i="4"/>
  <c r="Z266" i="4" s="1"/>
  <c r="Z267" i="4" s="1"/>
  <c r="Z268" i="4" s="1"/>
  <c r="Z269" i="4" s="1"/>
  <c r="Z270" i="4" s="1"/>
  <c r="Z271" i="4" s="1"/>
  <c r="Z272" i="4" s="1"/>
  <c r="Z273" i="4" s="1"/>
  <c r="Z274" i="4" s="1"/>
  <c r="Z275" i="4" s="1"/>
  <c r="AA250" i="4"/>
  <c r="AA251" i="4" s="1"/>
  <c r="AA252" i="4" s="1"/>
  <c r="AA253" i="4" s="1"/>
  <c r="AA254" i="4" s="1"/>
  <c r="AA255" i="4" s="1"/>
  <c r="AA256" i="4" s="1"/>
  <c r="AA257" i="4" s="1"/>
  <c r="AA258" i="4" s="1"/>
  <c r="AA259" i="4" s="1"/>
  <c r="AA260" i="4" s="1"/>
  <c r="Z250" i="4"/>
  <c r="Z251" i="4" s="1"/>
  <c r="Z252" i="4" s="1"/>
  <c r="Z253" i="4" s="1"/>
  <c r="Z254" i="4" s="1"/>
  <c r="Z255" i="4" s="1"/>
  <c r="Z256" i="4" s="1"/>
  <c r="Z257" i="4" s="1"/>
  <c r="Z258" i="4" s="1"/>
  <c r="Z259" i="4" s="1"/>
  <c r="Z260" i="4" s="1"/>
  <c r="AA234" i="4"/>
  <c r="AA235" i="4" s="1"/>
  <c r="AA236" i="4" s="1"/>
  <c r="AA237" i="4" s="1"/>
  <c r="AA238" i="4" s="1"/>
  <c r="AA239" i="4" s="1"/>
  <c r="AA240" i="4" s="1"/>
  <c r="AA241" i="4" s="1"/>
  <c r="AA242" i="4" s="1"/>
  <c r="AA243" i="4" s="1"/>
  <c r="AA244" i="4" s="1"/>
  <c r="Z234" i="4"/>
  <c r="Z235" i="4" s="1"/>
  <c r="Z236" i="4" s="1"/>
  <c r="Z237" i="4" s="1"/>
  <c r="Z238" i="4" s="1"/>
  <c r="Z239" i="4" s="1"/>
  <c r="Z240" i="4" s="1"/>
  <c r="Z241" i="4" s="1"/>
  <c r="Z242" i="4" s="1"/>
  <c r="Z243" i="4" s="1"/>
  <c r="Z244" i="4" s="1"/>
  <c r="AA218" i="4"/>
  <c r="AA219" i="4" s="1"/>
  <c r="AA220" i="4" s="1"/>
  <c r="AA221" i="4" s="1"/>
  <c r="AA222" i="4" s="1"/>
  <c r="AA223" i="4" s="1"/>
  <c r="AA224" i="4" s="1"/>
  <c r="AA225" i="4" s="1"/>
  <c r="AA226" i="4" s="1"/>
  <c r="AA227" i="4" s="1"/>
  <c r="AA228" i="4" s="1"/>
  <c r="Z218" i="4"/>
  <c r="Z219" i="4" s="1"/>
  <c r="Z220" i="4" s="1"/>
  <c r="Z221" i="4" s="1"/>
  <c r="Z222" i="4" s="1"/>
  <c r="Z223" i="4" s="1"/>
  <c r="Z224" i="4" s="1"/>
  <c r="Z225" i="4" s="1"/>
  <c r="Z226" i="4" s="1"/>
  <c r="Z227" i="4" s="1"/>
  <c r="Z228" i="4" s="1"/>
  <c r="AA202" i="4"/>
  <c r="AA203" i="4" s="1"/>
  <c r="AA204" i="4" s="1"/>
  <c r="AA205" i="4" s="1"/>
  <c r="AA206" i="4" s="1"/>
  <c r="AA207" i="4" s="1"/>
  <c r="AA208" i="4" s="1"/>
  <c r="AA209" i="4" s="1"/>
  <c r="AA210" i="4" s="1"/>
  <c r="AA211" i="4" s="1"/>
  <c r="AA212" i="4" s="1"/>
  <c r="Z202" i="4"/>
  <c r="Z203" i="4" s="1"/>
  <c r="Z204" i="4" s="1"/>
  <c r="Z205" i="4" s="1"/>
  <c r="Z206" i="4" s="1"/>
  <c r="Z207" i="4" s="1"/>
  <c r="Z208" i="4" s="1"/>
  <c r="Z209" i="4" s="1"/>
  <c r="Z210" i="4" s="1"/>
  <c r="Z211" i="4" s="1"/>
  <c r="Z212" i="4" s="1"/>
  <c r="AA185" i="4"/>
  <c r="AA186" i="4" s="1"/>
  <c r="AA187" i="4" s="1"/>
  <c r="AA188" i="4" s="1"/>
  <c r="AA189" i="4" s="1"/>
  <c r="AA190" i="4" s="1"/>
  <c r="AA191" i="4" s="1"/>
  <c r="AA192" i="4" s="1"/>
  <c r="AA193" i="4" s="1"/>
  <c r="AA194" i="4" s="1"/>
  <c r="AA195" i="4" s="1"/>
  <c r="Z185" i="4"/>
  <c r="Z186" i="4" s="1"/>
  <c r="Z187" i="4" s="1"/>
  <c r="Z188" i="4" s="1"/>
  <c r="Z189" i="4" s="1"/>
  <c r="Z190" i="4" s="1"/>
  <c r="Z191" i="4" s="1"/>
  <c r="Z192" i="4" s="1"/>
  <c r="Z193" i="4" s="1"/>
  <c r="Z194" i="4" s="1"/>
  <c r="Z195" i="4" s="1"/>
  <c r="Z12" i="4"/>
  <c r="Z13" i="4" s="1"/>
  <c r="Z14" i="4" s="1"/>
  <c r="Z15" i="4" s="1"/>
  <c r="Z16" i="4" s="1"/>
  <c r="Z17" i="4" s="1"/>
  <c r="Z18" i="4" s="1"/>
  <c r="Z19" i="4" s="1"/>
  <c r="Z20" i="4" s="1"/>
  <c r="Z21" i="4" s="1"/>
  <c r="Z22" i="4" s="1"/>
  <c r="Y12" i="4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AA424" i="3"/>
  <c r="AA425" i="3" s="1"/>
  <c r="AA426" i="3" s="1"/>
  <c r="AA427" i="3" s="1"/>
  <c r="AA428" i="3" s="1"/>
  <c r="AA429" i="3" s="1"/>
  <c r="AA430" i="3" s="1"/>
  <c r="AA431" i="3" s="1"/>
  <c r="AA432" i="3" s="1"/>
  <c r="AA433" i="3" s="1"/>
  <c r="AA434" i="3" s="1"/>
  <c r="Z424" i="3"/>
  <c r="Z425" i="3" s="1"/>
  <c r="Z426" i="3" s="1"/>
  <c r="Z427" i="3" s="1"/>
  <c r="Z428" i="3" s="1"/>
  <c r="Z429" i="3" s="1"/>
  <c r="Z430" i="3" s="1"/>
  <c r="Z431" i="3" s="1"/>
  <c r="Z432" i="3" s="1"/>
  <c r="Z433" i="3" s="1"/>
  <c r="Z434" i="3" s="1"/>
  <c r="AA456" i="3" l="1"/>
  <c r="AA457" i="3" s="1"/>
  <c r="AA458" i="3" s="1"/>
  <c r="AA459" i="3" s="1"/>
  <c r="AA460" i="3" s="1"/>
  <c r="AA461" i="3" s="1"/>
  <c r="AA462" i="3" s="1"/>
  <c r="AA463" i="3" s="1"/>
  <c r="AA464" i="3" s="1"/>
  <c r="AA465" i="3" s="1"/>
  <c r="AA466" i="3" s="1"/>
  <c r="Z456" i="3"/>
  <c r="Z457" i="3" s="1"/>
  <c r="Z458" i="3" s="1"/>
  <c r="Z459" i="3" s="1"/>
  <c r="Z460" i="3" s="1"/>
  <c r="Z461" i="3" s="1"/>
  <c r="Z462" i="3" s="1"/>
  <c r="Z463" i="3" s="1"/>
  <c r="Z464" i="3" s="1"/>
  <c r="Z465" i="3" s="1"/>
  <c r="Z466" i="3" s="1"/>
  <c r="AA440" i="3"/>
  <c r="AA441" i="3" s="1"/>
  <c r="AA442" i="3" s="1"/>
  <c r="AA443" i="3" s="1"/>
  <c r="AA444" i="3" s="1"/>
  <c r="AA445" i="3" s="1"/>
  <c r="AA446" i="3" s="1"/>
  <c r="AA447" i="3" s="1"/>
  <c r="AA448" i="3" s="1"/>
  <c r="AA449" i="3" s="1"/>
  <c r="AA450" i="3" s="1"/>
  <c r="Z440" i="3"/>
  <c r="Z441" i="3" s="1"/>
  <c r="Z442" i="3" s="1"/>
  <c r="Z443" i="3" s="1"/>
  <c r="Z444" i="3" s="1"/>
  <c r="Z445" i="3" s="1"/>
  <c r="Z446" i="3" s="1"/>
  <c r="Z447" i="3" s="1"/>
  <c r="Z448" i="3" s="1"/>
  <c r="Z449" i="3" s="1"/>
  <c r="Z450" i="3" s="1"/>
  <c r="AA472" i="3"/>
  <c r="AA473" i="3" s="1"/>
  <c r="AA474" i="3" s="1"/>
  <c r="AA475" i="3" s="1"/>
  <c r="AA476" i="3" s="1"/>
  <c r="AA477" i="3" s="1"/>
  <c r="AA478" i="3" s="1"/>
  <c r="AA479" i="3" s="1"/>
  <c r="AA480" i="3" s="1"/>
  <c r="AA481" i="3" s="1"/>
  <c r="AA482" i="3" s="1"/>
  <c r="Z472" i="3"/>
  <c r="Z473" i="3" s="1"/>
  <c r="Z474" i="3" s="1"/>
  <c r="Z475" i="3" s="1"/>
  <c r="Z476" i="3" s="1"/>
  <c r="Z477" i="3" s="1"/>
  <c r="Z478" i="3" s="1"/>
  <c r="Z479" i="3" s="1"/>
  <c r="Z480" i="3" s="1"/>
  <c r="Z481" i="3" s="1"/>
  <c r="Z482" i="3" s="1"/>
  <c r="AA407" i="3"/>
  <c r="AA408" i="3" s="1"/>
  <c r="AA409" i="3" s="1"/>
  <c r="AA410" i="3" s="1"/>
  <c r="AA411" i="3" s="1"/>
  <c r="AA412" i="3" s="1"/>
  <c r="AA413" i="3" s="1"/>
  <c r="AA414" i="3" s="1"/>
  <c r="AA415" i="3" s="1"/>
  <c r="AA416" i="3" s="1"/>
  <c r="AA417" i="3" s="1"/>
  <c r="Z407" i="3"/>
  <c r="Z408" i="3" s="1"/>
  <c r="Z409" i="3" s="1"/>
  <c r="Z410" i="3" s="1"/>
  <c r="Z411" i="3" s="1"/>
  <c r="Z412" i="3" s="1"/>
  <c r="Z413" i="3" s="1"/>
  <c r="Z414" i="3" s="1"/>
  <c r="Z415" i="3" s="1"/>
  <c r="Z416" i="3" s="1"/>
  <c r="Z417" i="3" s="1"/>
  <c r="AA391" i="3"/>
  <c r="AA392" i="3" s="1"/>
  <c r="AA393" i="3" s="1"/>
  <c r="AA394" i="3" s="1"/>
  <c r="AA395" i="3" s="1"/>
  <c r="AA396" i="3" s="1"/>
  <c r="AA397" i="3" s="1"/>
  <c r="AA398" i="3" s="1"/>
  <c r="AA399" i="3" s="1"/>
  <c r="AA400" i="3" s="1"/>
  <c r="AA401" i="3" s="1"/>
  <c r="Z391" i="3"/>
  <c r="Z392" i="3" s="1"/>
  <c r="Z393" i="3" s="1"/>
  <c r="Z394" i="3" s="1"/>
  <c r="Z395" i="3" s="1"/>
  <c r="Z396" i="3" s="1"/>
  <c r="Z397" i="3" s="1"/>
  <c r="Z398" i="3" s="1"/>
  <c r="Z399" i="3" s="1"/>
  <c r="Z400" i="3" s="1"/>
  <c r="Z401" i="3" s="1"/>
  <c r="AA375" i="3"/>
  <c r="AA376" i="3" s="1"/>
  <c r="AA377" i="3" s="1"/>
  <c r="AA378" i="3" s="1"/>
  <c r="AA379" i="3" s="1"/>
  <c r="AA380" i="3" s="1"/>
  <c r="AA381" i="3" s="1"/>
  <c r="AA382" i="3" s="1"/>
  <c r="AA383" i="3" s="1"/>
  <c r="AA384" i="3" s="1"/>
  <c r="AA385" i="3" s="1"/>
  <c r="Z375" i="3"/>
  <c r="Z376" i="3" s="1"/>
  <c r="Z377" i="3" s="1"/>
  <c r="Z378" i="3" s="1"/>
  <c r="Z379" i="3" s="1"/>
  <c r="Z380" i="3" s="1"/>
  <c r="Z381" i="3" s="1"/>
  <c r="Z382" i="3" s="1"/>
  <c r="Z383" i="3" s="1"/>
  <c r="Z384" i="3" s="1"/>
  <c r="Z385" i="3" s="1"/>
  <c r="AA359" i="3"/>
  <c r="AA360" i="3" s="1"/>
  <c r="AA361" i="3" s="1"/>
  <c r="AA362" i="3" s="1"/>
  <c r="AA363" i="3" s="1"/>
  <c r="AA364" i="3" s="1"/>
  <c r="AA365" i="3" s="1"/>
  <c r="AA366" i="3" s="1"/>
  <c r="AA367" i="3" s="1"/>
  <c r="AA368" i="3" s="1"/>
  <c r="AA369" i="3" s="1"/>
  <c r="Z359" i="3"/>
  <c r="Z360" i="3" s="1"/>
  <c r="Z361" i="3" s="1"/>
  <c r="Z362" i="3" s="1"/>
  <c r="Z363" i="3" s="1"/>
  <c r="Z364" i="3" s="1"/>
  <c r="Z365" i="3" s="1"/>
  <c r="Z366" i="3" s="1"/>
  <c r="Z367" i="3" s="1"/>
  <c r="Z368" i="3" s="1"/>
  <c r="Z369" i="3" s="1"/>
  <c r="AA345" i="3"/>
  <c r="AA346" i="3" s="1"/>
  <c r="AA347" i="3" s="1"/>
  <c r="AA348" i="3" s="1"/>
  <c r="AA349" i="3" s="1"/>
  <c r="AA350" i="3" s="1"/>
  <c r="AA351" i="3" s="1"/>
  <c r="AA352" i="3" s="1"/>
  <c r="AA353" i="3" s="1"/>
  <c r="AA354" i="3" s="1"/>
  <c r="AA355" i="3" s="1"/>
  <c r="Z345" i="3"/>
  <c r="Z346" i="3" s="1"/>
  <c r="Z347" i="3" s="1"/>
  <c r="Z348" i="3" s="1"/>
  <c r="Z349" i="3" s="1"/>
  <c r="Z350" i="3" s="1"/>
  <c r="Z351" i="3" s="1"/>
  <c r="Z352" i="3" s="1"/>
  <c r="Z353" i="3" s="1"/>
  <c r="Z354" i="3" s="1"/>
  <c r="Z355" i="3" s="1"/>
  <c r="AA328" i="3"/>
  <c r="AA329" i="3" s="1"/>
  <c r="AA330" i="3" s="1"/>
  <c r="AA331" i="3" s="1"/>
  <c r="AA332" i="3" s="1"/>
  <c r="AA333" i="3" s="1"/>
  <c r="AA334" i="3" s="1"/>
  <c r="AA335" i="3" s="1"/>
  <c r="AA336" i="3" s="1"/>
  <c r="AA337" i="3" s="1"/>
  <c r="AA338" i="3" s="1"/>
  <c r="Z328" i="3"/>
  <c r="Z329" i="3" s="1"/>
  <c r="Z330" i="3" s="1"/>
  <c r="Z331" i="3" s="1"/>
  <c r="Z332" i="3" s="1"/>
  <c r="Z333" i="3" s="1"/>
  <c r="Z334" i="3" s="1"/>
  <c r="Z335" i="3" s="1"/>
  <c r="Z336" i="3" s="1"/>
  <c r="Z337" i="3" s="1"/>
  <c r="Z338" i="3" s="1"/>
  <c r="AA312" i="3"/>
  <c r="AA313" i="3" s="1"/>
  <c r="AA314" i="3" s="1"/>
  <c r="AA315" i="3" s="1"/>
  <c r="AA316" i="3" s="1"/>
  <c r="AA317" i="3" s="1"/>
  <c r="AA318" i="3" s="1"/>
  <c r="AA319" i="3" s="1"/>
  <c r="AA320" i="3" s="1"/>
  <c r="AA321" i="3" s="1"/>
  <c r="AA322" i="3" s="1"/>
  <c r="Z312" i="3"/>
  <c r="Z313" i="3" s="1"/>
  <c r="Z314" i="3" s="1"/>
  <c r="Z315" i="3" s="1"/>
  <c r="Z316" i="3" s="1"/>
  <c r="Z317" i="3" s="1"/>
  <c r="Z318" i="3" s="1"/>
  <c r="Z319" i="3" s="1"/>
  <c r="Z320" i="3" s="1"/>
  <c r="Z321" i="3" s="1"/>
  <c r="Z322" i="3" s="1"/>
  <c r="AA296" i="3"/>
  <c r="AA297" i="3" s="1"/>
  <c r="AA298" i="3" s="1"/>
  <c r="AA299" i="3" s="1"/>
  <c r="AA300" i="3" s="1"/>
  <c r="AA301" i="3" s="1"/>
  <c r="AA302" i="3" s="1"/>
  <c r="AA303" i="3" s="1"/>
  <c r="AA304" i="3" s="1"/>
  <c r="AA305" i="3" s="1"/>
  <c r="AA306" i="3" s="1"/>
  <c r="Z296" i="3"/>
  <c r="Z297" i="3" s="1"/>
  <c r="Z298" i="3" s="1"/>
  <c r="Z299" i="3" s="1"/>
  <c r="Z300" i="3" s="1"/>
  <c r="Z301" i="3" s="1"/>
  <c r="Z302" i="3" s="1"/>
  <c r="Z303" i="3" s="1"/>
  <c r="Z304" i="3" s="1"/>
  <c r="Z305" i="3" s="1"/>
  <c r="Z306" i="3" s="1"/>
  <c r="AA280" i="3"/>
  <c r="AA281" i="3" s="1"/>
  <c r="AA282" i="3" s="1"/>
  <c r="AA283" i="3" s="1"/>
  <c r="AA284" i="3" s="1"/>
  <c r="AA285" i="3" s="1"/>
  <c r="AA286" i="3" s="1"/>
  <c r="AA287" i="3" s="1"/>
  <c r="AA288" i="3" s="1"/>
  <c r="AA289" i="3" s="1"/>
  <c r="AA290" i="3" s="1"/>
  <c r="Z280" i="3"/>
  <c r="Z281" i="3" s="1"/>
  <c r="Z282" i="3" s="1"/>
  <c r="Z283" i="3" s="1"/>
  <c r="Z284" i="3" s="1"/>
  <c r="Z285" i="3" s="1"/>
  <c r="Z286" i="3" s="1"/>
  <c r="Z287" i="3" s="1"/>
  <c r="Z288" i="3" s="1"/>
  <c r="Z289" i="3" s="1"/>
  <c r="Z290" i="3" s="1"/>
  <c r="AA262" i="3"/>
  <c r="AA263" i="3" s="1"/>
  <c r="AA264" i="3" s="1"/>
  <c r="AA265" i="3" s="1"/>
  <c r="AA266" i="3" s="1"/>
  <c r="AA267" i="3" s="1"/>
  <c r="AA268" i="3" s="1"/>
  <c r="AA269" i="3" s="1"/>
  <c r="AA270" i="3" s="1"/>
  <c r="AA271" i="3" s="1"/>
  <c r="AA272" i="3" s="1"/>
  <c r="Z262" i="3"/>
  <c r="Z263" i="3" s="1"/>
  <c r="Z264" i="3" s="1"/>
  <c r="Z265" i="3" s="1"/>
  <c r="Z266" i="3" s="1"/>
  <c r="Z267" i="3" s="1"/>
  <c r="Z268" i="3" s="1"/>
  <c r="Z269" i="3" s="1"/>
  <c r="Z270" i="3" s="1"/>
  <c r="Z271" i="3" s="1"/>
  <c r="Z272" i="3" s="1"/>
  <c r="AA247" i="3"/>
  <c r="AA248" i="3" s="1"/>
  <c r="AA249" i="3" s="1"/>
  <c r="AA250" i="3" s="1"/>
  <c r="AA251" i="3" s="1"/>
  <c r="AA252" i="3" s="1"/>
  <c r="AA253" i="3" s="1"/>
  <c r="AA254" i="3" s="1"/>
  <c r="AA255" i="3" s="1"/>
  <c r="AA256" i="3" s="1"/>
  <c r="AA257" i="3" s="1"/>
  <c r="Z247" i="3"/>
  <c r="Z248" i="3" s="1"/>
  <c r="Z249" i="3" s="1"/>
  <c r="Z250" i="3" s="1"/>
  <c r="Z251" i="3" s="1"/>
  <c r="Z252" i="3" s="1"/>
  <c r="Z253" i="3" s="1"/>
  <c r="Z254" i="3" s="1"/>
  <c r="Z255" i="3" s="1"/>
  <c r="Z256" i="3" s="1"/>
  <c r="Z257" i="3" s="1"/>
  <c r="AA231" i="3"/>
  <c r="AA232" i="3" s="1"/>
  <c r="AA233" i="3" s="1"/>
  <c r="AA234" i="3" s="1"/>
  <c r="AA235" i="3" s="1"/>
  <c r="AA236" i="3" s="1"/>
  <c r="AA237" i="3" s="1"/>
  <c r="AA238" i="3" s="1"/>
  <c r="AA239" i="3" s="1"/>
  <c r="AA240" i="3" s="1"/>
  <c r="AA241" i="3" s="1"/>
  <c r="Z231" i="3"/>
  <c r="Z232" i="3" s="1"/>
  <c r="Z233" i="3" s="1"/>
  <c r="Z234" i="3" s="1"/>
  <c r="Z235" i="3" s="1"/>
  <c r="Z236" i="3" s="1"/>
  <c r="Z237" i="3" s="1"/>
  <c r="Z238" i="3" s="1"/>
  <c r="Z239" i="3" s="1"/>
  <c r="Z240" i="3" s="1"/>
  <c r="Z241" i="3" s="1"/>
  <c r="AA215" i="3"/>
  <c r="AA216" i="3" s="1"/>
  <c r="AA217" i="3" s="1"/>
  <c r="AA218" i="3" s="1"/>
  <c r="AA219" i="3" s="1"/>
  <c r="AA220" i="3" s="1"/>
  <c r="AA221" i="3" s="1"/>
  <c r="AA222" i="3" s="1"/>
  <c r="AA223" i="3" s="1"/>
  <c r="AA224" i="3" s="1"/>
  <c r="AA225" i="3" s="1"/>
  <c r="Z215" i="3"/>
  <c r="Z216" i="3" s="1"/>
  <c r="Z217" i="3" s="1"/>
  <c r="Z218" i="3" s="1"/>
  <c r="Z219" i="3" s="1"/>
  <c r="Z220" i="3" s="1"/>
  <c r="Z221" i="3" s="1"/>
  <c r="Z222" i="3" s="1"/>
  <c r="Z223" i="3" s="1"/>
  <c r="Z224" i="3" s="1"/>
  <c r="Z225" i="3" s="1"/>
  <c r="AA201" i="3"/>
  <c r="AA202" i="3" s="1"/>
  <c r="AA203" i="3" s="1"/>
  <c r="AA204" i="3" s="1"/>
  <c r="AA205" i="3" s="1"/>
  <c r="AA206" i="3" s="1"/>
  <c r="AA207" i="3" s="1"/>
  <c r="AA208" i="3" s="1"/>
  <c r="AA209" i="3" s="1"/>
  <c r="AA210" i="3" s="1"/>
  <c r="AA211" i="3" s="1"/>
  <c r="Z201" i="3"/>
  <c r="Z202" i="3" s="1"/>
  <c r="Z203" i="3" s="1"/>
  <c r="Z204" i="3" s="1"/>
  <c r="Z205" i="3" s="1"/>
  <c r="Z206" i="3" s="1"/>
  <c r="Z207" i="3" s="1"/>
  <c r="Z208" i="3" s="1"/>
  <c r="Z209" i="3" s="1"/>
  <c r="Z210" i="3" s="1"/>
  <c r="Z211" i="3" s="1"/>
  <c r="AA185" i="3"/>
  <c r="AA186" i="3" s="1"/>
  <c r="AA187" i="3" s="1"/>
  <c r="AA188" i="3" s="1"/>
  <c r="AA189" i="3" s="1"/>
  <c r="AA190" i="3" s="1"/>
  <c r="AA191" i="3" s="1"/>
  <c r="AA192" i="3" s="1"/>
  <c r="AA193" i="3" s="1"/>
  <c r="AA194" i="3" s="1"/>
  <c r="AA195" i="3" s="1"/>
  <c r="Z185" i="3"/>
  <c r="Z186" i="3" s="1"/>
  <c r="Z187" i="3" s="1"/>
  <c r="Z188" i="3" s="1"/>
  <c r="Z189" i="3" s="1"/>
  <c r="Z190" i="3" s="1"/>
  <c r="Z191" i="3" s="1"/>
  <c r="Z192" i="3" s="1"/>
  <c r="Z193" i="3" s="1"/>
  <c r="Z194" i="3" s="1"/>
  <c r="Z195" i="3" s="1"/>
  <c r="Z8" i="3"/>
  <c r="Z9" i="3" s="1"/>
  <c r="Z10" i="3" s="1"/>
  <c r="Z11" i="3" s="1"/>
  <c r="Z12" i="3" s="1"/>
  <c r="Z13" i="3" s="1"/>
  <c r="Z14" i="3" s="1"/>
  <c r="Z15" i="3" s="1"/>
  <c r="Z16" i="3" s="1"/>
  <c r="Z17" i="3" s="1"/>
  <c r="Z18" i="3" s="1"/>
  <c r="Y8" i="3"/>
  <c r="Y9" i="3" s="1"/>
  <c r="Y10" i="3" s="1"/>
  <c r="Y11" i="3" s="1"/>
  <c r="Y12" i="3" s="1"/>
  <c r="Y13" i="3" s="1"/>
  <c r="Y14" i="3" s="1"/>
  <c r="Y15" i="3" s="1"/>
  <c r="Y16" i="3" s="1"/>
  <c r="Y17" i="3" s="1"/>
  <c r="Y18" i="3" s="1"/>
  <c r="AA481" i="2" l="1"/>
  <c r="AA482" i="2" s="1"/>
  <c r="AA483" i="2" s="1"/>
  <c r="AA484" i="2" s="1"/>
  <c r="AA485" i="2" s="1"/>
  <c r="AA486" i="2" s="1"/>
  <c r="AA487" i="2" s="1"/>
  <c r="AA488" i="2" s="1"/>
  <c r="AA489" i="2" s="1"/>
  <c r="AA490" i="2" s="1"/>
  <c r="AA491" i="2" s="1"/>
  <c r="Z481" i="2"/>
  <c r="Z482" i="2" s="1"/>
  <c r="Z483" i="2" s="1"/>
  <c r="Z484" i="2" s="1"/>
  <c r="Z485" i="2" s="1"/>
  <c r="Z486" i="2" s="1"/>
  <c r="Z487" i="2" s="1"/>
  <c r="Z488" i="2" s="1"/>
  <c r="Z489" i="2" s="1"/>
  <c r="Z490" i="2" s="1"/>
  <c r="Z491" i="2" s="1"/>
  <c r="AA467" i="2"/>
  <c r="AA468" i="2" s="1"/>
  <c r="AA469" i="2" s="1"/>
  <c r="AA470" i="2" s="1"/>
  <c r="AA471" i="2" s="1"/>
  <c r="AA472" i="2" s="1"/>
  <c r="AA473" i="2" s="1"/>
  <c r="AA474" i="2" s="1"/>
  <c r="AA475" i="2" s="1"/>
  <c r="AA476" i="2" s="1"/>
  <c r="AA477" i="2" s="1"/>
  <c r="Z467" i="2"/>
  <c r="Z468" i="2" s="1"/>
  <c r="Z469" i="2" s="1"/>
  <c r="Z470" i="2" s="1"/>
  <c r="Z471" i="2" s="1"/>
  <c r="Z472" i="2" s="1"/>
  <c r="Z473" i="2" s="1"/>
  <c r="Z474" i="2" s="1"/>
  <c r="Z475" i="2" s="1"/>
  <c r="Z476" i="2" s="1"/>
  <c r="Z477" i="2" s="1"/>
  <c r="AA453" i="2"/>
  <c r="AA454" i="2" s="1"/>
  <c r="AA455" i="2" s="1"/>
  <c r="AA456" i="2" s="1"/>
  <c r="AA457" i="2" s="1"/>
  <c r="AA458" i="2" s="1"/>
  <c r="AA459" i="2" s="1"/>
  <c r="AA460" i="2" s="1"/>
  <c r="AA461" i="2" s="1"/>
  <c r="Z453" i="2"/>
  <c r="Z454" i="2" s="1"/>
  <c r="Z455" i="2" s="1"/>
  <c r="Z456" i="2" s="1"/>
  <c r="Z457" i="2" s="1"/>
  <c r="Z458" i="2" s="1"/>
  <c r="Z459" i="2" s="1"/>
  <c r="Z460" i="2" s="1"/>
  <c r="Z461" i="2" s="1"/>
  <c r="AA452" i="2"/>
  <c r="Z452" i="2"/>
  <c r="AA451" i="2"/>
  <c r="Z451" i="2"/>
  <c r="Z436" i="2"/>
  <c r="Z437" i="2" s="1"/>
  <c r="Z438" i="2" s="1"/>
  <c r="Z439" i="2" s="1"/>
  <c r="Z440" i="2" s="1"/>
  <c r="Z441" i="2" s="1"/>
  <c r="Z442" i="2" s="1"/>
  <c r="Z443" i="2" s="1"/>
  <c r="Z444" i="2" s="1"/>
  <c r="Z445" i="2" s="1"/>
  <c r="AA435" i="2"/>
  <c r="AA436" i="2" s="1"/>
  <c r="AA437" i="2" s="1"/>
  <c r="AA438" i="2" s="1"/>
  <c r="AA439" i="2" s="1"/>
  <c r="AA440" i="2" s="1"/>
  <c r="AA441" i="2" s="1"/>
  <c r="AA442" i="2" s="1"/>
  <c r="AA443" i="2" s="1"/>
  <c r="AA444" i="2" s="1"/>
  <c r="AA445" i="2" s="1"/>
  <c r="Z435" i="2"/>
  <c r="AA415" i="2"/>
  <c r="AA416" i="2" s="1"/>
  <c r="AA417" i="2" s="1"/>
  <c r="AA418" i="2" s="1"/>
  <c r="AA419" i="2" s="1"/>
  <c r="AA420" i="2" s="1"/>
  <c r="AA421" i="2" s="1"/>
  <c r="AA422" i="2" s="1"/>
  <c r="AA423" i="2" s="1"/>
  <c r="AA424" i="2" s="1"/>
  <c r="AA425" i="2" s="1"/>
  <c r="Z415" i="2"/>
  <c r="Z416" i="2" s="1"/>
  <c r="Z417" i="2" s="1"/>
  <c r="Z418" i="2" s="1"/>
  <c r="Z419" i="2" s="1"/>
  <c r="Z420" i="2" s="1"/>
  <c r="Z421" i="2" s="1"/>
  <c r="Z422" i="2" s="1"/>
  <c r="Z423" i="2" s="1"/>
  <c r="Z424" i="2" s="1"/>
  <c r="Z425" i="2" s="1"/>
  <c r="AA400" i="2"/>
  <c r="AA401" i="2" s="1"/>
  <c r="AA402" i="2" s="1"/>
  <c r="AA403" i="2" s="1"/>
  <c r="AA404" i="2" s="1"/>
  <c r="AA405" i="2" s="1"/>
  <c r="AA406" i="2" s="1"/>
  <c r="AA407" i="2" s="1"/>
  <c r="AA408" i="2" s="1"/>
  <c r="AA409" i="2" s="1"/>
  <c r="AA410" i="2" s="1"/>
  <c r="Z400" i="2"/>
  <c r="Z401" i="2" s="1"/>
  <c r="Z402" i="2" s="1"/>
  <c r="Z403" i="2" s="1"/>
  <c r="Z404" i="2" s="1"/>
  <c r="Z405" i="2" s="1"/>
  <c r="Z406" i="2" s="1"/>
  <c r="Z407" i="2" s="1"/>
  <c r="Z408" i="2" s="1"/>
  <c r="Z409" i="2" s="1"/>
  <c r="Z410" i="2" s="1"/>
  <c r="AA384" i="2"/>
  <c r="AA385" i="2" s="1"/>
  <c r="AA386" i="2" s="1"/>
  <c r="AA387" i="2" s="1"/>
  <c r="AA388" i="2" s="1"/>
  <c r="AA389" i="2" s="1"/>
  <c r="AA390" i="2" s="1"/>
  <c r="AA391" i="2" s="1"/>
  <c r="AA392" i="2" s="1"/>
  <c r="AA393" i="2" s="1"/>
  <c r="AA394" i="2" s="1"/>
  <c r="Z384" i="2"/>
  <c r="Z385" i="2" s="1"/>
  <c r="Z386" i="2" s="1"/>
  <c r="Z387" i="2" s="1"/>
  <c r="Z388" i="2" s="1"/>
  <c r="Z389" i="2" s="1"/>
  <c r="Z390" i="2" s="1"/>
  <c r="Z391" i="2" s="1"/>
  <c r="Z392" i="2" s="1"/>
  <c r="Z393" i="2" s="1"/>
  <c r="Z394" i="2" s="1"/>
  <c r="AA368" i="2"/>
  <c r="AA369" i="2" s="1"/>
  <c r="AA370" i="2" s="1"/>
  <c r="AA371" i="2" s="1"/>
  <c r="AA372" i="2" s="1"/>
  <c r="AA373" i="2" s="1"/>
  <c r="AA374" i="2" s="1"/>
  <c r="AA375" i="2" s="1"/>
  <c r="AA376" i="2" s="1"/>
  <c r="AA377" i="2" s="1"/>
  <c r="AA378" i="2" s="1"/>
  <c r="Z368" i="2"/>
  <c r="Z369" i="2" s="1"/>
  <c r="Z370" i="2" s="1"/>
  <c r="Z371" i="2" s="1"/>
  <c r="Z372" i="2" s="1"/>
  <c r="Z373" i="2" s="1"/>
  <c r="Z374" i="2" s="1"/>
  <c r="Z375" i="2" s="1"/>
  <c r="Z376" i="2" s="1"/>
  <c r="Z377" i="2" s="1"/>
  <c r="Z378" i="2" s="1"/>
  <c r="AA352" i="2"/>
  <c r="AA353" i="2" s="1"/>
  <c r="AA354" i="2" s="1"/>
  <c r="AA355" i="2" s="1"/>
  <c r="AA356" i="2" s="1"/>
  <c r="AA357" i="2" s="1"/>
  <c r="AA358" i="2" s="1"/>
  <c r="AA359" i="2" s="1"/>
  <c r="AA360" i="2" s="1"/>
  <c r="AA361" i="2" s="1"/>
  <c r="AA362" i="2" s="1"/>
  <c r="Z352" i="2"/>
  <c r="Z353" i="2" s="1"/>
  <c r="Z354" i="2" s="1"/>
  <c r="Z355" i="2" s="1"/>
  <c r="Z356" i="2" s="1"/>
  <c r="Z357" i="2" s="1"/>
  <c r="Z358" i="2" s="1"/>
  <c r="Z359" i="2" s="1"/>
  <c r="Z360" i="2" s="1"/>
  <c r="Z361" i="2" s="1"/>
  <c r="Z362" i="2" s="1"/>
  <c r="AA331" i="2"/>
  <c r="AA332" i="2" s="1"/>
  <c r="AA333" i="2" s="1"/>
  <c r="AA334" i="2" s="1"/>
  <c r="AA335" i="2" s="1"/>
  <c r="AA336" i="2" s="1"/>
  <c r="AA337" i="2" s="1"/>
  <c r="AA338" i="2" s="1"/>
  <c r="AA339" i="2" s="1"/>
  <c r="AA340" i="2" s="1"/>
  <c r="AA341" i="2" s="1"/>
  <c r="Z331" i="2"/>
  <c r="Z332" i="2" s="1"/>
  <c r="Z333" i="2" s="1"/>
  <c r="Z334" i="2" s="1"/>
  <c r="Z335" i="2" s="1"/>
  <c r="Z336" i="2" s="1"/>
  <c r="Z337" i="2" s="1"/>
  <c r="Z338" i="2" s="1"/>
  <c r="Z339" i="2" s="1"/>
  <c r="Z340" i="2" s="1"/>
  <c r="Z341" i="2" s="1"/>
  <c r="AA316" i="2"/>
  <c r="AA317" i="2" s="1"/>
  <c r="AA318" i="2" s="1"/>
  <c r="AA319" i="2" s="1"/>
  <c r="AA320" i="2" s="1"/>
  <c r="AA321" i="2" s="1"/>
  <c r="AA322" i="2" s="1"/>
  <c r="AA323" i="2" s="1"/>
  <c r="AA324" i="2" s="1"/>
  <c r="AA325" i="2" s="1"/>
  <c r="AA326" i="2" s="1"/>
  <c r="Z316" i="2"/>
  <c r="Z317" i="2" s="1"/>
  <c r="Z318" i="2" s="1"/>
  <c r="Z319" i="2" s="1"/>
  <c r="Z320" i="2" s="1"/>
  <c r="Z321" i="2" s="1"/>
  <c r="Z322" i="2" s="1"/>
  <c r="Z323" i="2" s="1"/>
  <c r="Z324" i="2" s="1"/>
  <c r="Z325" i="2" s="1"/>
  <c r="Z326" i="2" s="1"/>
  <c r="AA300" i="2"/>
  <c r="AA301" i="2" s="1"/>
  <c r="AA302" i="2" s="1"/>
  <c r="AA303" i="2" s="1"/>
  <c r="AA304" i="2" s="1"/>
  <c r="AA305" i="2" s="1"/>
  <c r="AA306" i="2" s="1"/>
  <c r="AA307" i="2" s="1"/>
  <c r="AA308" i="2" s="1"/>
  <c r="AA309" i="2" s="1"/>
  <c r="AA310" i="2" s="1"/>
  <c r="Z300" i="2"/>
  <c r="Z301" i="2" s="1"/>
  <c r="Z302" i="2" s="1"/>
  <c r="Z303" i="2" s="1"/>
  <c r="Z304" i="2" s="1"/>
  <c r="Z305" i="2" s="1"/>
  <c r="Z306" i="2" s="1"/>
  <c r="Z307" i="2" s="1"/>
  <c r="Z308" i="2" s="1"/>
  <c r="Z309" i="2" s="1"/>
  <c r="Z310" i="2" s="1"/>
  <c r="AA284" i="2"/>
  <c r="AA285" i="2" s="1"/>
  <c r="AA286" i="2" s="1"/>
  <c r="AA287" i="2" s="1"/>
  <c r="AA288" i="2" s="1"/>
  <c r="AA289" i="2" s="1"/>
  <c r="AA290" i="2" s="1"/>
  <c r="AA291" i="2" s="1"/>
  <c r="AA292" i="2" s="1"/>
  <c r="AA293" i="2" s="1"/>
  <c r="AA294" i="2" s="1"/>
  <c r="Z284" i="2"/>
  <c r="Z285" i="2" s="1"/>
  <c r="Z286" i="2" s="1"/>
  <c r="Z287" i="2" s="1"/>
  <c r="Z288" i="2" s="1"/>
  <c r="Z289" i="2" s="1"/>
  <c r="Z290" i="2" s="1"/>
  <c r="Z291" i="2" s="1"/>
  <c r="Z292" i="2" s="1"/>
  <c r="Z293" i="2" s="1"/>
  <c r="Z294" i="2" s="1"/>
  <c r="AA265" i="2"/>
  <c r="AA266" i="2" s="1"/>
  <c r="AA267" i="2" s="1"/>
  <c r="AA268" i="2" s="1"/>
  <c r="AA269" i="2" s="1"/>
  <c r="AA270" i="2" s="1"/>
  <c r="AA271" i="2" s="1"/>
  <c r="AA272" i="2" s="1"/>
  <c r="AA273" i="2" s="1"/>
  <c r="AA274" i="2" s="1"/>
  <c r="AA275" i="2" s="1"/>
  <c r="Z265" i="2"/>
  <c r="Z266" i="2" s="1"/>
  <c r="Z267" i="2" s="1"/>
  <c r="Z268" i="2" s="1"/>
  <c r="Z269" i="2" s="1"/>
  <c r="Z270" i="2" s="1"/>
  <c r="Z271" i="2" s="1"/>
  <c r="Z272" i="2" s="1"/>
  <c r="Z273" i="2" s="1"/>
  <c r="Z274" i="2" s="1"/>
  <c r="Z275" i="2" s="1"/>
  <c r="AA250" i="2"/>
  <c r="AA251" i="2" s="1"/>
  <c r="AA252" i="2" s="1"/>
  <c r="AA253" i="2" s="1"/>
  <c r="AA254" i="2" s="1"/>
  <c r="AA255" i="2" s="1"/>
  <c r="AA256" i="2" s="1"/>
  <c r="AA257" i="2" s="1"/>
  <c r="AA258" i="2" s="1"/>
  <c r="AA259" i="2" s="1"/>
  <c r="AA260" i="2" s="1"/>
  <c r="Z250" i="2"/>
  <c r="Z251" i="2" s="1"/>
  <c r="Z252" i="2" s="1"/>
  <c r="Z253" i="2" s="1"/>
  <c r="Z254" i="2" s="1"/>
  <c r="Z255" i="2" s="1"/>
  <c r="Z256" i="2" s="1"/>
  <c r="Z257" i="2" s="1"/>
  <c r="Z258" i="2" s="1"/>
  <c r="Z259" i="2" s="1"/>
  <c r="Z260" i="2" s="1"/>
  <c r="AA234" i="2"/>
  <c r="AA235" i="2" s="1"/>
  <c r="AA236" i="2" s="1"/>
  <c r="AA237" i="2" s="1"/>
  <c r="AA238" i="2" s="1"/>
  <c r="AA239" i="2" s="1"/>
  <c r="AA240" i="2" s="1"/>
  <c r="AA241" i="2" s="1"/>
  <c r="AA242" i="2" s="1"/>
  <c r="AA243" i="2" s="1"/>
  <c r="AA244" i="2" s="1"/>
  <c r="Z234" i="2"/>
  <c r="Z235" i="2" s="1"/>
  <c r="Z236" i="2" s="1"/>
  <c r="Z237" i="2" s="1"/>
  <c r="Z238" i="2" s="1"/>
  <c r="Z239" i="2" s="1"/>
  <c r="Z240" i="2" s="1"/>
  <c r="Z241" i="2" s="1"/>
  <c r="Z242" i="2" s="1"/>
  <c r="Z243" i="2" s="1"/>
  <c r="Z244" i="2" s="1"/>
  <c r="AA218" i="2"/>
  <c r="AA219" i="2" s="1"/>
  <c r="AA220" i="2" s="1"/>
  <c r="AA221" i="2" s="1"/>
  <c r="AA222" i="2" s="1"/>
  <c r="AA223" i="2" s="1"/>
  <c r="AA224" i="2" s="1"/>
  <c r="AA225" i="2" s="1"/>
  <c r="AA226" i="2" s="1"/>
  <c r="AA227" i="2" s="1"/>
  <c r="AA228" i="2" s="1"/>
  <c r="Z218" i="2"/>
  <c r="Z219" i="2" s="1"/>
  <c r="Z220" i="2" s="1"/>
  <c r="Z221" i="2" s="1"/>
  <c r="Z222" i="2" s="1"/>
  <c r="Z223" i="2" s="1"/>
  <c r="Z224" i="2" s="1"/>
  <c r="Z225" i="2" s="1"/>
  <c r="Z226" i="2" s="1"/>
  <c r="Z227" i="2" s="1"/>
  <c r="Z228" i="2" s="1"/>
  <c r="AA203" i="2"/>
  <c r="AA204" i="2" s="1"/>
  <c r="AA205" i="2" s="1"/>
  <c r="AA206" i="2" s="1"/>
  <c r="AA207" i="2" s="1"/>
  <c r="AA208" i="2" s="1"/>
  <c r="AA209" i="2" s="1"/>
  <c r="AA210" i="2" s="1"/>
  <c r="AA211" i="2" s="1"/>
  <c r="AA212" i="2" s="1"/>
  <c r="AA213" i="2" s="1"/>
  <c r="Z203" i="2"/>
  <c r="Z204" i="2" s="1"/>
  <c r="Z205" i="2" s="1"/>
  <c r="Z206" i="2" s="1"/>
  <c r="Z207" i="2" s="1"/>
  <c r="Z208" i="2" s="1"/>
  <c r="Z209" i="2" s="1"/>
  <c r="Z210" i="2" s="1"/>
  <c r="Z211" i="2" s="1"/>
  <c r="Z212" i="2" s="1"/>
  <c r="Z213" i="2" s="1"/>
  <c r="AA185" i="2"/>
  <c r="AA186" i="2" s="1"/>
  <c r="AA187" i="2" s="1"/>
  <c r="AA188" i="2" s="1"/>
  <c r="AA189" i="2" s="1"/>
  <c r="AA190" i="2" s="1"/>
  <c r="AA191" i="2" s="1"/>
  <c r="AA192" i="2" s="1"/>
  <c r="AA193" i="2" s="1"/>
  <c r="AA194" i="2" s="1"/>
  <c r="AA195" i="2" s="1"/>
  <c r="Z185" i="2"/>
  <c r="Z186" i="2" s="1"/>
  <c r="Z187" i="2" s="1"/>
  <c r="Z188" i="2" s="1"/>
  <c r="Z189" i="2" s="1"/>
  <c r="Z190" i="2" s="1"/>
  <c r="Z191" i="2" s="1"/>
  <c r="Z192" i="2" s="1"/>
  <c r="Z193" i="2" s="1"/>
  <c r="Z194" i="2" s="1"/>
  <c r="Z195" i="2" s="1"/>
  <c r="Z8" i="2"/>
  <c r="Z9" i="2" s="1"/>
  <c r="Z10" i="2" s="1"/>
  <c r="Z11" i="2" s="1"/>
  <c r="Z12" i="2" s="1"/>
  <c r="Z13" i="2" s="1"/>
  <c r="Z14" i="2" s="1"/>
  <c r="Z15" i="2" s="1"/>
  <c r="Z16" i="2" s="1"/>
  <c r="Z17" i="2" s="1"/>
  <c r="Z18" i="2" s="1"/>
  <c r="Y8" i="2"/>
  <c r="Y9" i="2" s="1"/>
  <c r="Y10" i="2" s="1"/>
  <c r="Y11" i="2" s="1"/>
  <c r="Y12" i="2" s="1"/>
  <c r="Y13" i="2" s="1"/>
  <c r="Y14" i="2" s="1"/>
  <c r="Y15" i="2" s="1"/>
  <c r="Y16" i="2" s="1"/>
  <c r="Y17" i="2" s="1"/>
  <c r="Y18" i="2" s="1"/>
  <c r="AA210" i="1" l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Z210" i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AA472" i="1"/>
  <c r="AA473" i="1" s="1"/>
  <c r="AA474" i="1" s="1"/>
  <c r="AA475" i="1" s="1"/>
  <c r="AA476" i="1" s="1"/>
  <c r="AA477" i="1" s="1"/>
  <c r="AA478" i="1" s="1"/>
  <c r="AA479" i="1" s="1"/>
  <c r="AA480" i="1" s="1"/>
  <c r="AA481" i="1" s="1"/>
  <c r="AA482" i="1" s="1"/>
  <c r="Z472" i="1"/>
  <c r="Z473" i="1" s="1"/>
  <c r="Z474" i="1" s="1"/>
  <c r="Z475" i="1" s="1"/>
  <c r="Z476" i="1" s="1"/>
  <c r="Z477" i="1" s="1"/>
  <c r="Z478" i="1" s="1"/>
  <c r="Z479" i="1" s="1"/>
  <c r="Z480" i="1" s="1"/>
  <c r="Z481" i="1" s="1"/>
  <c r="Z482" i="1" s="1"/>
  <c r="AA456" i="1"/>
  <c r="AA457" i="1" s="1"/>
  <c r="AA458" i="1" s="1"/>
  <c r="AA459" i="1" s="1"/>
  <c r="AA460" i="1" s="1"/>
  <c r="AA461" i="1" s="1"/>
  <c r="AA462" i="1" s="1"/>
  <c r="AA463" i="1" s="1"/>
  <c r="AA464" i="1" s="1"/>
  <c r="AA465" i="1" s="1"/>
  <c r="AA466" i="1" s="1"/>
  <c r="Z456" i="1"/>
  <c r="Z457" i="1" s="1"/>
  <c r="Z458" i="1" s="1"/>
  <c r="Z459" i="1" s="1"/>
  <c r="Z460" i="1" s="1"/>
  <c r="Z461" i="1" s="1"/>
  <c r="Z462" i="1" s="1"/>
  <c r="Z463" i="1" s="1"/>
  <c r="Z464" i="1" s="1"/>
  <c r="Z465" i="1" s="1"/>
  <c r="Z466" i="1" s="1"/>
  <c r="AA440" i="1"/>
  <c r="AA441" i="1" s="1"/>
  <c r="AA442" i="1" s="1"/>
  <c r="AA443" i="1" s="1"/>
  <c r="AA444" i="1" s="1"/>
  <c r="AA445" i="1" s="1"/>
  <c r="AA446" i="1" s="1"/>
  <c r="AA447" i="1" s="1"/>
  <c r="AA448" i="1" s="1"/>
  <c r="AA449" i="1" s="1"/>
  <c r="AA450" i="1" s="1"/>
  <c r="Z440" i="1"/>
  <c r="Z441" i="1" s="1"/>
  <c r="Z442" i="1" s="1"/>
  <c r="Z443" i="1" s="1"/>
  <c r="Z444" i="1" s="1"/>
  <c r="Z445" i="1" s="1"/>
  <c r="Z446" i="1" s="1"/>
  <c r="Z447" i="1" s="1"/>
  <c r="Z448" i="1" s="1"/>
  <c r="Z449" i="1" s="1"/>
  <c r="Z450" i="1" s="1"/>
  <c r="AA424" i="1"/>
  <c r="AA425" i="1" s="1"/>
  <c r="AA426" i="1" s="1"/>
  <c r="AA427" i="1" s="1"/>
  <c r="AA428" i="1" s="1"/>
  <c r="AA429" i="1" s="1"/>
  <c r="AA430" i="1" s="1"/>
  <c r="AA431" i="1" s="1"/>
  <c r="AA432" i="1" s="1"/>
  <c r="AA433" i="1" s="1"/>
  <c r="AA434" i="1" s="1"/>
  <c r="Z424" i="1"/>
  <c r="Z425" i="1" s="1"/>
  <c r="Z426" i="1" s="1"/>
  <c r="Z427" i="1" s="1"/>
  <c r="Z428" i="1" s="1"/>
  <c r="Z429" i="1" s="1"/>
  <c r="Z430" i="1" s="1"/>
  <c r="Z431" i="1" s="1"/>
  <c r="Z432" i="1" s="1"/>
  <c r="Z433" i="1" s="1"/>
  <c r="Z434" i="1" s="1"/>
  <c r="AA405" i="1"/>
  <c r="AA406" i="1" s="1"/>
  <c r="AA407" i="1" s="1"/>
  <c r="AA408" i="1" s="1"/>
  <c r="AA409" i="1" s="1"/>
  <c r="AA410" i="1" s="1"/>
  <c r="AA411" i="1" s="1"/>
  <c r="AA412" i="1" s="1"/>
  <c r="AA413" i="1" s="1"/>
  <c r="AA414" i="1" s="1"/>
  <c r="AA415" i="1" s="1"/>
  <c r="Z405" i="1"/>
  <c r="Z406" i="1" s="1"/>
  <c r="Z407" i="1" s="1"/>
  <c r="Z408" i="1" s="1"/>
  <c r="Z409" i="1" s="1"/>
  <c r="Z410" i="1" s="1"/>
  <c r="Z411" i="1" s="1"/>
  <c r="Z412" i="1" s="1"/>
  <c r="Z413" i="1" s="1"/>
  <c r="Z414" i="1" s="1"/>
  <c r="Z415" i="1" s="1"/>
  <c r="AA390" i="1"/>
  <c r="AA391" i="1" s="1"/>
  <c r="AA392" i="1" s="1"/>
  <c r="AA393" i="1" s="1"/>
  <c r="AA394" i="1" s="1"/>
  <c r="AA395" i="1" s="1"/>
  <c r="AA396" i="1" s="1"/>
  <c r="AA397" i="1" s="1"/>
  <c r="AA398" i="1" s="1"/>
  <c r="AA399" i="1" s="1"/>
  <c r="AA400" i="1" s="1"/>
  <c r="Z390" i="1"/>
  <c r="Z391" i="1" s="1"/>
  <c r="Z392" i="1" s="1"/>
  <c r="Z393" i="1" s="1"/>
  <c r="Z394" i="1" s="1"/>
  <c r="Z395" i="1" s="1"/>
  <c r="Z396" i="1" s="1"/>
  <c r="Z397" i="1" s="1"/>
  <c r="Z398" i="1" s="1"/>
  <c r="Z399" i="1" s="1"/>
  <c r="Z400" i="1" s="1"/>
  <c r="AA374" i="1"/>
  <c r="AA375" i="1" s="1"/>
  <c r="AA376" i="1" s="1"/>
  <c r="AA377" i="1" s="1"/>
  <c r="AA378" i="1" s="1"/>
  <c r="AA379" i="1" s="1"/>
  <c r="AA380" i="1" s="1"/>
  <c r="AA381" i="1" s="1"/>
  <c r="AA382" i="1" s="1"/>
  <c r="AA383" i="1" s="1"/>
  <c r="AA384" i="1" s="1"/>
  <c r="Z374" i="1"/>
  <c r="Z375" i="1" s="1"/>
  <c r="Z376" i="1" s="1"/>
  <c r="Z377" i="1" s="1"/>
  <c r="Z378" i="1" s="1"/>
  <c r="Z379" i="1" s="1"/>
  <c r="Z380" i="1" s="1"/>
  <c r="Z381" i="1" s="1"/>
  <c r="Z382" i="1" s="1"/>
  <c r="Z383" i="1" s="1"/>
  <c r="Z384" i="1" s="1"/>
  <c r="AA358" i="1"/>
  <c r="AA359" i="1" s="1"/>
  <c r="AA360" i="1" s="1"/>
  <c r="AA361" i="1" s="1"/>
  <c r="AA362" i="1" s="1"/>
  <c r="AA363" i="1" s="1"/>
  <c r="AA364" i="1" s="1"/>
  <c r="AA365" i="1" s="1"/>
  <c r="AA366" i="1" s="1"/>
  <c r="AA367" i="1" s="1"/>
  <c r="AA368" i="1" s="1"/>
  <c r="Z358" i="1"/>
  <c r="Z359" i="1" s="1"/>
  <c r="Z360" i="1" s="1"/>
  <c r="Z361" i="1" s="1"/>
  <c r="Z362" i="1" s="1"/>
  <c r="Z363" i="1" s="1"/>
  <c r="Z364" i="1" s="1"/>
  <c r="Z365" i="1" s="1"/>
  <c r="Z366" i="1" s="1"/>
  <c r="Z367" i="1" s="1"/>
  <c r="Z368" i="1" s="1"/>
  <c r="AA342" i="1"/>
  <c r="AA343" i="1" s="1"/>
  <c r="AA344" i="1" s="1"/>
  <c r="AA345" i="1" s="1"/>
  <c r="AA346" i="1" s="1"/>
  <c r="AA347" i="1" s="1"/>
  <c r="AA348" i="1" s="1"/>
  <c r="AA349" i="1" s="1"/>
  <c r="AA350" i="1" s="1"/>
  <c r="AA351" i="1" s="1"/>
  <c r="AA352" i="1" s="1"/>
  <c r="Z342" i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AA322" i="1"/>
  <c r="AA323" i="1" s="1"/>
  <c r="AA324" i="1" s="1"/>
  <c r="AA325" i="1" s="1"/>
  <c r="AA326" i="1" s="1"/>
  <c r="AA327" i="1" s="1"/>
  <c r="AA328" i="1" s="1"/>
  <c r="AA329" i="1" s="1"/>
  <c r="AA330" i="1" s="1"/>
  <c r="AA331" i="1" s="1"/>
  <c r="AA332" i="1" s="1"/>
  <c r="Z322" i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AA307" i="1"/>
  <c r="AA308" i="1" s="1"/>
  <c r="AA309" i="1" s="1"/>
  <c r="AA310" i="1" s="1"/>
  <c r="AA311" i="1" s="1"/>
  <c r="AA312" i="1" s="1"/>
  <c r="AA313" i="1" s="1"/>
  <c r="AA314" i="1" s="1"/>
  <c r="AA315" i="1" s="1"/>
  <c r="AA316" i="1" s="1"/>
  <c r="AA317" i="1" s="1"/>
  <c r="Z307" i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AA291" i="1"/>
  <c r="AA292" i="1" s="1"/>
  <c r="AA293" i="1" s="1"/>
  <c r="AA294" i="1" s="1"/>
  <c r="AA295" i="1" s="1"/>
  <c r="AA296" i="1" s="1"/>
  <c r="AA297" i="1" s="1"/>
  <c r="AA298" i="1" s="1"/>
  <c r="AA299" i="1" s="1"/>
  <c r="AA300" i="1" s="1"/>
  <c r="AA301" i="1" s="1"/>
  <c r="Z291" i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AA275" i="1"/>
  <c r="AA276" i="1" s="1"/>
  <c r="AA277" i="1" s="1"/>
  <c r="AA278" i="1" s="1"/>
  <c r="AA279" i="1" s="1"/>
  <c r="AA280" i="1" s="1"/>
  <c r="AA281" i="1" s="1"/>
  <c r="AA282" i="1" s="1"/>
  <c r="AA283" i="1" s="1"/>
  <c r="AA284" i="1" s="1"/>
  <c r="AA285" i="1" s="1"/>
  <c r="Z275" i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AA257" i="1"/>
  <c r="AA258" i="1" s="1"/>
  <c r="AA259" i="1" s="1"/>
  <c r="AA260" i="1" s="1"/>
  <c r="AA261" i="1" s="1"/>
  <c r="AA262" i="1" s="1"/>
  <c r="AA263" i="1" s="1"/>
  <c r="AA264" i="1" s="1"/>
  <c r="AA265" i="1" s="1"/>
  <c r="AA266" i="1" s="1"/>
  <c r="AA267" i="1" s="1"/>
  <c r="Z257" i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AA242" i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Z242" i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AA226" i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Z226" i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AA196" i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Z196" i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G39" i="1"/>
  <c r="I179" i="4" l="1"/>
  <c r="I168" i="4"/>
  <c r="I165" i="4"/>
  <c r="I154" i="4"/>
  <c r="J154" i="4"/>
  <c r="I152" i="4"/>
  <c r="I141" i="4"/>
  <c r="J141" i="4"/>
  <c r="I139" i="4"/>
  <c r="I128" i="4"/>
  <c r="J128" i="4"/>
  <c r="I126" i="4"/>
  <c r="I115" i="4"/>
  <c r="I112" i="4"/>
  <c r="J112" i="4" s="1"/>
  <c r="I101" i="4"/>
  <c r="I98" i="4"/>
  <c r="I87" i="4"/>
  <c r="J87" i="4"/>
  <c r="I84" i="4"/>
  <c r="I73" i="4"/>
  <c r="J73" i="4"/>
  <c r="I68" i="4"/>
  <c r="I57" i="4"/>
  <c r="I53" i="4"/>
  <c r="I52" i="4"/>
  <c r="I51" i="4"/>
  <c r="I50" i="4"/>
  <c r="J50" i="4"/>
  <c r="I49" i="4"/>
  <c r="I48" i="4"/>
  <c r="J48" i="4"/>
  <c r="I47" i="4"/>
  <c r="I46" i="4"/>
  <c r="J46" i="4"/>
  <c r="I45" i="4"/>
  <c r="I44" i="4"/>
  <c r="J44" i="4"/>
  <c r="I43" i="4"/>
  <c r="I42" i="4"/>
  <c r="J42" i="4"/>
  <c r="J139" i="4" l="1"/>
  <c r="J43" i="4"/>
  <c r="J47" i="4"/>
  <c r="J126" i="4"/>
  <c r="J152" i="4"/>
  <c r="J179" i="4"/>
  <c r="J168" i="4"/>
  <c r="J101" i="4"/>
  <c r="J57" i="4"/>
  <c r="J68" i="4"/>
  <c r="J52" i="4"/>
  <c r="J115" i="4"/>
  <c r="J45" i="4"/>
  <c r="J49" i="4"/>
  <c r="J53" i="4"/>
  <c r="J98" i="4"/>
  <c r="J165" i="4"/>
  <c r="J51" i="4"/>
  <c r="J84" i="4"/>
  <c r="I179" i="2"/>
  <c r="J179" i="2"/>
  <c r="I168" i="2"/>
  <c r="J168" i="2"/>
  <c r="I165" i="2"/>
  <c r="I154" i="2"/>
  <c r="J154" i="2"/>
  <c r="I152" i="2"/>
  <c r="I141" i="2"/>
  <c r="I139" i="2"/>
  <c r="I128" i="2"/>
  <c r="J128" i="2"/>
  <c r="I126" i="2"/>
  <c r="J126" i="2"/>
  <c r="I115" i="2"/>
  <c r="I112" i="2"/>
  <c r="I101" i="2"/>
  <c r="J101" i="2"/>
  <c r="I98" i="2"/>
  <c r="I87" i="2"/>
  <c r="I84" i="2"/>
  <c r="I73" i="2"/>
  <c r="J73" i="2"/>
  <c r="I70" i="2"/>
  <c r="I59" i="2"/>
  <c r="J59" i="2"/>
  <c r="I56" i="2"/>
  <c r="I45" i="2"/>
  <c r="J176" i="1"/>
  <c r="J165" i="1"/>
  <c r="J162" i="1"/>
  <c r="J151" i="1"/>
  <c r="J149" i="1"/>
  <c r="J138" i="1"/>
  <c r="J136" i="1"/>
  <c r="J125" i="1"/>
  <c r="J123" i="1"/>
  <c r="J112" i="1"/>
  <c r="J109" i="1"/>
  <c r="J98" i="1"/>
  <c r="J95" i="1"/>
  <c r="J84" i="1"/>
  <c r="J81" i="1"/>
  <c r="J70" i="1"/>
  <c r="J67" i="1"/>
  <c r="J56" i="1"/>
  <c r="J53" i="1"/>
  <c r="J42" i="1"/>
  <c r="I179" i="3"/>
  <c r="J179" i="3" s="1"/>
  <c r="I168" i="3"/>
  <c r="I165" i="3"/>
  <c r="J165" i="3" s="1"/>
  <c r="I154" i="3"/>
  <c r="I152" i="3"/>
  <c r="J152" i="3" s="1"/>
  <c r="I141" i="3"/>
  <c r="I139" i="3"/>
  <c r="J139" i="3" s="1"/>
  <c r="I128" i="3"/>
  <c r="I126" i="3"/>
  <c r="J126" i="3" s="1"/>
  <c r="I115" i="3"/>
  <c r="J115" i="3" s="1"/>
  <c r="I112" i="3"/>
  <c r="J112" i="3" s="1"/>
  <c r="I101" i="3"/>
  <c r="J101" i="3" s="1"/>
  <c r="I98" i="3"/>
  <c r="I87" i="3"/>
  <c r="J87" i="3" s="1"/>
  <c r="I84" i="3"/>
  <c r="I73" i="3"/>
  <c r="J73" i="3" s="1"/>
  <c r="I68" i="3"/>
  <c r="I57" i="3"/>
  <c r="I53" i="3"/>
  <c r="I52" i="3"/>
  <c r="I51" i="3"/>
  <c r="I50" i="3"/>
  <c r="J50" i="3" s="1"/>
  <c r="I49" i="3"/>
  <c r="I48" i="3"/>
  <c r="J48" i="3" s="1"/>
  <c r="I47" i="3"/>
  <c r="J47" i="3" s="1"/>
  <c r="I46" i="3"/>
  <c r="J46" i="3" s="1"/>
  <c r="I45" i="3"/>
  <c r="J45" i="3" s="1"/>
  <c r="I44" i="3"/>
  <c r="J44" i="3" s="1"/>
  <c r="I43" i="3"/>
  <c r="I42" i="3"/>
  <c r="J42" i="3" s="1"/>
  <c r="J68" i="3" l="1"/>
  <c r="J168" i="3"/>
  <c r="J43" i="3"/>
  <c r="J98" i="3"/>
  <c r="J154" i="3"/>
  <c r="J57" i="3"/>
  <c r="J84" i="3"/>
  <c r="J51" i="3"/>
  <c r="J128" i="3"/>
  <c r="J52" i="3"/>
  <c r="J141" i="3"/>
  <c r="J49" i="3"/>
  <c r="J53" i="3"/>
  <c r="J84" i="2"/>
  <c r="J112" i="2"/>
  <c r="J165" i="2"/>
  <c r="J141" i="2"/>
  <c r="J45" i="2"/>
  <c r="J152" i="2"/>
  <c r="J139" i="2"/>
  <c r="J70" i="2"/>
  <c r="J56" i="2"/>
  <c r="J87" i="2"/>
  <c r="J98" i="2"/>
  <c r="J115" i="2"/>
  <c r="J67" i="9"/>
  <c r="J68" i="9" s="1"/>
  <c r="J69" i="9" s="1"/>
  <c r="J70" i="9" s="1"/>
  <c r="B67" i="9"/>
  <c r="B68" i="9" s="1"/>
  <c r="B69" i="9" s="1"/>
  <c r="B70" i="9" s="1"/>
  <c r="C56" i="9"/>
  <c r="C57" i="9" s="1"/>
  <c r="C58" i="9" s="1"/>
  <c r="C59" i="9" s="1"/>
  <c r="K47" i="9"/>
  <c r="K48" i="9" s="1"/>
  <c r="K49" i="9" s="1"/>
  <c r="K50" i="9" s="1"/>
  <c r="J34" i="9"/>
  <c r="J35" i="9" s="1"/>
  <c r="J36" i="9" s="1"/>
  <c r="J37" i="9" s="1"/>
  <c r="B34" i="9"/>
  <c r="B35" i="9" s="1"/>
  <c r="B36" i="9" s="1"/>
  <c r="B37" i="9" s="1"/>
  <c r="J24" i="9"/>
  <c r="J25" i="9" s="1"/>
  <c r="J26" i="9" s="1"/>
  <c r="J27" i="9" s="1"/>
  <c r="B24" i="9"/>
  <c r="B25" i="9" s="1"/>
  <c r="B26" i="9" s="1"/>
  <c r="B27" i="9" s="1"/>
  <c r="J14" i="9"/>
  <c r="J15" i="9" s="1"/>
  <c r="J16" i="9" s="1"/>
  <c r="J17" i="9" s="1"/>
  <c r="B14" i="9"/>
  <c r="B15" i="9" s="1"/>
  <c r="B16" i="9" s="1"/>
  <c r="B17" i="9" s="1"/>
  <c r="B4" i="9"/>
  <c r="B5" i="9" s="1"/>
  <c r="B6" i="9" s="1"/>
  <c r="B7" i="9" s="1"/>
  <c r="I39" i="4"/>
  <c r="I28" i="4"/>
  <c r="I39" i="3"/>
  <c r="I28" i="3"/>
  <c r="Z8" i="1" l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Y8" i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G28" i="1"/>
  <c r="J28" i="1" s="1"/>
  <c r="E29" i="1"/>
  <c r="G29" i="1" l="1"/>
  <c r="J29" i="1" s="1"/>
  <c r="G39" i="4" l="1"/>
  <c r="J39" i="4" l="1"/>
  <c r="J39" i="1" l="1"/>
  <c r="E169" i="4" l="1"/>
  <c r="G169" i="4" s="1"/>
  <c r="K165" i="4"/>
  <c r="E155" i="4"/>
  <c r="G155" i="4" s="1"/>
  <c r="K154" i="4"/>
  <c r="E142" i="4"/>
  <c r="G142" i="4" s="1"/>
  <c r="E129" i="4"/>
  <c r="G129" i="4" s="1"/>
  <c r="E116" i="4"/>
  <c r="G116" i="4" s="1"/>
  <c r="E102" i="4"/>
  <c r="G102" i="4" s="1"/>
  <c r="E88" i="4"/>
  <c r="G88" i="4" s="1"/>
  <c r="E74" i="4"/>
  <c r="G74" i="4" s="1"/>
  <c r="E58" i="4"/>
  <c r="G58" i="4" s="1"/>
  <c r="E29" i="4"/>
  <c r="I29" i="4" s="1"/>
  <c r="G28" i="4"/>
  <c r="J28" i="4" s="1"/>
  <c r="AI4" i="4"/>
  <c r="AJ4" i="4" s="1"/>
  <c r="AH4" i="4"/>
  <c r="I58" i="4" l="1"/>
  <c r="E59" i="4"/>
  <c r="I155" i="4"/>
  <c r="I88" i="4"/>
  <c r="E156" i="4"/>
  <c r="G156" i="4" s="1"/>
  <c r="I142" i="4"/>
  <c r="I74" i="4"/>
  <c r="E89" i="4"/>
  <c r="I102" i="4"/>
  <c r="J102" i="4" s="1"/>
  <c r="I169" i="4"/>
  <c r="I116" i="4"/>
  <c r="I129" i="4"/>
  <c r="AK4" i="4"/>
  <c r="E143" i="4"/>
  <c r="G143" i="4" s="1"/>
  <c r="AM4" i="4"/>
  <c r="AL4" i="4" s="1"/>
  <c r="AP4" i="4" s="1"/>
  <c r="E75" i="4"/>
  <c r="G75" i="4" s="1"/>
  <c r="E117" i="4"/>
  <c r="G29" i="4"/>
  <c r="E103" i="4"/>
  <c r="G103" i="4" s="1"/>
  <c r="E30" i="4"/>
  <c r="I30" i="4" s="1"/>
  <c r="E130" i="4"/>
  <c r="G130" i="4" s="1"/>
  <c r="E170" i="4"/>
  <c r="G170" i="4" s="1"/>
  <c r="E60" i="4" l="1"/>
  <c r="G59" i="4"/>
  <c r="E118" i="4"/>
  <c r="G118" i="4" s="1"/>
  <c r="G117" i="4"/>
  <c r="E90" i="4"/>
  <c r="G90" i="4" s="1"/>
  <c r="G89" i="4"/>
  <c r="J116" i="4"/>
  <c r="J74" i="4"/>
  <c r="J129" i="4"/>
  <c r="J88" i="4"/>
  <c r="J155" i="4"/>
  <c r="K155" i="4" s="1"/>
  <c r="J142" i="4"/>
  <c r="J58" i="4"/>
  <c r="I143" i="4"/>
  <c r="I103" i="4"/>
  <c r="J103" i="4" s="1"/>
  <c r="I89" i="4"/>
  <c r="I130" i="4"/>
  <c r="I170" i="4"/>
  <c r="E31" i="4"/>
  <c r="I31" i="4" s="1"/>
  <c r="E131" i="4"/>
  <c r="G131" i="4" s="1"/>
  <c r="I118" i="4"/>
  <c r="I117" i="4"/>
  <c r="I59" i="4"/>
  <c r="I156" i="4"/>
  <c r="E157" i="4"/>
  <c r="G157" i="4" s="1"/>
  <c r="I75" i="4"/>
  <c r="I60" i="4"/>
  <c r="J169" i="4"/>
  <c r="J29" i="4"/>
  <c r="E76" i="4"/>
  <c r="G76" i="4" s="1"/>
  <c r="E144" i="4"/>
  <c r="G144" i="4" s="1"/>
  <c r="G30" i="4"/>
  <c r="E104" i="4"/>
  <c r="G104" i="4" s="1"/>
  <c r="E171" i="4"/>
  <c r="G171" i="4" s="1"/>
  <c r="E119" i="4"/>
  <c r="G119" i="4" s="1"/>
  <c r="E91" i="4"/>
  <c r="G91" i="4" s="1"/>
  <c r="I90" i="4" l="1"/>
  <c r="E61" i="4"/>
  <c r="G60" i="4"/>
  <c r="J60" i="4" s="1"/>
  <c r="J90" i="4"/>
  <c r="G31" i="4"/>
  <c r="J31" i="4" s="1"/>
  <c r="J117" i="4"/>
  <c r="J170" i="4"/>
  <c r="J143" i="4"/>
  <c r="E32" i="4"/>
  <c r="I32" i="4" s="1"/>
  <c r="J156" i="4"/>
  <c r="K156" i="4" s="1"/>
  <c r="J89" i="4"/>
  <c r="I157" i="4"/>
  <c r="E158" i="4"/>
  <c r="G158" i="4" s="1"/>
  <c r="J118" i="4"/>
  <c r="J130" i="4"/>
  <c r="I91" i="4"/>
  <c r="I131" i="4"/>
  <c r="E132" i="4"/>
  <c r="G132" i="4" s="1"/>
  <c r="I144" i="4"/>
  <c r="I104" i="4"/>
  <c r="J104" i="4" s="1"/>
  <c r="I76" i="4"/>
  <c r="J75" i="4"/>
  <c r="J59" i="4"/>
  <c r="I119" i="4"/>
  <c r="I171" i="4"/>
  <c r="E145" i="4"/>
  <c r="G145" i="4" s="1"/>
  <c r="J30" i="4"/>
  <c r="E77" i="4"/>
  <c r="G77" i="4" s="1"/>
  <c r="E105" i="4"/>
  <c r="G105" i="4" s="1"/>
  <c r="G32" i="4"/>
  <c r="E120" i="4"/>
  <c r="G120" i="4" s="1"/>
  <c r="E92" i="4"/>
  <c r="G92" i="4" s="1"/>
  <c r="E172" i="4"/>
  <c r="G172" i="4" s="1"/>
  <c r="G61" i="4" l="1"/>
  <c r="I61" i="4"/>
  <c r="E62" i="4"/>
  <c r="J91" i="4"/>
  <c r="E33" i="4"/>
  <c r="I33" i="4" s="1"/>
  <c r="J119" i="4"/>
  <c r="J131" i="4"/>
  <c r="J157" i="4"/>
  <c r="K157" i="4" s="1"/>
  <c r="J144" i="4"/>
  <c r="I92" i="4"/>
  <c r="I120" i="4"/>
  <c r="I132" i="4"/>
  <c r="I77" i="4"/>
  <c r="E146" i="4"/>
  <c r="I145" i="4"/>
  <c r="J76" i="4"/>
  <c r="I158" i="4"/>
  <c r="E159" i="4"/>
  <c r="G159" i="4" s="1"/>
  <c r="I172" i="4"/>
  <c r="E133" i="4"/>
  <c r="I105" i="4"/>
  <c r="J105" i="4" s="1"/>
  <c r="J171" i="4"/>
  <c r="E106" i="4"/>
  <c r="G106" i="4" s="1"/>
  <c r="J32" i="4"/>
  <c r="E78" i="4"/>
  <c r="G78" i="4" s="1"/>
  <c r="G33" i="4"/>
  <c r="E121" i="4"/>
  <c r="G121" i="4" s="1"/>
  <c r="E34" i="4"/>
  <c r="I34" i="4" s="1"/>
  <c r="E173" i="4"/>
  <c r="G173" i="4" s="1"/>
  <c r="E93" i="4"/>
  <c r="G93" i="4" s="1"/>
  <c r="E147" i="4" l="1"/>
  <c r="G147" i="4" s="1"/>
  <c r="G146" i="4"/>
  <c r="G62" i="4"/>
  <c r="I62" i="4"/>
  <c r="E63" i="4"/>
  <c r="J106" i="4"/>
  <c r="E134" i="4"/>
  <c r="G134" i="4" s="1"/>
  <c r="G133" i="4"/>
  <c r="J61" i="4"/>
  <c r="J92" i="4"/>
  <c r="J172" i="4"/>
  <c r="J145" i="4"/>
  <c r="J120" i="4"/>
  <c r="J158" i="4"/>
  <c r="K158" i="4" s="1"/>
  <c r="J132" i="4"/>
  <c r="J77" i="4"/>
  <c r="I173" i="4"/>
  <c r="I121" i="4"/>
  <c r="I106" i="4"/>
  <c r="I147" i="4"/>
  <c r="I133" i="4"/>
  <c r="I159" i="4"/>
  <c r="E160" i="4"/>
  <c r="G160" i="4" s="1"/>
  <c r="I134" i="4"/>
  <c r="I78" i="4"/>
  <c r="I93" i="4"/>
  <c r="I146" i="4"/>
  <c r="E79" i="4"/>
  <c r="G79" i="4" s="1"/>
  <c r="E107" i="4"/>
  <c r="G107" i="4" s="1"/>
  <c r="G34" i="4"/>
  <c r="J33" i="4"/>
  <c r="E122" i="4"/>
  <c r="G122" i="4" s="1"/>
  <c r="E174" i="4"/>
  <c r="G174" i="4" s="1"/>
  <c r="E35" i="4"/>
  <c r="I35" i="4" s="1"/>
  <c r="E148" i="4"/>
  <c r="G148" i="4" s="1"/>
  <c r="E94" i="4"/>
  <c r="G94" i="4" s="1"/>
  <c r="E135" i="4"/>
  <c r="G135" i="4" s="1"/>
  <c r="G63" i="4" l="1"/>
  <c r="E64" i="4"/>
  <c r="I63" i="4"/>
  <c r="J62" i="4"/>
  <c r="J93" i="4"/>
  <c r="J78" i="4"/>
  <c r="J173" i="4"/>
  <c r="J146" i="4"/>
  <c r="J159" i="4"/>
  <c r="K159" i="4" s="1"/>
  <c r="J121" i="4"/>
  <c r="I122" i="4"/>
  <c r="J134" i="4"/>
  <c r="I94" i="4"/>
  <c r="I148" i="4"/>
  <c r="I79" i="4"/>
  <c r="I107" i="4"/>
  <c r="J107" i="4" s="1"/>
  <c r="J133" i="4"/>
  <c r="I135" i="4"/>
  <c r="I160" i="4"/>
  <c r="E161" i="4"/>
  <c r="G161" i="4" s="1"/>
  <c r="I174" i="4"/>
  <c r="J147" i="4"/>
  <c r="E108" i="4"/>
  <c r="G108" i="4" s="1"/>
  <c r="E80" i="4"/>
  <c r="G80" i="4" s="1"/>
  <c r="G35" i="4"/>
  <c r="J34" i="4"/>
  <c r="E36" i="4"/>
  <c r="I36" i="4" s="1"/>
  <c r="E175" i="4"/>
  <c r="G175" i="4" s="1"/>
  <c r="E149" i="4"/>
  <c r="G149" i="4" s="1"/>
  <c r="E123" i="4"/>
  <c r="G123" i="4" s="1"/>
  <c r="E95" i="4"/>
  <c r="G95" i="4" s="1"/>
  <c r="E136" i="4"/>
  <c r="G136" i="4" s="1"/>
  <c r="G64" i="4" l="1"/>
  <c r="E65" i="4"/>
  <c r="I64" i="4"/>
  <c r="J108" i="4"/>
  <c r="J63" i="4"/>
  <c r="J160" i="4"/>
  <c r="K160" i="4" s="1"/>
  <c r="J135" i="4"/>
  <c r="J174" i="4"/>
  <c r="J94" i="4"/>
  <c r="I108" i="4"/>
  <c r="J148" i="4"/>
  <c r="I149" i="4"/>
  <c r="I136" i="4"/>
  <c r="I161" i="4"/>
  <c r="E162" i="4"/>
  <c r="G162" i="4" s="1"/>
  <c r="I175" i="4"/>
  <c r="I95" i="4"/>
  <c r="I123" i="4"/>
  <c r="I80" i="4"/>
  <c r="J79" i="4"/>
  <c r="J122" i="4"/>
  <c r="J35" i="4"/>
  <c r="E81" i="4"/>
  <c r="G81" i="4" s="1"/>
  <c r="E109" i="4"/>
  <c r="G109" i="4" s="1"/>
  <c r="G36" i="4"/>
  <c r="J36" i="4" s="1"/>
  <c r="E124" i="4"/>
  <c r="G124" i="4" s="1"/>
  <c r="E176" i="4"/>
  <c r="G176" i="4" s="1"/>
  <c r="E150" i="4"/>
  <c r="G150" i="4" s="1"/>
  <c r="E137" i="4"/>
  <c r="G137" i="4" s="1"/>
  <c r="E96" i="4"/>
  <c r="G96" i="4" s="1"/>
  <c r="E37" i="4"/>
  <c r="I37" i="4" s="1"/>
  <c r="G65" i="4" l="1"/>
  <c r="E66" i="4"/>
  <c r="I65" i="4"/>
  <c r="J64" i="4"/>
  <c r="J161" i="4"/>
  <c r="K161" i="4" s="1"/>
  <c r="J175" i="4"/>
  <c r="J136" i="4"/>
  <c r="I124" i="4"/>
  <c r="I137" i="4"/>
  <c r="J80" i="4"/>
  <c r="J149" i="4"/>
  <c r="I109" i="4"/>
  <c r="J109" i="4" s="1"/>
  <c r="J123" i="4"/>
  <c r="I150" i="4"/>
  <c r="I176" i="4"/>
  <c r="I81" i="4"/>
  <c r="I162" i="4"/>
  <c r="E163" i="4"/>
  <c r="G163" i="4" s="1"/>
  <c r="I96" i="4"/>
  <c r="J95" i="4"/>
  <c r="E110" i="4"/>
  <c r="G110" i="4" s="1"/>
  <c r="E82" i="4"/>
  <c r="G82" i="4" s="1"/>
  <c r="G37" i="4"/>
  <c r="E125" i="4"/>
  <c r="G125" i="4" s="1"/>
  <c r="E138" i="4"/>
  <c r="G138" i="4" s="1"/>
  <c r="E151" i="4"/>
  <c r="G151" i="4" s="1"/>
  <c r="E177" i="4"/>
  <c r="G177" i="4" s="1"/>
  <c r="E38" i="4"/>
  <c r="I38" i="4" s="1"/>
  <c r="E97" i="4"/>
  <c r="G97" i="4" s="1"/>
  <c r="G66" i="4" l="1"/>
  <c r="I66" i="4"/>
  <c r="E67" i="4"/>
  <c r="J65" i="4"/>
  <c r="J176" i="4"/>
  <c r="J137" i="4"/>
  <c r="J124" i="4"/>
  <c r="I163" i="4"/>
  <c r="E164" i="4"/>
  <c r="G164" i="4" s="1"/>
  <c r="J150" i="4"/>
  <c r="J162" i="4"/>
  <c r="K162" i="4" s="1"/>
  <c r="I151" i="4"/>
  <c r="I138" i="4"/>
  <c r="I125" i="4"/>
  <c r="I82" i="4"/>
  <c r="J82" i="4" s="1"/>
  <c r="I177" i="4"/>
  <c r="J96" i="4"/>
  <c r="I97" i="4"/>
  <c r="I110" i="4"/>
  <c r="J110" i="4" s="1"/>
  <c r="J81" i="4"/>
  <c r="E83" i="4"/>
  <c r="G83" i="4" s="1"/>
  <c r="E111" i="4"/>
  <c r="G111" i="4" s="1"/>
  <c r="G38" i="4"/>
  <c r="J38" i="4" s="1"/>
  <c r="J37" i="4"/>
  <c r="E178" i="4"/>
  <c r="G178" i="4" s="1"/>
  <c r="G67" i="4" l="1"/>
  <c r="I67" i="4"/>
  <c r="J66" i="4"/>
  <c r="J163" i="4"/>
  <c r="K163" i="4" s="1"/>
  <c r="J125" i="4"/>
  <c r="J151" i="4"/>
  <c r="J97" i="4"/>
  <c r="J177" i="4"/>
  <c r="I178" i="4"/>
  <c r="I164" i="4"/>
  <c r="I83" i="4"/>
  <c r="I111" i="4"/>
  <c r="J111" i="4" s="1"/>
  <c r="J138" i="4"/>
  <c r="E169" i="3"/>
  <c r="E155" i="3"/>
  <c r="E142" i="3"/>
  <c r="E129" i="3"/>
  <c r="E116" i="3"/>
  <c r="E102" i="3"/>
  <c r="E88" i="3"/>
  <c r="E74" i="3"/>
  <c r="E58" i="3"/>
  <c r="G39" i="3"/>
  <c r="J39" i="3" s="1"/>
  <c r="E29" i="3"/>
  <c r="I29" i="3" s="1"/>
  <c r="G28" i="3"/>
  <c r="J28" i="3" s="1"/>
  <c r="E169" i="2"/>
  <c r="E155" i="2"/>
  <c r="E142" i="2"/>
  <c r="E129" i="2"/>
  <c r="E116" i="2"/>
  <c r="E102" i="2"/>
  <c r="E88" i="2"/>
  <c r="E74" i="2"/>
  <c r="E60" i="2"/>
  <c r="E46" i="2"/>
  <c r="I42" i="2"/>
  <c r="G42" i="2"/>
  <c r="J42" i="2" s="1"/>
  <c r="E32" i="2"/>
  <c r="I32" i="2" s="1"/>
  <c r="I31" i="2"/>
  <c r="G31" i="2"/>
  <c r="J31" i="2" s="1"/>
  <c r="AI22" i="2"/>
  <c r="AI4" i="2"/>
  <c r="AH4" i="2"/>
  <c r="AH22" i="2" s="1"/>
  <c r="J67" i="4" l="1"/>
  <c r="J178" i="4"/>
  <c r="J83" i="4"/>
  <c r="J164" i="4"/>
  <c r="K164" i="4" s="1"/>
  <c r="I155" i="3"/>
  <c r="J155" i="3" s="1"/>
  <c r="I58" i="3"/>
  <c r="I169" i="3"/>
  <c r="I74" i="3"/>
  <c r="I142" i="3"/>
  <c r="I88" i="3"/>
  <c r="I102" i="3"/>
  <c r="I116" i="3"/>
  <c r="I129" i="3"/>
  <c r="I116" i="2"/>
  <c r="I129" i="2"/>
  <c r="J129" i="2"/>
  <c r="I142" i="2"/>
  <c r="I74" i="2"/>
  <c r="I88" i="2"/>
  <c r="I102" i="2"/>
  <c r="I46" i="2"/>
  <c r="I155" i="2"/>
  <c r="I60" i="2"/>
  <c r="I169" i="2"/>
  <c r="J169" i="2"/>
  <c r="E130" i="2"/>
  <c r="E131" i="2" s="1"/>
  <c r="E75" i="2"/>
  <c r="E76" i="2" s="1"/>
  <c r="E103" i="2"/>
  <c r="E156" i="2"/>
  <c r="E47" i="2"/>
  <c r="E48" i="2" s="1"/>
  <c r="E156" i="3"/>
  <c r="E130" i="3"/>
  <c r="E103" i="3"/>
  <c r="E59" i="3"/>
  <c r="E75" i="3"/>
  <c r="K165" i="3"/>
  <c r="K154" i="2"/>
  <c r="K165" i="2"/>
  <c r="G29" i="3"/>
  <c r="J29" i="3" s="1"/>
  <c r="E30" i="3"/>
  <c r="I30" i="3" s="1"/>
  <c r="K154" i="3"/>
  <c r="E117" i="3"/>
  <c r="E89" i="3"/>
  <c r="E170" i="3"/>
  <c r="E143" i="3"/>
  <c r="G32" i="2"/>
  <c r="J32" i="2" s="1"/>
  <c r="E33" i="2"/>
  <c r="I33" i="2" s="1"/>
  <c r="E117" i="2"/>
  <c r="AJ4" i="2"/>
  <c r="AM4" i="2" s="1"/>
  <c r="AL4" i="2" s="1"/>
  <c r="AP4" i="2" s="1"/>
  <c r="E61" i="2"/>
  <c r="AK22" i="2"/>
  <c r="AM22" i="2"/>
  <c r="AL22" i="2" s="1"/>
  <c r="AP22" i="2" s="1"/>
  <c r="E89" i="2"/>
  <c r="E143" i="2"/>
  <c r="E170" i="2"/>
  <c r="J74" i="3" l="1"/>
  <c r="J88" i="3"/>
  <c r="J102" i="3"/>
  <c r="J169" i="3"/>
  <c r="J58" i="3"/>
  <c r="I89" i="3"/>
  <c r="I75" i="3"/>
  <c r="J116" i="3"/>
  <c r="I59" i="3"/>
  <c r="J59" i="3" s="1"/>
  <c r="E131" i="3"/>
  <c r="I130" i="3"/>
  <c r="J130" i="3" s="1"/>
  <c r="I117" i="3"/>
  <c r="I103" i="3"/>
  <c r="J103" i="3"/>
  <c r="E157" i="3"/>
  <c r="I156" i="3"/>
  <c r="I143" i="3"/>
  <c r="I170" i="3"/>
  <c r="J129" i="3"/>
  <c r="J142" i="3"/>
  <c r="J46" i="2"/>
  <c r="J142" i="2"/>
  <c r="J116" i="2"/>
  <c r="I76" i="2"/>
  <c r="J155" i="2"/>
  <c r="K155" i="2" s="1"/>
  <c r="J74" i="2"/>
  <c r="I117" i="2"/>
  <c r="I130" i="2"/>
  <c r="I143" i="2"/>
  <c r="I156" i="2"/>
  <c r="I89" i="2"/>
  <c r="I131" i="2"/>
  <c r="I61" i="2"/>
  <c r="I48" i="2"/>
  <c r="J102" i="2"/>
  <c r="I103" i="2"/>
  <c r="E157" i="2"/>
  <c r="I75" i="2"/>
  <c r="I170" i="2"/>
  <c r="E104" i="2"/>
  <c r="I47" i="2"/>
  <c r="J60" i="2"/>
  <c r="J88" i="2"/>
  <c r="E118" i="2"/>
  <c r="E31" i="3"/>
  <c r="I31" i="3" s="1"/>
  <c r="E76" i="3"/>
  <c r="G30" i="3"/>
  <c r="J30" i="3" s="1"/>
  <c r="E60" i="3"/>
  <c r="E104" i="3"/>
  <c r="K155" i="3"/>
  <c r="G33" i="2"/>
  <c r="J33" i="2" s="1"/>
  <c r="E34" i="2"/>
  <c r="E35" i="2" s="1"/>
  <c r="E171" i="3"/>
  <c r="E144" i="3"/>
  <c r="E90" i="3"/>
  <c r="E118" i="3"/>
  <c r="AK4" i="2"/>
  <c r="E77" i="2"/>
  <c r="E171" i="2"/>
  <c r="E144" i="2"/>
  <c r="E132" i="2"/>
  <c r="E105" i="2"/>
  <c r="E62" i="2"/>
  <c r="E90" i="2"/>
  <c r="E49" i="2"/>
  <c r="E132" i="3" l="1"/>
  <c r="J117" i="3"/>
  <c r="J75" i="3"/>
  <c r="J143" i="3"/>
  <c r="I131" i="3"/>
  <c r="I118" i="3"/>
  <c r="J118" i="3"/>
  <c r="E158" i="3"/>
  <c r="I157" i="3"/>
  <c r="J170" i="3"/>
  <c r="I104" i="3"/>
  <c r="I144" i="3"/>
  <c r="J144" i="3" s="1"/>
  <c r="I60" i="3"/>
  <c r="I90" i="3"/>
  <c r="J90" i="3" s="1"/>
  <c r="I171" i="3"/>
  <c r="I132" i="3"/>
  <c r="J132" i="3" s="1"/>
  <c r="E77" i="3"/>
  <c r="I76" i="3"/>
  <c r="J156" i="3"/>
  <c r="K156" i="3" s="1"/>
  <c r="J89" i="3"/>
  <c r="J48" i="2"/>
  <c r="J131" i="2"/>
  <c r="J130" i="2"/>
  <c r="J89" i="2"/>
  <c r="J117" i="2"/>
  <c r="J47" i="2"/>
  <c r="J156" i="2"/>
  <c r="K156" i="2" s="1"/>
  <c r="J75" i="2"/>
  <c r="J61" i="2"/>
  <c r="J76" i="2"/>
  <c r="J103" i="2"/>
  <c r="I144" i="2"/>
  <c r="I171" i="2"/>
  <c r="I104" i="2"/>
  <c r="I157" i="2"/>
  <c r="I77" i="2"/>
  <c r="J77" i="2"/>
  <c r="I105" i="2"/>
  <c r="I132" i="2"/>
  <c r="I118" i="2"/>
  <c r="J170" i="2"/>
  <c r="I49" i="2"/>
  <c r="I62" i="2"/>
  <c r="I90" i="2"/>
  <c r="E158" i="2"/>
  <c r="E159" i="2" s="1"/>
  <c r="J143" i="2"/>
  <c r="E119" i="2"/>
  <c r="E61" i="3"/>
  <c r="G31" i="3"/>
  <c r="J31" i="3" s="1"/>
  <c r="E32" i="3"/>
  <c r="I32" i="3" s="1"/>
  <c r="E105" i="3"/>
  <c r="I34" i="2"/>
  <c r="G34" i="2"/>
  <c r="E119" i="3"/>
  <c r="E145" i="3"/>
  <c r="E172" i="3"/>
  <c r="E91" i="3"/>
  <c r="E133" i="3"/>
  <c r="E172" i="2"/>
  <c r="E106" i="2"/>
  <c r="E78" i="2"/>
  <c r="E50" i="2"/>
  <c r="E133" i="2"/>
  <c r="E63" i="2"/>
  <c r="I35" i="2"/>
  <c r="G35" i="2"/>
  <c r="E36" i="2"/>
  <c r="E91" i="2"/>
  <c r="E145" i="2"/>
  <c r="E78" i="3" l="1"/>
  <c r="E62" i="3"/>
  <c r="E106" i="3"/>
  <c r="J157" i="3"/>
  <c r="K157" i="3" s="1"/>
  <c r="I172" i="3"/>
  <c r="J172" i="3" s="1"/>
  <c r="J76" i="3"/>
  <c r="I133" i="3"/>
  <c r="I119" i="3"/>
  <c r="J119" i="3" s="1"/>
  <c r="I61" i="3"/>
  <c r="I77" i="3"/>
  <c r="J60" i="3"/>
  <c r="I158" i="3"/>
  <c r="J158" i="3" s="1"/>
  <c r="K158" i="3" s="1"/>
  <c r="E159" i="3"/>
  <c r="E33" i="3"/>
  <c r="I33" i="3" s="1"/>
  <c r="G32" i="3"/>
  <c r="J32" i="3" s="1"/>
  <c r="I105" i="3"/>
  <c r="J105" i="3" s="1"/>
  <c r="J104" i="3"/>
  <c r="I106" i="3"/>
  <c r="I145" i="3"/>
  <c r="J145" i="3" s="1"/>
  <c r="I91" i="3"/>
  <c r="J91" i="3" s="1"/>
  <c r="J171" i="3"/>
  <c r="J131" i="3"/>
  <c r="J62" i="2"/>
  <c r="J105" i="2"/>
  <c r="J171" i="2"/>
  <c r="J104" i="2"/>
  <c r="J90" i="2"/>
  <c r="I159" i="2"/>
  <c r="I63" i="2"/>
  <c r="J132" i="2"/>
  <c r="I145" i="2"/>
  <c r="J145" i="2"/>
  <c r="I50" i="2"/>
  <c r="J49" i="2"/>
  <c r="I91" i="2"/>
  <c r="I106" i="2"/>
  <c r="J144" i="2"/>
  <c r="I133" i="2"/>
  <c r="E120" i="2"/>
  <c r="I119" i="2"/>
  <c r="I78" i="2"/>
  <c r="I172" i="2"/>
  <c r="I158" i="2"/>
  <c r="J118" i="2"/>
  <c r="J157" i="2"/>
  <c r="K157" i="2" s="1"/>
  <c r="J35" i="2"/>
  <c r="J34" i="2"/>
  <c r="E107" i="3"/>
  <c r="E92" i="3"/>
  <c r="E146" i="3"/>
  <c r="E173" i="3"/>
  <c r="E120" i="3"/>
  <c r="E134" i="3"/>
  <c r="E146" i="2"/>
  <c r="E92" i="2"/>
  <c r="E64" i="2"/>
  <c r="E51" i="2"/>
  <c r="E37" i="2"/>
  <c r="I36" i="2"/>
  <c r="G36" i="2"/>
  <c r="E121" i="2"/>
  <c r="E79" i="2"/>
  <c r="E173" i="2"/>
  <c r="E160" i="2"/>
  <c r="E134" i="2"/>
  <c r="E107" i="2"/>
  <c r="J61" i="3" l="1"/>
  <c r="I78" i="3"/>
  <c r="J78" i="3" s="1"/>
  <c r="E79" i="3"/>
  <c r="E63" i="3"/>
  <c r="G33" i="3"/>
  <c r="J33" i="3" s="1"/>
  <c r="E34" i="3"/>
  <c r="I34" i="3" s="1"/>
  <c r="I62" i="3"/>
  <c r="J62" i="3" s="1"/>
  <c r="J133" i="3"/>
  <c r="I146" i="3"/>
  <c r="J146" i="3" s="1"/>
  <c r="J77" i="3"/>
  <c r="I134" i="3"/>
  <c r="I92" i="3"/>
  <c r="J92" i="3" s="1"/>
  <c r="I107" i="3"/>
  <c r="J107" i="3" s="1"/>
  <c r="I159" i="3"/>
  <c r="E160" i="3"/>
  <c r="I120" i="3"/>
  <c r="I173" i="3"/>
  <c r="J173" i="3" s="1"/>
  <c r="J106" i="3"/>
  <c r="J159" i="2"/>
  <c r="K159" i="2" s="1"/>
  <c r="J172" i="2"/>
  <c r="J50" i="2"/>
  <c r="J78" i="2"/>
  <c r="J106" i="2"/>
  <c r="J119" i="2"/>
  <c r="J63" i="2"/>
  <c r="I107" i="2"/>
  <c r="I173" i="2"/>
  <c r="I92" i="2"/>
  <c r="I134" i="2"/>
  <c r="I64" i="2"/>
  <c r="I79" i="2"/>
  <c r="I146" i="2"/>
  <c r="J91" i="2"/>
  <c r="I51" i="2"/>
  <c r="I160" i="2"/>
  <c r="I120" i="2"/>
  <c r="I121" i="2"/>
  <c r="J158" i="2"/>
  <c r="K158" i="2" s="1"/>
  <c r="J133" i="2"/>
  <c r="J36" i="2"/>
  <c r="G34" i="3"/>
  <c r="J34" i="3" s="1"/>
  <c r="E35" i="3"/>
  <c r="I35" i="3" s="1"/>
  <c r="E93" i="3"/>
  <c r="E80" i="3"/>
  <c r="E147" i="3"/>
  <c r="E121" i="3"/>
  <c r="E135" i="3"/>
  <c r="E174" i="3"/>
  <c r="E64" i="3"/>
  <c r="E108" i="3"/>
  <c r="I37" i="2"/>
  <c r="G37" i="2"/>
  <c r="E38" i="2"/>
  <c r="E93" i="2"/>
  <c r="E80" i="2"/>
  <c r="E52" i="2"/>
  <c r="E108" i="2"/>
  <c r="E161" i="2"/>
  <c r="E147" i="2"/>
  <c r="E122" i="2"/>
  <c r="E135" i="2"/>
  <c r="E65" i="2"/>
  <c r="E174" i="2"/>
  <c r="I63" i="3" l="1"/>
  <c r="I79" i="3"/>
  <c r="J79" i="3"/>
  <c r="J159" i="3"/>
  <c r="K159" i="3" s="1"/>
  <c r="J134" i="3"/>
  <c r="J120" i="3"/>
  <c r="I108" i="3"/>
  <c r="J108" i="3" s="1"/>
  <c r="I160" i="3"/>
  <c r="E161" i="3"/>
  <c r="I174" i="3"/>
  <c r="I135" i="3"/>
  <c r="J135" i="3" s="1"/>
  <c r="I121" i="3"/>
  <c r="J121" i="3" s="1"/>
  <c r="J63" i="3"/>
  <c r="I93" i="3"/>
  <c r="I64" i="3"/>
  <c r="I147" i="3"/>
  <c r="I80" i="3"/>
  <c r="J80" i="3" s="1"/>
  <c r="J51" i="2"/>
  <c r="J146" i="2"/>
  <c r="J64" i="2"/>
  <c r="J107" i="2"/>
  <c r="J92" i="2"/>
  <c r="J160" i="2"/>
  <c r="K160" i="2" s="1"/>
  <c r="J79" i="2"/>
  <c r="J121" i="2"/>
  <c r="I147" i="2"/>
  <c r="J134" i="2"/>
  <c r="I108" i="2"/>
  <c r="I80" i="2"/>
  <c r="J120" i="2"/>
  <c r="J173" i="2"/>
  <c r="I161" i="2"/>
  <c r="I52" i="2"/>
  <c r="J52" i="2"/>
  <c r="I93" i="2"/>
  <c r="I174" i="2"/>
  <c r="I65" i="2"/>
  <c r="I135" i="2"/>
  <c r="J135" i="2"/>
  <c r="I122" i="2"/>
  <c r="J37" i="2"/>
  <c r="E65" i="3"/>
  <c r="E136" i="3"/>
  <c r="E148" i="3"/>
  <c r="E122" i="3"/>
  <c r="E36" i="3"/>
  <c r="I36" i="3" s="1"/>
  <c r="G35" i="3"/>
  <c r="J35" i="3" s="1"/>
  <c r="E175" i="3"/>
  <c r="E81" i="3"/>
  <c r="E109" i="3"/>
  <c r="E94" i="3"/>
  <c r="E94" i="2"/>
  <c r="E162" i="2"/>
  <c r="E53" i="2"/>
  <c r="E175" i="2"/>
  <c r="E66" i="2"/>
  <c r="E39" i="2"/>
  <c r="I38" i="2"/>
  <c r="G38" i="2"/>
  <c r="E123" i="2"/>
  <c r="E109" i="2"/>
  <c r="E148" i="2"/>
  <c r="E81" i="2"/>
  <c r="E136" i="2"/>
  <c r="J174" i="3" l="1"/>
  <c r="I136" i="3"/>
  <c r="I81" i="3"/>
  <c r="J81" i="3"/>
  <c r="J93" i="3"/>
  <c r="I161" i="3"/>
  <c r="E162" i="3"/>
  <c r="I175" i="3"/>
  <c r="J175" i="3" s="1"/>
  <c r="J160" i="3"/>
  <c r="K160" i="3" s="1"/>
  <c r="I109" i="3"/>
  <c r="J109" i="3" s="1"/>
  <c r="I122" i="3"/>
  <c r="J122" i="3" s="1"/>
  <c r="J147" i="3"/>
  <c r="I65" i="3"/>
  <c r="I94" i="3"/>
  <c r="I148" i="3"/>
  <c r="J148" i="3" s="1"/>
  <c r="J64" i="3"/>
  <c r="J108" i="2"/>
  <c r="J161" i="2"/>
  <c r="K161" i="2" s="1"/>
  <c r="J80" i="2"/>
  <c r="I53" i="2"/>
  <c r="J53" i="2"/>
  <c r="I123" i="2"/>
  <c r="J93" i="2"/>
  <c r="I148" i="2"/>
  <c r="I162" i="2"/>
  <c r="I94" i="2"/>
  <c r="I136" i="2"/>
  <c r="J136" i="2"/>
  <c r="I66" i="2"/>
  <c r="J65" i="2"/>
  <c r="I109" i="2"/>
  <c r="J122" i="2"/>
  <c r="I81" i="2"/>
  <c r="J81" i="2"/>
  <c r="I175" i="2"/>
  <c r="J174" i="2"/>
  <c r="J147" i="2"/>
  <c r="J38" i="2"/>
  <c r="E82" i="3"/>
  <c r="G36" i="3"/>
  <c r="J36" i="3" s="1"/>
  <c r="E37" i="3"/>
  <c r="I37" i="3" s="1"/>
  <c r="E123" i="3"/>
  <c r="E137" i="3"/>
  <c r="E95" i="3"/>
  <c r="E110" i="3"/>
  <c r="E176" i="3"/>
  <c r="E66" i="3"/>
  <c r="E149" i="3"/>
  <c r="E163" i="2"/>
  <c r="E149" i="2"/>
  <c r="E176" i="2"/>
  <c r="E67" i="2"/>
  <c r="E95" i="2"/>
  <c r="E137" i="2"/>
  <c r="I39" i="2"/>
  <c r="G39" i="2"/>
  <c r="E40" i="2"/>
  <c r="E54" i="2"/>
  <c r="E82" i="2"/>
  <c r="E124" i="2"/>
  <c r="E110" i="2"/>
  <c r="J161" i="3" l="1"/>
  <c r="K161" i="3" s="1"/>
  <c r="I176" i="3"/>
  <c r="I95" i="3"/>
  <c r="I137" i="3"/>
  <c r="I123" i="3"/>
  <c r="J94" i="3"/>
  <c r="J65" i="3"/>
  <c r="J136" i="3"/>
  <c r="I82" i="3"/>
  <c r="I110" i="3"/>
  <c r="J110" i="3" s="1"/>
  <c r="I149" i="3"/>
  <c r="I66" i="3"/>
  <c r="I162" i="3"/>
  <c r="E163" i="3"/>
  <c r="J162" i="2"/>
  <c r="K162" i="2" s="1"/>
  <c r="J175" i="2"/>
  <c r="J66" i="2"/>
  <c r="J123" i="2"/>
  <c r="J94" i="2"/>
  <c r="I163" i="2"/>
  <c r="J163" i="2"/>
  <c r="J148" i="2"/>
  <c r="J137" i="2"/>
  <c r="I137" i="2"/>
  <c r="I95" i="2"/>
  <c r="I110" i="2"/>
  <c r="I124" i="2"/>
  <c r="J67" i="2"/>
  <c r="I67" i="2"/>
  <c r="I82" i="2"/>
  <c r="J176" i="2"/>
  <c r="I176" i="2"/>
  <c r="I54" i="2"/>
  <c r="I149" i="2"/>
  <c r="J109" i="2"/>
  <c r="J39" i="2"/>
  <c r="E67" i="3"/>
  <c r="E111" i="3"/>
  <c r="E124" i="3"/>
  <c r="E150" i="3"/>
  <c r="E177" i="3"/>
  <c r="E96" i="3"/>
  <c r="E38" i="3"/>
  <c r="I38" i="3" s="1"/>
  <c r="G37" i="3"/>
  <c r="J37" i="3" s="1"/>
  <c r="E138" i="3"/>
  <c r="E83" i="3"/>
  <c r="E96" i="2"/>
  <c r="E41" i="2"/>
  <c r="I40" i="2"/>
  <c r="G40" i="2"/>
  <c r="E150" i="2"/>
  <c r="E55" i="2"/>
  <c r="E83" i="2"/>
  <c r="E111" i="2"/>
  <c r="E125" i="2"/>
  <c r="E68" i="2"/>
  <c r="E138" i="2"/>
  <c r="E177" i="2"/>
  <c r="E164" i="2"/>
  <c r="J162" i="3" l="1"/>
  <c r="K162" i="3" s="1"/>
  <c r="J95" i="3"/>
  <c r="J176" i="3"/>
  <c r="J123" i="3"/>
  <c r="I111" i="3"/>
  <c r="I138" i="3"/>
  <c r="J138" i="3" s="1"/>
  <c r="I67" i="3"/>
  <c r="I163" i="3"/>
  <c r="E164" i="3"/>
  <c r="J137" i="3"/>
  <c r="I124" i="3"/>
  <c r="J82" i="3"/>
  <c r="I96" i="3"/>
  <c r="I177" i="3"/>
  <c r="J177" i="3"/>
  <c r="J66" i="3"/>
  <c r="I83" i="3"/>
  <c r="I150" i="3"/>
  <c r="J149" i="3"/>
  <c r="J82" i="2"/>
  <c r="J95" i="2"/>
  <c r="I164" i="2"/>
  <c r="J164" i="2"/>
  <c r="I177" i="2"/>
  <c r="I138" i="2"/>
  <c r="J138" i="2"/>
  <c r="I68" i="2"/>
  <c r="J149" i="2"/>
  <c r="J150" i="2"/>
  <c r="I150" i="2"/>
  <c r="I125" i="2"/>
  <c r="I111" i="2"/>
  <c r="I96" i="2"/>
  <c r="J54" i="2"/>
  <c r="I83" i="2"/>
  <c r="J83" i="2"/>
  <c r="J124" i="2"/>
  <c r="I55" i="2"/>
  <c r="J110" i="2"/>
  <c r="J40" i="2"/>
  <c r="E125" i="3"/>
  <c r="E178" i="3"/>
  <c r="G38" i="3"/>
  <c r="J38" i="3" s="1"/>
  <c r="E97" i="3"/>
  <c r="E151" i="3"/>
  <c r="K163" i="2"/>
  <c r="E151" i="2"/>
  <c r="E69" i="2"/>
  <c r="I41" i="2"/>
  <c r="G41" i="2"/>
  <c r="E178" i="2"/>
  <c r="E97" i="2"/>
  <c r="J96" i="3" l="1"/>
  <c r="J83" i="3"/>
  <c r="J111" i="3"/>
  <c r="J67" i="3"/>
  <c r="I178" i="3"/>
  <c r="J178" i="3" s="1"/>
  <c r="J150" i="3"/>
  <c r="J124" i="3"/>
  <c r="I125" i="3"/>
  <c r="J125" i="3" s="1"/>
  <c r="I97" i="3"/>
  <c r="J97" i="3" s="1"/>
  <c r="I164" i="3"/>
  <c r="I151" i="3"/>
  <c r="J163" i="3"/>
  <c r="K163" i="3" s="1"/>
  <c r="J55" i="2"/>
  <c r="J111" i="2"/>
  <c r="J68" i="2"/>
  <c r="J177" i="2"/>
  <c r="I97" i="2"/>
  <c r="J97" i="2"/>
  <c r="J125" i="2"/>
  <c r="I69" i="2"/>
  <c r="J69" i="2"/>
  <c r="I178" i="2"/>
  <c r="I151" i="2"/>
  <c r="J96" i="2"/>
  <c r="J41" i="2"/>
  <c r="K164" i="2"/>
  <c r="J151" i="3" l="1"/>
  <c r="J164" i="3"/>
  <c r="K164" i="3" s="1"/>
  <c r="J178" i="2"/>
  <c r="J151" i="2"/>
  <c r="E166" i="1"/>
  <c r="K162" i="1"/>
  <c r="E152" i="1"/>
  <c r="K151" i="1"/>
  <c r="E139" i="1"/>
  <c r="E126" i="1"/>
  <c r="E113" i="1"/>
  <c r="E99" i="1"/>
  <c r="E85" i="1"/>
  <c r="E71" i="1"/>
  <c r="E57" i="1"/>
  <c r="E43" i="1"/>
  <c r="AI5" i="1"/>
  <c r="AI4" i="1"/>
  <c r="AH4" i="1"/>
  <c r="AH5" i="1" s="1"/>
  <c r="J99" i="1" l="1"/>
  <c r="J126" i="1"/>
  <c r="J43" i="1"/>
  <c r="J113" i="1"/>
  <c r="J139" i="1"/>
  <c r="J57" i="1"/>
  <c r="J152" i="1"/>
  <c r="J71" i="1"/>
  <c r="J85" i="1"/>
  <c r="J166" i="1"/>
  <c r="E44" i="1"/>
  <c r="E167" i="1"/>
  <c r="E72" i="1"/>
  <c r="E100" i="1"/>
  <c r="E114" i="1"/>
  <c r="E153" i="1"/>
  <c r="AJ4" i="1"/>
  <c r="AK4" i="1" s="1"/>
  <c r="AK5" i="1"/>
  <c r="AM5" i="1"/>
  <c r="AL5" i="1" s="1"/>
  <c r="AP5" i="1" s="1"/>
  <c r="E30" i="1"/>
  <c r="E58" i="1"/>
  <c r="E140" i="1"/>
  <c r="E86" i="1"/>
  <c r="E127" i="1"/>
  <c r="J100" i="1" l="1"/>
  <c r="J58" i="1"/>
  <c r="J140" i="1"/>
  <c r="J72" i="1"/>
  <c r="J127" i="1"/>
  <c r="J86" i="1"/>
  <c r="J153" i="1"/>
  <c r="K153" i="1" s="1"/>
  <c r="J44" i="1"/>
  <c r="E45" i="1"/>
  <c r="J114" i="1"/>
  <c r="E101" i="1"/>
  <c r="G30" i="1"/>
  <c r="J30" i="1" s="1"/>
  <c r="E168" i="1"/>
  <c r="J167" i="1"/>
  <c r="E73" i="1"/>
  <c r="E115" i="1"/>
  <c r="K152" i="1"/>
  <c r="E154" i="1"/>
  <c r="AM4" i="1"/>
  <c r="AL4" i="1" s="1"/>
  <c r="AP4" i="1" s="1"/>
  <c r="E31" i="1"/>
  <c r="E59" i="1"/>
  <c r="E128" i="1"/>
  <c r="E87" i="1"/>
  <c r="E141" i="1"/>
  <c r="E102" i="1"/>
  <c r="E46" i="1"/>
  <c r="J128" i="1" l="1"/>
  <c r="J59" i="1"/>
  <c r="J46" i="1"/>
  <c r="J101" i="1"/>
  <c r="J154" i="1"/>
  <c r="K154" i="1" s="1"/>
  <c r="J73" i="1"/>
  <c r="J168" i="1"/>
  <c r="J102" i="1"/>
  <c r="J141" i="1"/>
  <c r="J115" i="1"/>
  <c r="J87" i="1"/>
  <c r="J45" i="1"/>
  <c r="E169" i="1"/>
  <c r="G31" i="1"/>
  <c r="J31" i="1" s="1"/>
  <c r="E74" i="1"/>
  <c r="E155" i="1"/>
  <c r="E116" i="1"/>
  <c r="E32" i="1"/>
  <c r="E142" i="1"/>
  <c r="E88" i="1"/>
  <c r="E103" i="1"/>
  <c r="E129" i="1"/>
  <c r="E170" i="1"/>
  <c r="E47" i="1"/>
  <c r="E60" i="1"/>
  <c r="E156" i="1"/>
  <c r="J142" i="1" l="1"/>
  <c r="J47" i="1"/>
  <c r="J116" i="1"/>
  <c r="J170" i="1"/>
  <c r="J155" i="1"/>
  <c r="K155" i="1" s="1"/>
  <c r="J156" i="1"/>
  <c r="K156" i="1" s="1"/>
  <c r="J60" i="1"/>
  <c r="J129" i="1"/>
  <c r="J103" i="1"/>
  <c r="J88" i="1"/>
  <c r="J169" i="1"/>
  <c r="G32" i="1"/>
  <c r="J32" i="1" s="1"/>
  <c r="E75" i="1"/>
  <c r="J74" i="1"/>
  <c r="E117" i="1"/>
  <c r="E33" i="1"/>
  <c r="E157" i="1"/>
  <c r="E61" i="1"/>
  <c r="E89" i="1"/>
  <c r="E48" i="1"/>
  <c r="E130" i="1"/>
  <c r="E143" i="1"/>
  <c r="E171" i="1"/>
  <c r="E104" i="1"/>
  <c r="J157" i="1" l="1"/>
  <c r="K157" i="1" s="1"/>
  <c r="J61" i="1"/>
  <c r="J104" i="1"/>
  <c r="J171" i="1"/>
  <c r="J117" i="1"/>
  <c r="J143" i="1"/>
  <c r="J89" i="1"/>
  <c r="J130" i="1"/>
  <c r="J48" i="1"/>
  <c r="E76" i="1"/>
  <c r="J75" i="1"/>
  <c r="G33" i="1"/>
  <c r="J33" i="1" s="1"/>
  <c r="E118" i="1"/>
  <c r="E34" i="1"/>
  <c r="E172" i="1"/>
  <c r="E131" i="1"/>
  <c r="E49" i="1"/>
  <c r="E144" i="1"/>
  <c r="E90" i="1"/>
  <c r="E105" i="1"/>
  <c r="E62" i="1"/>
  <c r="E158" i="1"/>
  <c r="J158" i="1" l="1"/>
  <c r="K158" i="1" s="1"/>
  <c r="J62" i="1"/>
  <c r="J144" i="1"/>
  <c r="J118" i="1"/>
  <c r="J105" i="1"/>
  <c r="J90" i="1"/>
  <c r="J131" i="1"/>
  <c r="J49" i="1"/>
  <c r="J172" i="1"/>
  <c r="G34" i="1"/>
  <c r="J34" i="1" s="1"/>
  <c r="J76" i="1"/>
  <c r="E77" i="1"/>
  <c r="E119" i="1"/>
  <c r="E35" i="1"/>
  <c r="E91" i="1"/>
  <c r="E159" i="1"/>
  <c r="E145" i="1"/>
  <c r="E106" i="1"/>
  <c r="E132" i="1"/>
  <c r="E63" i="1"/>
  <c r="E50" i="1"/>
  <c r="E173" i="1"/>
  <c r="J173" i="1" l="1"/>
  <c r="J119" i="1"/>
  <c r="J132" i="1"/>
  <c r="J50" i="1"/>
  <c r="J63" i="1"/>
  <c r="J145" i="1"/>
  <c r="J159" i="1"/>
  <c r="K159" i="1" s="1"/>
  <c r="J106" i="1"/>
  <c r="J91" i="1"/>
  <c r="J77" i="1"/>
  <c r="E78" i="1"/>
  <c r="G35" i="1"/>
  <c r="J35" i="1" s="1"/>
  <c r="E120" i="1"/>
  <c r="E36" i="1"/>
  <c r="E174" i="1"/>
  <c r="E64" i="1"/>
  <c r="E160" i="1"/>
  <c r="E133" i="1"/>
  <c r="E107" i="1"/>
  <c r="E51" i="1"/>
  <c r="E146" i="1"/>
  <c r="E92" i="1"/>
  <c r="J146" i="1" l="1"/>
  <c r="J107" i="1"/>
  <c r="J51" i="1"/>
  <c r="J160" i="1"/>
  <c r="K160" i="1" s="1"/>
  <c r="J92" i="1"/>
  <c r="J120" i="1"/>
  <c r="J133" i="1"/>
  <c r="J64" i="1"/>
  <c r="J174" i="1"/>
  <c r="G36" i="1"/>
  <c r="J36" i="1" s="1"/>
  <c r="J78" i="1"/>
  <c r="E79" i="1"/>
  <c r="E121" i="1"/>
  <c r="E37" i="1"/>
  <c r="E161" i="1"/>
  <c r="E147" i="1"/>
  <c r="E108" i="1"/>
  <c r="E93" i="1"/>
  <c r="E52" i="1"/>
  <c r="E65" i="1"/>
  <c r="E175" i="1"/>
  <c r="E134" i="1"/>
  <c r="J134" i="1" l="1"/>
  <c r="J65" i="1"/>
  <c r="J175" i="1"/>
  <c r="J121" i="1"/>
  <c r="J52" i="1"/>
  <c r="J147" i="1"/>
  <c r="J93" i="1"/>
  <c r="J108" i="1"/>
  <c r="J161" i="1"/>
  <c r="J79" i="1"/>
  <c r="E80" i="1"/>
  <c r="G37" i="1"/>
  <c r="J37" i="1" s="1"/>
  <c r="E122" i="1"/>
  <c r="E38" i="1"/>
  <c r="E94" i="1"/>
  <c r="E66" i="1"/>
  <c r="E148" i="1"/>
  <c r="E135" i="1"/>
  <c r="J94" i="1" l="1"/>
  <c r="J122" i="1"/>
  <c r="J80" i="1"/>
  <c r="J135" i="1"/>
  <c r="J148" i="1"/>
  <c r="J66" i="1"/>
  <c r="G38" i="1"/>
  <c r="J38" i="1" s="1"/>
  <c r="K161" i="1"/>
  <c r="C47" i="9"/>
  <c r="C48" i="9" s="1"/>
  <c r="C49" i="9" s="1"/>
  <c r="C50" i="9" s="1"/>
</calcChain>
</file>

<file path=xl/sharedStrings.xml><?xml version="1.0" encoding="utf-8"?>
<sst xmlns="http://schemas.openxmlformats.org/spreadsheetml/2006/main" count="3232" uniqueCount="269">
  <si>
    <t>C11</t>
    <phoneticPr fontId="1" type="noConversion"/>
  </si>
  <si>
    <t>C12</t>
    <phoneticPr fontId="1" type="noConversion"/>
  </si>
  <si>
    <t>C66</t>
    <phoneticPr fontId="1" type="noConversion"/>
  </si>
  <si>
    <t>C44</t>
    <phoneticPr fontId="1" type="noConversion"/>
  </si>
  <si>
    <t>C55</t>
    <phoneticPr fontId="1" type="noConversion"/>
  </si>
  <si>
    <t>e31</t>
    <phoneticPr fontId="1" type="noConversion"/>
  </si>
  <si>
    <t>q31</t>
    <phoneticPr fontId="1" type="noConversion"/>
  </si>
  <si>
    <t>k33</t>
    <phoneticPr fontId="1" type="noConversion"/>
  </si>
  <si>
    <t>A1</t>
  </si>
  <si>
    <t>PyroE</t>
  </si>
  <si>
    <t>PyroM</t>
  </si>
  <si>
    <t>HC</t>
    <phoneticPr fontId="1" type="noConversion"/>
  </si>
  <si>
    <t>密度</t>
    <phoneticPr fontId="1" type="noConversion"/>
  </si>
  <si>
    <t>求每层▲T</t>
    <phoneticPr fontId="1" type="noConversion"/>
  </si>
  <si>
    <t>B</t>
    <phoneticPr fontId="1" type="noConversion"/>
  </si>
  <si>
    <t>层数</t>
    <phoneticPr fontId="1" type="noConversion"/>
  </si>
  <si>
    <t>1/导热系数</t>
    <phoneticPr fontId="1" type="noConversion"/>
  </si>
  <si>
    <t>每层板厚</t>
    <phoneticPr fontId="1" type="noConversion"/>
  </si>
  <si>
    <t>z(HC1)</t>
    <phoneticPr fontId="1" type="noConversion"/>
  </si>
  <si>
    <t>导热*厚度</t>
    <phoneticPr fontId="1" type="noConversion"/>
  </si>
  <si>
    <t>和（HC）</t>
    <phoneticPr fontId="1" type="noConversion"/>
  </si>
  <si>
    <t>比率HC1/HC</t>
    <phoneticPr fontId="1" type="noConversion"/>
  </si>
  <si>
    <t>BT1</t>
    <phoneticPr fontId="1" type="noConversion"/>
  </si>
  <si>
    <t>BT2</t>
    <phoneticPr fontId="1" type="noConversion"/>
  </si>
  <si>
    <t>下表面温度</t>
    <phoneticPr fontId="1" type="noConversion"/>
  </si>
  <si>
    <t>上表面温度</t>
    <phoneticPr fontId="1" type="noConversion"/>
  </si>
  <si>
    <t>▲T</t>
    <phoneticPr fontId="1" type="noConversion"/>
  </si>
  <si>
    <t>index</t>
  </si>
  <si>
    <t>E1</t>
  </si>
  <si>
    <t>E2</t>
  </si>
  <si>
    <t>v12</t>
  </si>
  <si>
    <t>v23</t>
  </si>
  <si>
    <t>G13</t>
  </si>
  <si>
    <t>G23</t>
  </si>
  <si>
    <t>d31</t>
  </si>
  <si>
    <t>d32</t>
  </si>
  <si>
    <t>Angel</t>
  </si>
  <si>
    <t>HE</t>
  </si>
  <si>
    <t>q31</t>
  </si>
  <si>
    <t>q32</t>
  </si>
  <si>
    <t>g33</t>
  </si>
  <si>
    <t>k33</t>
  </si>
  <si>
    <t>r33</t>
  </si>
  <si>
    <t>Density</t>
  </si>
  <si>
    <t>zC1</t>
  </si>
  <si>
    <t>Zc2</t>
  </si>
  <si>
    <t>IsSmtLay(2)</t>
  </si>
  <si>
    <t>G12</t>
    <phoneticPr fontId="1" type="noConversion"/>
  </si>
  <si>
    <t>A1</t>
    <phoneticPr fontId="1" type="noConversion"/>
  </si>
  <si>
    <t>HC（热传导系数）</t>
    <phoneticPr fontId="1" type="noConversion"/>
  </si>
  <si>
    <t>Vpor=1</t>
    <phoneticPr fontId="1" type="noConversion"/>
  </si>
  <si>
    <t>孔隙均匀分布</t>
    <phoneticPr fontId="1" type="noConversion"/>
  </si>
  <si>
    <t>P=0:0.2:0.6</t>
    <phoneticPr fontId="1" type="noConversion"/>
  </si>
  <si>
    <t>孔隙体积</t>
    <phoneticPr fontId="1" type="noConversion"/>
  </si>
  <si>
    <t>E杨氏模量</t>
    <phoneticPr fontId="1" type="noConversion"/>
  </si>
  <si>
    <t>Pc</t>
    <phoneticPr fontId="1" type="noConversion"/>
  </si>
  <si>
    <t>Pm</t>
    <phoneticPr fontId="1" type="noConversion"/>
  </si>
  <si>
    <t>总厚度(h)</t>
    <phoneticPr fontId="1" type="noConversion"/>
  </si>
  <si>
    <t>中性面距离(z)</t>
    <phoneticPr fontId="1" type="noConversion"/>
  </si>
  <si>
    <t>指数(n)</t>
    <phoneticPr fontId="1" type="noConversion"/>
  </si>
  <si>
    <t>Vc（z）</t>
    <phoneticPr fontId="1" type="noConversion"/>
  </si>
  <si>
    <t>P</t>
    <phoneticPr fontId="1" type="noConversion"/>
  </si>
  <si>
    <t>Vpor</t>
    <phoneticPr fontId="1" type="noConversion"/>
  </si>
  <si>
    <t>а</t>
    <phoneticPr fontId="1" type="noConversion"/>
  </si>
  <si>
    <t>μ泊松比</t>
    <phoneticPr fontId="1" type="noConversion"/>
  </si>
  <si>
    <t>d31</t>
    <phoneticPr fontId="1" type="noConversion"/>
  </si>
  <si>
    <t>1/K</t>
    <phoneticPr fontId="1" type="noConversion"/>
  </si>
  <si>
    <t>总厚度(h)</t>
    <phoneticPr fontId="1" type="noConversion"/>
  </si>
  <si>
    <t>中性面距离(z)</t>
    <phoneticPr fontId="1" type="noConversion"/>
  </si>
  <si>
    <t>指数(n)</t>
    <phoneticPr fontId="1" type="noConversion"/>
  </si>
  <si>
    <t>Vc（z）</t>
    <phoneticPr fontId="1" type="noConversion"/>
  </si>
  <si>
    <t>P</t>
    <phoneticPr fontId="1" type="noConversion"/>
  </si>
  <si>
    <t>Vpor</t>
    <phoneticPr fontId="1" type="noConversion"/>
  </si>
  <si>
    <t>а</t>
    <phoneticPr fontId="1" type="noConversion"/>
  </si>
  <si>
    <t>p=0</t>
    <phoneticPr fontId="1" type="noConversion"/>
  </si>
  <si>
    <t>G12</t>
    <phoneticPr fontId="1" type="noConversion"/>
  </si>
  <si>
    <t>A1</t>
    <phoneticPr fontId="1" type="noConversion"/>
  </si>
  <si>
    <t>A2</t>
    <phoneticPr fontId="1" type="noConversion"/>
  </si>
  <si>
    <t>PyroE</t>
    <phoneticPr fontId="1" type="noConversion"/>
  </si>
  <si>
    <t>PyroM</t>
    <phoneticPr fontId="1" type="noConversion"/>
  </si>
  <si>
    <t>HC（热传导系数）</t>
    <phoneticPr fontId="1" type="noConversion"/>
  </si>
  <si>
    <t>n=0.2</t>
    <phoneticPr fontId="1" type="noConversion"/>
  </si>
  <si>
    <t>p=0.2</t>
    <phoneticPr fontId="1" type="noConversion"/>
  </si>
  <si>
    <t>%%%%%%%%%%%%%%%%%%%%%%%%%%%%%%%%%%%%%%%%%%%%%%%%%%%%%%%%%%%%%%%%%%%%%%%%%%%%%%%%</t>
    <phoneticPr fontId="1" type="noConversion"/>
  </si>
  <si>
    <t>n=0.5</t>
    <phoneticPr fontId="1" type="noConversion"/>
  </si>
  <si>
    <t>n=2</t>
    <phoneticPr fontId="1" type="noConversion"/>
  </si>
  <si>
    <t>n=10</t>
    <phoneticPr fontId="1" type="noConversion"/>
  </si>
  <si>
    <t>n=0.2,0.5,2,10</t>
    <phoneticPr fontId="1" type="noConversion"/>
  </si>
  <si>
    <t>求每层▲T</t>
    <phoneticPr fontId="1" type="noConversion"/>
  </si>
  <si>
    <t>层数</t>
    <phoneticPr fontId="1" type="noConversion"/>
  </si>
  <si>
    <t>1/导热系数</t>
    <phoneticPr fontId="1" type="noConversion"/>
  </si>
  <si>
    <t>每层板厚</t>
    <phoneticPr fontId="1" type="noConversion"/>
  </si>
  <si>
    <t>z(HC1)</t>
    <phoneticPr fontId="1" type="noConversion"/>
  </si>
  <si>
    <t>导热*厚度</t>
    <phoneticPr fontId="1" type="noConversion"/>
  </si>
  <si>
    <t>和（HC）</t>
    <phoneticPr fontId="1" type="noConversion"/>
  </si>
  <si>
    <t>比率HC1/HC</t>
    <phoneticPr fontId="1" type="noConversion"/>
  </si>
  <si>
    <t>BT1</t>
    <phoneticPr fontId="1" type="noConversion"/>
  </si>
  <si>
    <t>BT2</t>
    <phoneticPr fontId="1" type="noConversion"/>
  </si>
  <si>
    <t>下表面温度</t>
    <phoneticPr fontId="1" type="noConversion"/>
  </si>
  <si>
    <t>上表面温度</t>
    <phoneticPr fontId="1" type="noConversion"/>
  </si>
  <si>
    <t>▲T</t>
    <phoneticPr fontId="1" type="noConversion"/>
  </si>
  <si>
    <t>G12</t>
    <phoneticPr fontId="1" type="noConversion"/>
  </si>
  <si>
    <t>A1</t>
    <phoneticPr fontId="1" type="noConversion"/>
  </si>
  <si>
    <t>A2</t>
    <phoneticPr fontId="1" type="noConversion"/>
  </si>
  <si>
    <t>PyroE</t>
    <phoneticPr fontId="1" type="noConversion"/>
  </si>
  <si>
    <t>PyroM</t>
    <phoneticPr fontId="1" type="noConversion"/>
  </si>
  <si>
    <t>HC（热传导系数）</t>
    <phoneticPr fontId="1" type="noConversion"/>
  </si>
  <si>
    <t>G12</t>
    <phoneticPr fontId="1" type="noConversion"/>
  </si>
  <si>
    <t>A1</t>
    <phoneticPr fontId="1" type="noConversion"/>
  </si>
  <si>
    <t>HC（热传导系数）</t>
    <phoneticPr fontId="1" type="noConversion"/>
  </si>
  <si>
    <t>Vpor=1+2*Z/h</t>
    <phoneticPr fontId="1" type="noConversion"/>
  </si>
  <si>
    <t>孔隙V型分布</t>
    <phoneticPr fontId="1" type="noConversion"/>
  </si>
  <si>
    <t>E杨氏模量</t>
    <phoneticPr fontId="1" type="noConversion"/>
  </si>
  <si>
    <t>总厚度(h)</t>
    <phoneticPr fontId="1" type="noConversion"/>
  </si>
  <si>
    <t>中性面距离(z)</t>
    <phoneticPr fontId="1" type="noConversion"/>
  </si>
  <si>
    <t>指数(n)</t>
    <phoneticPr fontId="1" type="noConversion"/>
  </si>
  <si>
    <t>Vc（z）</t>
    <phoneticPr fontId="1" type="noConversion"/>
  </si>
  <si>
    <t>P（孔隙率）</t>
    <phoneticPr fontId="1" type="noConversion"/>
  </si>
  <si>
    <t>Vpor</t>
    <phoneticPr fontId="1" type="noConversion"/>
  </si>
  <si>
    <t>Mfg</t>
    <phoneticPr fontId="1" type="noConversion"/>
  </si>
  <si>
    <t>μ泊松比</t>
    <phoneticPr fontId="1" type="noConversion"/>
  </si>
  <si>
    <t>P</t>
    <phoneticPr fontId="1" type="noConversion"/>
  </si>
  <si>
    <t>d31</t>
    <phoneticPr fontId="1" type="noConversion"/>
  </si>
  <si>
    <t>总厚度</t>
    <phoneticPr fontId="1" type="noConversion"/>
  </si>
  <si>
    <t>中性面距离</t>
    <phoneticPr fontId="1" type="noConversion"/>
  </si>
  <si>
    <t>指数</t>
    <phoneticPr fontId="1" type="noConversion"/>
  </si>
  <si>
    <t>1/K</t>
    <phoneticPr fontId="1" type="noConversion"/>
  </si>
  <si>
    <t>总厚度(h)</t>
    <phoneticPr fontId="1" type="noConversion"/>
  </si>
  <si>
    <t>中性面距离(z)</t>
    <phoneticPr fontId="1" type="noConversion"/>
  </si>
  <si>
    <t>指数(n)</t>
    <phoneticPr fontId="1" type="noConversion"/>
  </si>
  <si>
    <t>Vc（z）</t>
    <phoneticPr fontId="1" type="noConversion"/>
  </si>
  <si>
    <t>P</t>
    <phoneticPr fontId="1" type="noConversion"/>
  </si>
  <si>
    <t>Vpor</t>
    <phoneticPr fontId="1" type="noConversion"/>
  </si>
  <si>
    <t>Mfg</t>
    <phoneticPr fontId="1" type="noConversion"/>
  </si>
  <si>
    <t>p=0</t>
    <phoneticPr fontId="1" type="noConversion"/>
  </si>
  <si>
    <t>n=0.2</t>
    <phoneticPr fontId="1" type="noConversion"/>
  </si>
  <si>
    <t>p=0.2</t>
    <phoneticPr fontId="1" type="noConversion"/>
  </si>
  <si>
    <t>%%%%%%%%%%%%%%%%%%%%%%%%%%%%%%%%%%%%%%%%%%%%%%%%%%%%%%%%%%%%%%%%%%%%%%%%%%%%%%%%</t>
    <phoneticPr fontId="1" type="noConversion"/>
  </si>
  <si>
    <t>n=0.5</t>
    <phoneticPr fontId="1" type="noConversion"/>
  </si>
  <si>
    <t>n=2</t>
    <phoneticPr fontId="1" type="noConversion"/>
  </si>
  <si>
    <t>n=10</t>
    <phoneticPr fontId="1" type="noConversion"/>
  </si>
  <si>
    <t>G12</t>
    <phoneticPr fontId="1" type="noConversion"/>
  </si>
  <si>
    <t>A1</t>
    <phoneticPr fontId="1" type="noConversion"/>
  </si>
  <si>
    <t>HC（热传导系数）</t>
    <phoneticPr fontId="1" type="noConversion"/>
  </si>
  <si>
    <t>P=0.2</t>
    <phoneticPr fontId="1" type="noConversion"/>
  </si>
  <si>
    <t>E杨氏模量</t>
    <phoneticPr fontId="1" type="noConversion"/>
  </si>
  <si>
    <t>总厚度(h)</t>
    <phoneticPr fontId="1" type="noConversion"/>
  </si>
  <si>
    <t>中性面距离(z)</t>
    <phoneticPr fontId="1" type="noConversion"/>
  </si>
  <si>
    <t>指数(n)</t>
    <phoneticPr fontId="1" type="noConversion"/>
  </si>
  <si>
    <t>Vc（z）</t>
    <phoneticPr fontId="1" type="noConversion"/>
  </si>
  <si>
    <t>P</t>
    <phoneticPr fontId="1" type="noConversion"/>
  </si>
  <si>
    <t>Vpor</t>
    <phoneticPr fontId="1" type="noConversion"/>
  </si>
  <si>
    <t>Mfg</t>
    <phoneticPr fontId="1" type="noConversion"/>
  </si>
  <si>
    <t>μ泊松比</t>
    <phoneticPr fontId="1" type="noConversion"/>
  </si>
  <si>
    <t>d31</t>
    <phoneticPr fontId="1" type="noConversion"/>
  </si>
  <si>
    <t>总厚度</t>
    <phoneticPr fontId="1" type="noConversion"/>
  </si>
  <si>
    <t>中性面距离</t>
    <phoneticPr fontId="1" type="noConversion"/>
  </si>
  <si>
    <t>指数</t>
    <phoneticPr fontId="1" type="noConversion"/>
  </si>
  <si>
    <t>1/K</t>
    <phoneticPr fontId="1" type="noConversion"/>
  </si>
  <si>
    <t>总厚度(h)</t>
    <phoneticPr fontId="1" type="noConversion"/>
  </si>
  <si>
    <t>中性面距离(z)</t>
    <phoneticPr fontId="1" type="noConversion"/>
  </si>
  <si>
    <t>指数(n)</t>
    <phoneticPr fontId="1" type="noConversion"/>
  </si>
  <si>
    <t>Vc（z）</t>
    <phoneticPr fontId="1" type="noConversion"/>
  </si>
  <si>
    <t>P</t>
    <phoneticPr fontId="1" type="noConversion"/>
  </si>
  <si>
    <t>Vpor</t>
    <phoneticPr fontId="1" type="noConversion"/>
  </si>
  <si>
    <t>Mfg</t>
    <phoneticPr fontId="1" type="noConversion"/>
  </si>
  <si>
    <t>p=0</t>
    <phoneticPr fontId="1" type="noConversion"/>
  </si>
  <si>
    <t>n=0.2</t>
    <phoneticPr fontId="1" type="noConversion"/>
  </si>
  <si>
    <t>p=0.2</t>
    <phoneticPr fontId="1" type="noConversion"/>
  </si>
  <si>
    <t>%%%%%%%%%%%%%%%%%%%%%%%%%%%%%%%%%%%%%%%%%%%%%%%%%%%%%%%%%%%%%%%%%%%%%%%%%%%%%%%%</t>
    <phoneticPr fontId="1" type="noConversion"/>
  </si>
  <si>
    <t>n=0.5</t>
    <phoneticPr fontId="1" type="noConversion"/>
  </si>
  <si>
    <t>n=2</t>
    <phoneticPr fontId="1" type="noConversion"/>
  </si>
  <si>
    <t>n=10</t>
    <phoneticPr fontId="1" type="noConversion"/>
  </si>
  <si>
    <t>U</t>
    <phoneticPr fontId="1" type="noConversion"/>
  </si>
  <si>
    <t>阶数</t>
    <phoneticPr fontId="1" type="noConversion"/>
  </si>
  <si>
    <t>index=0.2</t>
    <phoneticPr fontId="1" type="noConversion"/>
  </si>
  <si>
    <t>index=0.5</t>
    <phoneticPr fontId="1" type="noConversion"/>
  </si>
  <si>
    <t>index=2</t>
    <phoneticPr fontId="1" type="noConversion"/>
  </si>
  <si>
    <t>index=10</t>
    <phoneticPr fontId="1" type="noConversion"/>
  </si>
  <si>
    <t>V</t>
    <phoneticPr fontId="1" type="noConversion"/>
  </si>
  <si>
    <t>n=10</t>
    <phoneticPr fontId="1" type="noConversion"/>
  </si>
  <si>
    <t>n=2</t>
    <phoneticPr fontId="1" type="noConversion"/>
  </si>
  <si>
    <t>n=0.5</t>
    <phoneticPr fontId="1" type="noConversion"/>
  </si>
  <si>
    <t>F</t>
    <phoneticPr fontId="1" type="noConversion"/>
  </si>
  <si>
    <t>P(孔隙率)</t>
    <phoneticPr fontId="1" type="noConversion"/>
  </si>
  <si>
    <t>F</t>
    <phoneticPr fontId="1" type="noConversion"/>
  </si>
  <si>
    <t>B</t>
    <phoneticPr fontId="1" type="noConversion"/>
  </si>
  <si>
    <t>B</t>
    <phoneticPr fontId="1" type="noConversion"/>
  </si>
  <si>
    <r>
      <t>P</t>
    </r>
    <r>
      <rPr>
        <sz val="8"/>
        <color theme="1"/>
        <rFont val="宋体"/>
        <family val="3"/>
        <charset val="134"/>
        <scheme val="minor"/>
      </rPr>
      <t>F</t>
    </r>
    <phoneticPr fontId="1" type="noConversion"/>
  </si>
  <si>
    <r>
      <t>P</t>
    </r>
    <r>
      <rPr>
        <sz val="8"/>
        <color theme="1"/>
        <rFont val="宋体"/>
        <family val="3"/>
        <charset val="134"/>
        <scheme val="minor"/>
      </rPr>
      <t>B</t>
    </r>
    <phoneticPr fontId="1" type="noConversion"/>
  </si>
  <si>
    <t>F</t>
    <phoneticPr fontId="1" type="noConversion"/>
  </si>
  <si>
    <t>B</t>
    <phoneticPr fontId="1" type="noConversion"/>
  </si>
  <si>
    <t>孔隙X型分布</t>
    <phoneticPr fontId="1" type="noConversion"/>
  </si>
  <si>
    <t>O</t>
    <phoneticPr fontId="1" type="noConversion"/>
  </si>
  <si>
    <t>阶数</t>
    <phoneticPr fontId="1" type="noConversion"/>
  </si>
  <si>
    <t>index=0.2</t>
    <phoneticPr fontId="1" type="noConversion"/>
  </si>
  <si>
    <t>index=0.5</t>
    <phoneticPr fontId="1" type="noConversion"/>
  </si>
  <si>
    <t>index=2</t>
    <phoneticPr fontId="1" type="noConversion"/>
  </si>
  <si>
    <t>index=10</t>
    <phoneticPr fontId="1" type="noConversion"/>
  </si>
  <si>
    <t>X</t>
    <phoneticPr fontId="1" type="noConversion"/>
  </si>
  <si>
    <t>%%%%%%%%%%%%%%%%%%%%%%%%%%%%%%%%%%%%%%%%%%%%%%%%%%%%%%%%%%%%%%%%%%%%%%%%%%%%</t>
    <phoneticPr fontId="1" type="noConversion"/>
  </si>
  <si>
    <t>n=2</t>
    <phoneticPr fontId="1" type="noConversion"/>
  </si>
  <si>
    <t>p=0.1</t>
    <phoneticPr fontId="1" type="noConversion"/>
  </si>
  <si>
    <t>孔隙率</t>
    <phoneticPr fontId="1" type="noConversion"/>
  </si>
  <si>
    <t>UTR(F)</t>
    <phoneticPr fontId="1" type="noConversion"/>
  </si>
  <si>
    <t>HC(B)</t>
    <phoneticPr fontId="1" type="noConversion"/>
  </si>
  <si>
    <t>电势(F)</t>
    <phoneticPr fontId="1" type="noConversion"/>
  </si>
  <si>
    <t>电势(B)</t>
    <phoneticPr fontId="1" type="noConversion"/>
  </si>
  <si>
    <t>载荷(F)</t>
    <phoneticPr fontId="1" type="noConversion"/>
  </si>
  <si>
    <t>载荷(B)</t>
    <phoneticPr fontId="1" type="noConversion"/>
  </si>
  <si>
    <t>第一张图（U分布）</t>
    <phoneticPr fontId="1" type="noConversion"/>
  </si>
  <si>
    <r>
      <t>V</t>
    </r>
    <r>
      <rPr>
        <sz val="8"/>
        <color theme="1"/>
        <rFont val="宋体"/>
        <family val="3"/>
        <charset val="134"/>
        <scheme val="minor"/>
      </rPr>
      <t>por</t>
    </r>
    <r>
      <rPr>
        <sz val="11"/>
        <color theme="1"/>
        <rFont val="宋体"/>
        <family val="2"/>
        <scheme val="minor"/>
      </rPr>
      <t>=0</t>
    </r>
    <phoneticPr fontId="1" type="noConversion"/>
  </si>
  <si>
    <r>
      <t>V</t>
    </r>
    <r>
      <rPr>
        <sz val="8"/>
        <color theme="1"/>
        <rFont val="宋体"/>
        <family val="3"/>
        <charset val="134"/>
        <scheme val="minor"/>
      </rPr>
      <t>por</t>
    </r>
    <r>
      <rPr>
        <sz val="11"/>
        <color theme="1"/>
        <rFont val="宋体"/>
        <family val="2"/>
        <scheme val="minor"/>
      </rPr>
      <t>=0.2</t>
    </r>
    <phoneticPr fontId="1" type="noConversion"/>
  </si>
  <si>
    <r>
      <t>V</t>
    </r>
    <r>
      <rPr>
        <sz val="8"/>
        <color theme="1"/>
        <rFont val="宋体"/>
        <family val="3"/>
        <charset val="134"/>
        <scheme val="minor"/>
      </rPr>
      <t>por</t>
    </r>
    <r>
      <rPr>
        <sz val="11"/>
        <color theme="1"/>
        <rFont val="宋体"/>
        <family val="2"/>
        <scheme val="minor"/>
      </rPr>
      <t>=0.3</t>
    </r>
    <phoneticPr fontId="1" type="noConversion"/>
  </si>
  <si>
    <r>
      <t>V</t>
    </r>
    <r>
      <rPr>
        <sz val="8"/>
        <color theme="1"/>
        <rFont val="宋体"/>
        <family val="3"/>
        <charset val="134"/>
        <scheme val="minor"/>
      </rPr>
      <t>por</t>
    </r>
    <r>
      <rPr>
        <sz val="11"/>
        <color theme="1"/>
        <rFont val="宋体"/>
        <family val="2"/>
        <scheme val="minor"/>
      </rPr>
      <t>=0.4</t>
    </r>
    <phoneticPr fontId="1" type="noConversion"/>
  </si>
  <si>
    <t>磁势(F)</t>
    <phoneticPr fontId="1" type="noConversion"/>
  </si>
  <si>
    <t>磁势(B)</t>
    <phoneticPr fontId="1" type="noConversion"/>
  </si>
  <si>
    <t>G12</t>
    <phoneticPr fontId="1" type="noConversion"/>
  </si>
  <si>
    <t>A1</t>
    <phoneticPr fontId="1" type="noConversion"/>
  </si>
  <si>
    <t>A2</t>
    <phoneticPr fontId="1" type="noConversion"/>
  </si>
  <si>
    <t>PyroE</t>
    <phoneticPr fontId="1" type="noConversion"/>
  </si>
  <si>
    <t>PyroM</t>
    <phoneticPr fontId="1" type="noConversion"/>
  </si>
  <si>
    <t>HC（热传导系数）</t>
    <phoneticPr fontId="1" type="noConversion"/>
  </si>
  <si>
    <t>LTR(F)</t>
    <phoneticPr fontId="1" type="noConversion"/>
  </si>
  <si>
    <t>UTR(B)</t>
    <phoneticPr fontId="1" type="noConversion"/>
  </si>
  <si>
    <t>LTR(B)</t>
    <phoneticPr fontId="1" type="noConversion"/>
  </si>
  <si>
    <t>STR(B)</t>
    <phoneticPr fontId="1" type="noConversion"/>
  </si>
  <si>
    <t>STR(F)</t>
    <phoneticPr fontId="1" type="noConversion"/>
  </si>
  <si>
    <t>HC(F)</t>
    <phoneticPr fontId="1" type="noConversion"/>
  </si>
  <si>
    <t>每层加100V电压</t>
    <phoneticPr fontId="1" type="noConversion"/>
  </si>
  <si>
    <t>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</t>
    <phoneticPr fontId="1" type="noConversion"/>
  </si>
  <si>
    <t>每层加-50A磁势</t>
    <phoneticPr fontId="1" type="noConversion"/>
  </si>
  <si>
    <t>Vpor=4*Z/h</t>
    <phoneticPr fontId="1" type="noConversion"/>
  </si>
  <si>
    <t>%%%%%%%%%%%%%%%%%%%%%%%%%%%%%%%%%%%%%%%%%%%%%%%%%%%%%%%%%%%%%%%%%%%%%%%%%%%%%%%%%%%%%%%%%%%%%%%%%%%%%%%%</t>
    <phoneticPr fontId="1" type="noConversion"/>
  </si>
  <si>
    <t>n=0</t>
    <phoneticPr fontId="1" type="noConversion"/>
  </si>
  <si>
    <t>p=0.2</t>
    <phoneticPr fontId="1" type="noConversion"/>
  </si>
  <si>
    <t>n=∞</t>
    <phoneticPr fontId="1" type="noConversion"/>
  </si>
  <si>
    <t>C11</t>
    <phoneticPr fontId="1" type="noConversion"/>
  </si>
  <si>
    <t>C12</t>
    <phoneticPr fontId="1" type="noConversion"/>
  </si>
  <si>
    <t>C66</t>
    <phoneticPr fontId="1" type="noConversion"/>
  </si>
  <si>
    <t>C44</t>
    <phoneticPr fontId="1" type="noConversion"/>
  </si>
  <si>
    <t>C55</t>
    <phoneticPr fontId="1" type="noConversion"/>
  </si>
  <si>
    <t>e31</t>
    <phoneticPr fontId="1" type="noConversion"/>
  </si>
  <si>
    <t>q31</t>
    <phoneticPr fontId="1" type="noConversion"/>
  </si>
  <si>
    <t>k33</t>
    <phoneticPr fontId="1" type="noConversion"/>
  </si>
  <si>
    <t>HC</t>
    <phoneticPr fontId="1" type="noConversion"/>
  </si>
  <si>
    <t>密度</t>
    <phoneticPr fontId="1" type="noConversion"/>
  </si>
  <si>
    <t>B</t>
    <phoneticPr fontId="1" type="noConversion"/>
  </si>
  <si>
    <t>F</t>
    <phoneticPr fontId="1" type="noConversion"/>
  </si>
  <si>
    <t>F底部</t>
    <phoneticPr fontId="1" type="noConversion"/>
  </si>
  <si>
    <t>B顶部</t>
    <phoneticPr fontId="1" type="noConversion"/>
  </si>
  <si>
    <t>n=0.2</t>
    <phoneticPr fontId="1" type="noConversion"/>
  </si>
  <si>
    <t>p=0.3</t>
    <phoneticPr fontId="1" type="noConversion"/>
  </si>
  <si>
    <t>p=0.4</t>
    <phoneticPr fontId="1" type="noConversion"/>
  </si>
  <si>
    <t>%%%%%%%%%%%%%%%%%%%%%%%%%%%%%%%%%%%%%%%%%%%%%%%%%%%%%%%%%%%%%%%%%%%%%%%%%</t>
    <phoneticPr fontId="1" type="noConversion"/>
  </si>
  <si>
    <t>p=0.3</t>
    <phoneticPr fontId="1" type="noConversion"/>
  </si>
  <si>
    <t>p=0.4</t>
    <phoneticPr fontId="1" type="noConversion"/>
  </si>
  <si>
    <t>C11</t>
  </si>
  <si>
    <t>C12</t>
  </si>
  <si>
    <t>C66</t>
  </si>
  <si>
    <t>C44</t>
  </si>
  <si>
    <t>C55</t>
  </si>
  <si>
    <t>e31</t>
  </si>
  <si>
    <t>HC</t>
  </si>
  <si>
    <t>密度</t>
  </si>
  <si>
    <t>B</t>
  </si>
  <si>
    <t>F</t>
  </si>
  <si>
    <t>&amp;</t>
    <phoneticPr fontId="1" type="noConversion"/>
  </si>
  <si>
    <t>\\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</si>
</sst>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0E+00"/>
    <numFmt numFmtId="177" formatCode="0.00_);[Red]\(0.00\)"/>
    <numFmt numFmtId="178" formatCode="0.000_);[Red]\(0.000\)"/>
    <numFmt numFmtId="179" formatCode="0.00;[Red]0.00"/>
    <numFmt numFmtId="180" formatCode="0.000_ "/>
  </numFmts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8"/>
      <color rgb="FF4D4D4D"/>
      <name val="Arial"/>
      <family val="2"/>
    </font>
    <font>
      <sz val="11"/>
      <color rgb="FFFF0000"/>
      <name val="宋体"/>
      <family val="2"/>
      <scheme val="minor"/>
    </font>
    <font>
      <sz val="11"/>
      <color rgb="FFFFFF00"/>
      <name val="宋体"/>
      <family val="2"/>
      <scheme val="minor"/>
    </font>
    <font>
      <sz val="11"/>
      <name val="宋体"/>
      <family val="2"/>
      <scheme val="minor"/>
    </font>
    <font>
      <sz val="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000000"/>
      <name val="Calibri"/>
      <family val="2"/>
    </font>
    <font>
      <sz val="10.5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11" fontId="0" fillId="0" borderId="0" xfId="0" applyNumberFormat="1"/>
    <xf numFmtId="0" fontId="0" fillId="2" borderId="0" xfId="0" applyFill="1"/>
    <xf numFmtId="0" fontId="2" fillId="0" borderId="0" xfId="0" applyFont="1"/>
    <xf numFmtId="0" fontId="0" fillId="0" borderId="0" xfId="0" applyNumberFormat="1"/>
    <xf numFmtId="176" fontId="0" fillId="0" borderId="0" xfId="0" applyNumberFormat="1"/>
    <xf numFmtId="176" fontId="0" fillId="2" borderId="0" xfId="0" applyNumberFormat="1" applyFill="1"/>
    <xf numFmtId="177" fontId="0" fillId="0" borderId="0" xfId="0" applyNumberFormat="1"/>
    <xf numFmtId="178" fontId="0" fillId="0" borderId="0" xfId="0" applyNumberFormat="1" applyFont="1"/>
    <xf numFmtId="179" fontId="0" fillId="0" borderId="0" xfId="0" applyNumberFormat="1"/>
    <xf numFmtId="0" fontId="0" fillId="3" borderId="0" xfId="0" applyFill="1"/>
    <xf numFmtId="0" fontId="3" fillId="0" borderId="0" xfId="0" applyNumberFormat="1" applyFont="1"/>
    <xf numFmtId="0" fontId="0" fillId="4" borderId="0" xfId="0" applyFill="1"/>
    <xf numFmtId="0" fontId="3" fillId="0" borderId="0" xfId="0" applyFont="1"/>
    <xf numFmtId="11" fontId="3" fillId="0" borderId="0" xfId="0" applyNumberFormat="1" applyFont="1"/>
    <xf numFmtId="0" fontId="4" fillId="4" borderId="0" xfId="0" applyFont="1" applyFill="1"/>
    <xf numFmtId="0" fontId="3" fillId="2" borderId="0" xfId="0" applyFont="1" applyFill="1"/>
    <xf numFmtId="0" fontId="5" fillId="0" borderId="0" xfId="0" applyNumberFormat="1" applyFont="1"/>
    <xf numFmtId="0" fontId="5" fillId="0" borderId="0" xfId="0" applyFont="1"/>
    <xf numFmtId="11" fontId="7" fillId="0" borderId="0" xfId="0" applyNumberFormat="1" applyFont="1"/>
    <xf numFmtId="0" fontId="0" fillId="5" borderId="0" xfId="0" applyFill="1"/>
    <xf numFmtId="176" fontId="0" fillId="4" borderId="0" xfId="0" applyNumberFormat="1" applyFill="1"/>
    <xf numFmtId="176" fontId="0" fillId="0" borderId="0" xfId="0" applyNumberFormat="1" applyFont="1"/>
    <xf numFmtId="0" fontId="9" fillId="0" borderId="1" xfId="0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11" fontId="9" fillId="0" borderId="3" xfId="0" applyNumberFormat="1" applyFont="1" applyBorder="1" applyAlignment="1">
      <alignment horizontal="right" vertical="center"/>
    </xf>
    <xf numFmtId="11" fontId="9" fillId="0" borderId="4" xfId="0" applyNumberFormat="1" applyFont="1" applyBorder="1" applyAlignment="1">
      <alignment horizontal="right" vertical="center"/>
    </xf>
    <xf numFmtId="180" fontId="0" fillId="0" borderId="0" xfId="0" applyNumberFormat="1"/>
    <xf numFmtId="0" fontId="10" fillId="0" borderId="1" xfId="0" applyFont="1" applyBorder="1" applyAlignment="1">
      <alignment horizontal="justify" vertical="center"/>
    </xf>
    <xf numFmtId="0" fontId="10" fillId="0" borderId="3" xfId="0" applyFont="1" applyBorder="1" applyAlignment="1">
      <alignment horizontal="justify" vertical="center"/>
    </xf>
    <xf numFmtId="0" fontId="10" fillId="0" borderId="0" xfId="0" applyFont="1" applyBorder="1" applyAlignment="1">
      <alignment horizontal="justify" vertical="center"/>
    </xf>
    <xf numFmtId="0" fontId="8" fillId="0" borderId="0" xfId="1"/>
    <xf numFmtId="0" fontId="0" fillId="2" borderId="0" xfId="0" applyFill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7293203791804"/>
          <c:y val="8.9288436180154335E-2"/>
          <c:w val="0.76472338850674471"/>
          <c:h val="0.75502284518204776"/>
        </c:manualLayout>
      </c:layout>
      <c:barChart>
        <c:barDir val="col"/>
        <c:grouping val="clustered"/>
        <c:varyColors val="0"/>
        <c:ser>
          <c:idx val="0"/>
          <c:order val="0"/>
          <c:tx>
            <c:v>0</c:v>
          </c:tx>
          <c:spPr>
            <a:pattFill prst="pct5">
              <a:fgClr>
                <a:schemeClr val="tx1"/>
              </a:fgClr>
              <a:bgClr>
                <a:schemeClr val="bg1"/>
              </a:bgClr>
            </a:pattFill>
            <a:ln w="3175">
              <a:solidFill>
                <a:schemeClr val="tx1">
                  <a:alpha val="35000"/>
                </a:schemeClr>
              </a:solidFill>
            </a:ln>
          </c:spPr>
          <c:invertIfNegative val="0"/>
          <c:cat>
            <c:numRef>
              <c:f>Sheet1!$E$3:$E$6</c:f>
              <c:numCache>
                <c:formatCode>General</c:formatCode>
                <c:ptCount val="4"/>
                <c:pt idx="0">
                  <c:v>0.2</c:v>
                </c:pt>
                <c:pt idx="1">
                  <c:v>0.5</c:v>
                </c:pt>
                <c:pt idx="2">
                  <c:v>2</c:v>
                </c:pt>
                <c:pt idx="3">
                  <c:v>10</c:v>
                </c:pt>
              </c:numCache>
            </c:numRef>
          </c:cat>
          <c:val>
            <c:numRef>
              <c:f>Sheet1!$A$3:$D$3</c:f>
              <c:numCache>
                <c:formatCode>General</c:formatCode>
                <c:ptCount val="4"/>
                <c:pt idx="0">
                  <c:v>851.94692989999999</c:v>
                </c:pt>
                <c:pt idx="1">
                  <c:v>889.25540000000001</c:v>
                </c:pt>
                <c:pt idx="2">
                  <c:v>958.10508930000003</c:v>
                </c:pt>
                <c:pt idx="3">
                  <c:v>1036.2130010000001</c:v>
                </c:pt>
              </c:numCache>
            </c:numRef>
          </c:val>
        </c:ser>
        <c:ser>
          <c:idx val="1"/>
          <c:order val="1"/>
          <c:tx>
            <c:v>0.2</c:v>
          </c:tx>
          <c:spPr>
            <a:pattFill prst="pct50">
              <a:fgClr>
                <a:schemeClr val="tx1"/>
              </a:fgClr>
              <a:bgClr>
                <a:schemeClr val="bg1"/>
              </a:bgClr>
            </a:pattFill>
            <a:ln w="0">
              <a:solidFill>
                <a:schemeClr val="bg1">
                  <a:lumMod val="65000"/>
                </a:schemeClr>
              </a:solidFill>
            </a:ln>
          </c:spPr>
          <c:invertIfNegative val="0"/>
          <c:cat>
            <c:numRef>
              <c:f>Sheet1!$E$3:$E$6</c:f>
              <c:numCache>
                <c:formatCode>General</c:formatCode>
                <c:ptCount val="4"/>
                <c:pt idx="0">
                  <c:v>0.2</c:v>
                </c:pt>
                <c:pt idx="1">
                  <c:v>0.5</c:v>
                </c:pt>
                <c:pt idx="2">
                  <c:v>2</c:v>
                </c:pt>
                <c:pt idx="3">
                  <c:v>10</c:v>
                </c:pt>
              </c:numCache>
            </c:numRef>
          </c:cat>
          <c:val>
            <c:numRef>
              <c:f>Sheet1!$A$4:$D$4</c:f>
              <c:numCache>
                <c:formatCode>General</c:formatCode>
                <c:ptCount val="4"/>
                <c:pt idx="0">
                  <c:v>792.43274759999997</c:v>
                </c:pt>
                <c:pt idx="1">
                  <c:v>830.93815370000004</c:v>
                </c:pt>
                <c:pt idx="2">
                  <c:v>902.50369499999999</c:v>
                </c:pt>
                <c:pt idx="3">
                  <c:v>981.30827859999999</c:v>
                </c:pt>
              </c:numCache>
            </c:numRef>
          </c:val>
        </c:ser>
        <c:ser>
          <c:idx val="2"/>
          <c:order val="2"/>
          <c:tx>
            <c:v>0.3</c:v>
          </c:tx>
          <c:spPr>
            <a:pattFill prst="ltDnDiag">
              <a:fgClr>
                <a:schemeClr val="tx1"/>
              </a:fgClr>
              <a:bgClr>
                <a:schemeClr val="bg1"/>
              </a:bgClr>
            </a:pattFill>
            <a:ln w="3175">
              <a:solidFill>
                <a:schemeClr val="tx1"/>
              </a:solidFill>
            </a:ln>
          </c:spPr>
          <c:invertIfNegative val="0"/>
          <c:cat>
            <c:numRef>
              <c:f>Sheet1!$E$3:$E$6</c:f>
              <c:numCache>
                <c:formatCode>General</c:formatCode>
                <c:ptCount val="4"/>
                <c:pt idx="0">
                  <c:v>0.2</c:v>
                </c:pt>
                <c:pt idx="1">
                  <c:v>0.5</c:v>
                </c:pt>
                <c:pt idx="2">
                  <c:v>2</c:v>
                </c:pt>
                <c:pt idx="3">
                  <c:v>10</c:v>
                </c:pt>
              </c:numCache>
            </c:numRef>
          </c:cat>
          <c:val>
            <c:numRef>
              <c:f>Sheet1!$A$5:$D$5</c:f>
              <c:numCache>
                <c:formatCode>General</c:formatCode>
                <c:ptCount val="4"/>
                <c:pt idx="0">
                  <c:v>764.9450994</c:v>
                </c:pt>
                <c:pt idx="1">
                  <c:v>805.92856640000002</c:v>
                </c:pt>
                <c:pt idx="2">
                  <c:v>882.17566250000004</c:v>
                </c:pt>
                <c:pt idx="3">
                  <c:v>965.01152879999995</c:v>
                </c:pt>
              </c:numCache>
            </c:numRef>
          </c:val>
        </c:ser>
        <c:ser>
          <c:idx val="3"/>
          <c:order val="3"/>
          <c:tx>
            <c:v>0.4</c:v>
          </c:tx>
          <c:spPr>
            <a:pattFill prst="ltVert">
              <a:fgClr>
                <a:schemeClr val="tx1"/>
              </a:fgClr>
              <a:bgClr>
                <a:schemeClr val="bg1"/>
              </a:bgClr>
            </a:pattFill>
            <a:ln w="0">
              <a:solidFill>
                <a:schemeClr val="bg1">
                  <a:lumMod val="65000"/>
                </a:schemeClr>
              </a:solidFill>
            </a:ln>
          </c:spPr>
          <c:invertIfNegative val="0"/>
          <c:cat>
            <c:numRef>
              <c:f>Sheet1!$E$3:$E$6</c:f>
              <c:numCache>
                <c:formatCode>General</c:formatCode>
                <c:ptCount val="4"/>
                <c:pt idx="0">
                  <c:v>0.2</c:v>
                </c:pt>
                <c:pt idx="1">
                  <c:v>0.5</c:v>
                </c:pt>
                <c:pt idx="2">
                  <c:v>2</c:v>
                </c:pt>
                <c:pt idx="3">
                  <c:v>10</c:v>
                </c:pt>
              </c:numCache>
            </c:numRef>
          </c:cat>
          <c:val>
            <c:numRef>
              <c:f>Sheet1!$A$6:$D$6</c:f>
              <c:numCache>
                <c:formatCode>General</c:formatCode>
                <c:ptCount val="4"/>
                <c:pt idx="0">
                  <c:v>736.82647980000002</c:v>
                </c:pt>
                <c:pt idx="1">
                  <c:v>781.74154020000003</c:v>
                </c:pt>
                <c:pt idx="2">
                  <c:v>865.73929959999998</c:v>
                </c:pt>
                <c:pt idx="3">
                  <c:v>955.90181610000002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24"/>
        <c:axId val="128690688"/>
        <c:axId val="128479168"/>
      </c:barChart>
      <c:lineChart>
        <c:grouping val="standard"/>
        <c:varyColors val="0"/>
        <c:ser>
          <c:idx val="4"/>
          <c:order val="4"/>
          <c:tx>
            <c:strRef>
              <c:f>Sheet1!$G$7</c:f>
              <c:strCache>
                <c:ptCount val="1"/>
              </c:strCache>
            </c:strRef>
          </c:tx>
          <c:spPr>
            <a:ln>
              <a:solidFill>
                <a:schemeClr val="bg1"/>
              </a:solidFill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90688"/>
        <c:axId val="128479168"/>
      </c:lineChart>
      <c:catAx>
        <c:axId val="128690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 sz="1200" b="0">
                    <a:latin typeface="Times New Roman" pitchFamily="18" charset="0"/>
                    <a:cs typeface="Times New Roman" pitchFamily="18" charset="0"/>
                  </a:rPr>
                  <a:t>Gradient index</a:t>
                </a:r>
                <a:endParaRPr lang="zh-CN" altLang="en-US" sz="1200" b="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38286528663555064"/>
              <c:y val="0.9161461495274234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CN"/>
          </a:p>
        </c:txPr>
        <c:crossAx val="128479168"/>
        <c:crosses val="autoZero"/>
        <c:auto val="1"/>
        <c:lblAlgn val="ctr"/>
        <c:lblOffset val="100"/>
        <c:noMultiLvlLbl val="0"/>
      </c:catAx>
      <c:valAx>
        <c:axId val="1284791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altLang="zh-CN" sz="1400" b="0">
                    <a:latin typeface="Times New Roman" pitchFamily="18" charset="0"/>
                    <a:cs typeface="Times New Roman" pitchFamily="18" charset="0"/>
                  </a:rPr>
                  <a:t>Frequency (Hz)</a:t>
                </a:r>
                <a:endParaRPr lang="zh-CN" altLang="en-US" sz="1400" b="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3.2292585048490558E-3"/>
              <c:y val="0.2463322404346761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CN"/>
          </a:p>
        </c:txPr>
        <c:crossAx val="12869068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6297297297297297"/>
          <c:y val="2.4826251069901224E-2"/>
          <c:w val="0.8307803712035996"/>
          <c:h val="0.15824858594548796"/>
        </c:manualLayout>
      </c:layout>
      <c:overlay val="0"/>
      <c:spPr>
        <a:ln>
          <a:noFill/>
        </a:ln>
      </c:spPr>
      <c:txPr>
        <a:bodyPr/>
        <a:lstStyle/>
        <a:p>
          <a:pPr>
            <a:defRPr sz="1200" baseline="0">
              <a:latin typeface="Times New Roman" pitchFamily="18" charset="0"/>
              <a:cs typeface="Times New Roman" pitchFamily="18" charset="0"/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7</xdr:row>
      <xdr:rowOff>152401</xdr:rowOff>
    </xdr:from>
    <xdr:to>
      <xdr:col>7</xdr:col>
      <xdr:colOff>50800</xdr:colOff>
      <xdr:row>22</xdr:row>
      <xdr:rowOff>69850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/>
      <a:bodyPr vertOverflow="clip" wrap="square" rtlCol="0"/>
      <a:lstStyle>
        <a:defPPr>
          <a:defRPr sz="110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\" TargetMode="External"/><Relationship Id="rId1" Type="http://schemas.openxmlformats.org/officeDocument/2006/relationships/hyperlink" Target="\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86"/>
  <sheetViews>
    <sheetView topLeftCell="A57" zoomScaleNormal="100" workbookViewId="0">
      <selection activeCell="L34" sqref="L34"/>
    </sheetView>
  </sheetViews>
  <sheetFormatPr defaultRowHeight="14" x14ac:dyDescent="0.25"/>
  <cols>
    <col min="1" max="1" width="17.1796875" customWidth="1"/>
    <col min="2" max="2" width="15.36328125" customWidth="1"/>
    <col min="3" max="3" width="11.81640625" customWidth="1"/>
    <col min="4" max="4" width="11.90625" customWidth="1"/>
    <col min="5" max="5" width="10.453125" bestFit="1" customWidth="1"/>
    <col min="6" max="6" width="11.36328125" customWidth="1"/>
    <col min="7" max="7" width="10.54296875" bestFit="1" customWidth="1"/>
    <col min="8" max="8" width="11.36328125" customWidth="1"/>
    <col min="9" max="9" width="11" customWidth="1"/>
    <col min="10" max="10" width="11.36328125" bestFit="1" customWidth="1"/>
    <col min="11" max="11" width="13.36328125" customWidth="1"/>
    <col min="12" max="12" width="11.6328125" customWidth="1"/>
    <col min="13" max="13" width="13.1796875" customWidth="1"/>
    <col min="14" max="14" width="12" customWidth="1"/>
    <col min="15" max="15" width="11.54296875" customWidth="1"/>
    <col min="16" max="16" width="11.26953125" customWidth="1"/>
    <col min="17" max="17" width="11" customWidth="1"/>
    <col min="18" max="18" width="11.54296875" customWidth="1"/>
    <col min="19" max="19" width="11.7265625" customWidth="1"/>
    <col min="20" max="23" width="10.26953125" bestFit="1" customWidth="1"/>
    <col min="24" max="25" width="11.36328125" bestFit="1" customWidth="1"/>
    <col min="26" max="26" width="10.90625" customWidth="1"/>
    <col min="27" max="27" width="11.453125" customWidth="1"/>
    <col min="28" max="28" width="10.453125" bestFit="1" customWidth="1"/>
    <col min="32" max="32" width="12.08984375" customWidth="1"/>
    <col min="33" max="33" width="10.54296875" customWidth="1"/>
    <col min="34" max="35" width="11" customWidth="1"/>
    <col min="36" max="36" width="11.26953125" customWidth="1"/>
    <col min="37" max="37" width="12" customWidth="1"/>
  </cols>
  <sheetData>
    <row r="1" spans="1:54" x14ac:dyDescent="0.25"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20" t="s">
        <v>40</v>
      </c>
      <c r="J1" s="20" t="s">
        <v>42</v>
      </c>
      <c r="K1" s="1" t="s">
        <v>244</v>
      </c>
      <c r="L1" t="s">
        <v>8</v>
      </c>
      <c r="M1" t="s">
        <v>9</v>
      </c>
      <c r="N1" t="s">
        <v>10</v>
      </c>
      <c r="O1" t="s">
        <v>245</v>
      </c>
      <c r="P1" t="s">
        <v>246</v>
      </c>
      <c r="AE1" s="2" t="s">
        <v>13</v>
      </c>
      <c r="BB1" s="3"/>
    </row>
    <row r="2" spans="1:54" x14ac:dyDescent="0.25">
      <c r="A2" s="1" t="s">
        <v>247</v>
      </c>
      <c r="B2" s="1">
        <v>128444444444.44444</v>
      </c>
      <c r="C2" s="1">
        <v>39444444444.444443</v>
      </c>
      <c r="D2" s="1">
        <v>44500000000</v>
      </c>
      <c r="E2" s="1">
        <v>43000000000</v>
      </c>
      <c r="F2" s="1">
        <v>43000000000</v>
      </c>
      <c r="G2" s="1">
        <v>-13.355555555555556</v>
      </c>
      <c r="H2" s="1">
        <v>0</v>
      </c>
      <c r="I2" s="1">
        <v>1.4735555555555557E-8</v>
      </c>
      <c r="J2" s="1">
        <v>1.0000000000000001E-5</v>
      </c>
      <c r="K2" s="1">
        <v>0</v>
      </c>
      <c r="L2" s="1">
        <v>1.5699999999999999E-5</v>
      </c>
      <c r="M2" s="1">
        <v>4.0024444444444442E-4</v>
      </c>
      <c r="N2" s="1">
        <v>4.0024444444444442E-4</v>
      </c>
      <c r="O2" s="1">
        <v>3.2</v>
      </c>
      <c r="P2" s="1">
        <v>5800</v>
      </c>
      <c r="BB2" s="3"/>
    </row>
    <row r="3" spans="1:54" x14ac:dyDescent="0.25">
      <c r="A3" s="1" t="s">
        <v>248</v>
      </c>
      <c r="B3" s="1">
        <v>178764378478.66418</v>
      </c>
      <c r="C3" s="1">
        <v>65764378478.6642</v>
      </c>
      <c r="D3" s="1">
        <v>56500000000</v>
      </c>
      <c r="E3" s="1">
        <v>45300000000</v>
      </c>
      <c r="F3" s="1">
        <v>45300000000</v>
      </c>
      <c r="G3" s="1">
        <v>0</v>
      </c>
      <c r="H3" s="1">
        <v>138.44155844155841</v>
      </c>
      <c r="I3" s="1">
        <v>9.3000000000000002E-11</v>
      </c>
      <c r="J3" s="1">
        <v>1.5881818181818182E-4</v>
      </c>
      <c r="K3" s="1">
        <v>0</v>
      </c>
      <c r="L3" s="1">
        <v>1.0000000000000001E-5</v>
      </c>
      <c r="M3" s="1">
        <v>4.0024444444444442E-4</v>
      </c>
      <c r="N3" s="1">
        <v>4.0024444444444442E-4</v>
      </c>
      <c r="O3" s="1">
        <v>2.5</v>
      </c>
      <c r="P3" s="1">
        <v>5300</v>
      </c>
      <c r="AE3" t="s">
        <v>15</v>
      </c>
      <c r="AF3" t="s">
        <v>16</v>
      </c>
      <c r="AG3" t="s">
        <v>17</v>
      </c>
      <c r="AH3" t="s">
        <v>18</v>
      </c>
      <c r="AI3" t="s">
        <v>19</v>
      </c>
      <c r="AJ3" t="s">
        <v>20</v>
      </c>
      <c r="AK3" t="s">
        <v>21</v>
      </c>
      <c r="AL3" s="4" t="s">
        <v>22</v>
      </c>
      <c r="AM3" t="s">
        <v>23</v>
      </c>
      <c r="AN3" t="s">
        <v>24</v>
      </c>
      <c r="AO3" t="s">
        <v>25</v>
      </c>
      <c r="AP3" t="s">
        <v>26</v>
      </c>
      <c r="BB3" s="3"/>
    </row>
    <row r="4" spans="1:54" x14ac:dyDescent="0.25">
      <c r="AE4">
        <v>1</v>
      </c>
      <c r="AF4" s="5">
        <v>0.3125</v>
      </c>
      <c r="AG4" s="5">
        <v>2.0000000000000001E-4</v>
      </c>
      <c r="AH4" s="6">
        <f>AF4*AG4</f>
        <v>6.2500000000000001E-5</v>
      </c>
      <c r="AI4" s="5">
        <f t="shared" ref="AI4:AI5" si="0">AF4*AG4</f>
        <v>6.2500000000000001E-5</v>
      </c>
      <c r="AJ4" s="6">
        <f>SUM(AI4:AI5)</f>
        <v>1.3854562737642784E-4</v>
      </c>
      <c r="AK4" s="7">
        <f>AH4/AJ4</f>
        <v>0.45111492281302956</v>
      </c>
      <c r="AL4" s="8">
        <f>1-AM4</f>
        <v>0.54888507718697044</v>
      </c>
      <c r="AM4" s="8">
        <f>AH4/AJ4</f>
        <v>0.45111492281302956</v>
      </c>
      <c r="AN4" s="9">
        <v>20</v>
      </c>
      <c r="AO4">
        <v>300</v>
      </c>
      <c r="AP4">
        <f>AN4*AL4+AO4*AM4</f>
        <v>146.31217838764829</v>
      </c>
      <c r="BB4" s="3"/>
    </row>
    <row r="5" spans="1:54" x14ac:dyDescent="0.25">
      <c r="AE5">
        <v>2</v>
      </c>
      <c r="AF5" s="5">
        <v>0.38022813688213919</v>
      </c>
      <c r="AG5" s="5">
        <v>2.0000000000000001E-4</v>
      </c>
      <c r="AH5" s="6">
        <f t="shared" ref="AH5" si="1">AF5*AG5+AH4</f>
        <v>1.3854562737642784E-4</v>
      </c>
      <c r="AI5" s="5">
        <f t="shared" si="0"/>
        <v>7.6045627376427835E-5</v>
      </c>
      <c r="AJ5" s="6">
        <v>9.2306672367591623E-4</v>
      </c>
      <c r="AK5" s="7">
        <f t="shared" ref="AK5" si="2">AH5/AJ5</f>
        <v>0.15009275475200692</v>
      </c>
      <c r="AL5" s="8">
        <f t="shared" ref="AL5" si="3">1-AM5</f>
        <v>0.8499072452479931</v>
      </c>
      <c r="AM5" s="8">
        <f t="shared" ref="AM5" si="4">AH5/AJ5</f>
        <v>0.15009275475200692</v>
      </c>
      <c r="AN5" s="9">
        <v>20</v>
      </c>
      <c r="AO5">
        <v>300</v>
      </c>
      <c r="AP5">
        <f t="shared" ref="AP5" si="5">AN5*AL5+AO5*AM5</f>
        <v>62.025971330561944</v>
      </c>
      <c r="BB5" s="3"/>
    </row>
    <row r="6" spans="1:54" x14ac:dyDescent="0.25">
      <c r="B6" s="10" t="s">
        <v>27</v>
      </c>
      <c r="C6" s="10" t="s">
        <v>28</v>
      </c>
      <c r="D6" s="10" t="s">
        <v>29</v>
      </c>
      <c r="E6" s="10" t="s">
        <v>30</v>
      </c>
      <c r="F6" s="10" t="s">
        <v>31</v>
      </c>
      <c r="G6" s="10" t="s">
        <v>217</v>
      </c>
      <c r="H6" s="10" t="s">
        <v>32</v>
      </c>
      <c r="I6" s="10" t="s">
        <v>33</v>
      </c>
      <c r="J6" s="10" t="s">
        <v>34</v>
      </c>
      <c r="K6" s="10" t="s">
        <v>35</v>
      </c>
      <c r="L6" s="10" t="s">
        <v>36</v>
      </c>
      <c r="M6" s="10" t="s">
        <v>37</v>
      </c>
      <c r="N6" s="10" t="s">
        <v>38</v>
      </c>
      <c r="O6" s="10" t="s">
        <v>39</v>
      </c>
      <c r="P6" s="10" t="s">
        <v>40</v>
      </c>
      <c r="Q6" s="10" t="s">
        <v>41</v>
      </c>
      <c r="R6" s="10" t="s">
        <v>42</v>
      </c>
      <c r="S6" s="10" t="s">
        <v>218</v>
      </c>
      <c r="T6" s="10" t="s">
        <v>219</v>
      </c>
      <c r="U6" s="10" t="s">
        <v>220</v>
      </c>
      <c r="V6" s="10" t="s">
        <v>221</v>
      </c>
      <c r="W6" s="10" t="s">
        <v>222</v>
      </c>
      <c r="X6" s="10" t="s">
        <v>43</v>
      </c>
      <c r="Y6" s="10" t="s">
        <v>44</v>
      </c>
      <c r="Z6" s="10" t="s">
        <v>45</v>
      </c>
      <c r="AA6" s="10" t="s">
        <v>46</v>
      </c>
      <c r="BB6" s="3"/>
    </row>
    <row r="7" spans="1:54" x14ac:dyDescent="0.25">
      <c r="A7" t="s">
        <v>249</v>
      </c>
      <c r="B7" s="11">
        <v>1</v>
      </c>
      <c r="C7" s="5"/>
      <c r="D7" s="5"/>
      <c r="E7" s="5"/>
      <c r="F7" s="5">
        <v>0</v>
      </c>
      <c r="G7" s="5"/>
      <c r="H7" s="5"/>
      <c r="I7" s="5"/>
      <c r="J7" s="5"/>
      <c r="K7" s="5"/>
      <c r="L7" s="5">
        <v>0</v>
      </c>
      <c r="M7" s="5">
        <v>2.0000000000000001E-4</v>
      </c>
      <c r="N7" s="5"/>
      <c r="O7" s="5"/>
      <c r="P7" s="5"/>
      <c r="Q7" s="5">
        <v>0</v>
      </c>
      <c r="R7" s="5"/>
      <c r="S7" s="5"/>
      <c r="T7" s="5"/>
      <c r="U7" s="5">
        <v>0</v>
      </c>
      <c r="V7" s="5">
        <v>0</v>
      </c>
      <c r="W7" s="5"/>
      <c r="X7" s="5"/>
      <c r="Y7" s="5">
        <v>-1.1999999999999999E-3</v>
      </c>
      <c r="Z7" s="5">
        <v>-1E-3</v>
      </c>
      <c r="AA7" s="4">
        <v>2</v>
      </c>
    </row>
    <row r="8" spans="1:54" x14ac:dyDescent="0.25">
      <c r="B8" s="4">
        <v>2</v>
      </c>
      <c r="C8" s="5"/>
      <c r="D8" s="5"/>
      <c r="E8" s="5"/>
      <c r="F8" s="5">
        <v>0</v>
      </c>
      <c r="G8" s="5"/>
      <c r="H8" s="5"/>
      <c r="I8" s="5"/>
      <c r="J8" s="5"/>
      <c r="K8" s="5"/>
      <c r="L8" s="5">
        <v>0</v>
      </c>
      <c r="M8" s="5">
        <v>2.0000000000000001E-4</v>
      </c>
      <c r="N8" s="5"/>
      <c r="O8" s="5"/>
      <c r="P8" s="5"/>
      <c r="Q8" s="5">
        <v>0</v>
      </c>
      <c r="R8" s="5"/>
      <c r="S8" s="5"/>
      <c r="T8" s="5"/>
      <c r="U8" s="5">
        <v>0</v>
      </c>
      <c r="V8" s="5">
        <v>0</v>
      </c>
      <c r="W8" s="5"/>
      <c r="X8" s="5"/>
      <c r="Y8" s="5">
        <f t="shared" ref="Y8:Z18" si="6">Y7+0.0002</f>
        <v>-9.999999999999998E-4</v>
      </c>
      <c r="Z8" s="5">
        <f t="shared" si="6"/>
        <v>-8.0000000000000004E-4</v>
      </c>
      <c r="AA8" s="4">
        <v>2</v>
      </c>
    </row>
    <row r="9" spans="1:54" x14ac:dyDescent="0.25">
      <c r="B9" s="4">
        <v>3</v>
      </c>
      <c r="C9" s="5"/>
      <c r="D9" s="5"/>
      <c r="E9" s="5"/>
      <c r="F9" s="5">
        <v>0</v>
      </c>
      <c r="G9" s="5"/>
      <c r="H9" s="5"/>
      <c r="I9" s="5"/>
      <c r="J9" s="5"/>
      <c r="K9" s="5"/>
      <c r="L9" s="5">
        <v>0</v>
      </c>
      <c r="M9" s="5">
        <v>2.0000000000000001E-4</v>
      </c>
      <c r="N9" s="5"/>
      <c r="O9" s="5"/>
      <c r="P9" s="5"/>
      <c r="Q9" s="5">
        <v>0</v>
      </c>
      <c r="R9" s="5"/>
      <c r="S9" s="5"/>
      <c r="T9" s="5"/>
      <c r="U9" s="5">
        <v>0</v>
      </c>
      <c r="V9" s="5">
        <v>0</v>
      </c>
      <c r="W9" s="5"/>
      <c r="X9" s="5"/>
      <c r="Y9" s="5">
        <f t="shared" si="6"/>
        <v>-7.9999999999999982E-4</v>
      </c>
      <c r="Z9" s="5">
        <f t="shared" si="6"/>
        <v>-6.0000000000000006E-4</v>
      </c>
      <c r="AA9" s="4">
        <v>2</v>
      </c>
    </row>
    <row r="10" spans="1:54" x14ac:dyDescent="0.25">
      <c r="B10" s="4">
        <v>4</v>
      </c>
      <c r="C10" s="5"/>
      <c r="D10" s="5"/>
      <c r="E10" s="5"/>
      <c r="F10" s="5">
        <v>0</v>
      </c>
      <c r="G10" s="5"/>
      <c r="H10" s="5"/>
      <c r="I10" s="5"/>
      <c r="J10" s="5"/>
      <c r="K10" s="5"/>
      <c r="L10" s="5">
        <v>0</v>
      </c>
      <c r="M10" s="5">
        <v>2.0000000000000001E-4</v>
      </c>
      <c r="N10" s="5"/>
      <c r="O10" s="5"/>
      <c r="P10" s="5"/>
      <c r="Q10" s="5">
        <v>0</v>
      </c>
      <c r="R10" s="5"/>
      <c r="S10" s="5"/>
      <c r="T10" s="5"/>
      <c r="U10" s="5">
        <v>0</v>
      </c>
      <c r="V10" s="5">
        <v>0</v>
      </c>
      <c r="W10" s="5"/>
      <c r="X10" s="5"/>
      <c r="Y10" s="5">
        <f t="shared" si="6"/>
        <v>-5.9999999999999984E-4</v>
      </c>
      <c r="Z10" s="5">
        <f t="shared" si="6"/>
        <v>-4.0000000000000007E-4</v>
      </c>
      <c r="AA10" s="4">
        <v>2</v>
      </c>
    </row>
    <row r="11" spans="1:54" x14ac:dyDescent="0.25">
      <c r="B11" s="4">
        <v>5</v>
      </c>
      <c r="C11" s="5"/>
      <c r="D11" s="5"/>
      <c r="E11" s="5"/>
      <c r="F11" s="5">
        <v>0</v>
      </c>
      <c r="G11" s="5"/>
      <c r="H11" s="5"/>
      <c r="I11" s="5"/>
      <c r="J11" s="5"/>
      <c r="K11" s="5"/>
      <c r="L11" s="5">
        <v>0</v>
      </c>
      <c r="M11" s="5">
        <v>2.0000000000000001E-4</v>
      </c>
      <c r="N11" s="5"/>
      <c r="O11" s="5"/>
      <c r="P11" s="5"/>
      <c r="Q11" s="5">
        <v>0</v>
      </c>
      <c r="R11" s="5"/>
      <c r="S11" s="5"/>
      <c r="T11" s="5"/>
      <c r="U11" s="5">
        <v>0</v>
      </c>
      <c r="V11" s="5">
        <v>0</v>
      </c>
      <c r="W11" s="5"/>
      <c r="X11" s="5"/>
      <c r="Y11" s="5">
        <f t="shared" si="6"/>
        <v>-3.9999999999999986E-4</v>
      </c>
      <c r="Z11" s="5">
        <f t="shared" si="6"/>
        <v>-2.0000000000000006E-4</v>
      </c>
      <c r="AA11" s="4">
        <v>2</v>
      </c>
    </row>
    <row r="12" spans="1:54" x14ac:dyDescent="0.25">
      <c r="B12" s="4">
        <v>6</v>
      </c>
      <c r="C12" s="5"/>
      <c r="D12" s="5"/>
      <c r="E12" s="5"/>
      <c r="F12" s="5">
        <v>0</v>
      </c>
      <c r="G12" s="5"/>
      <c r="H12" s="5"/>
      <c r="I12" s="5"/>
      <c r="J12" s="5"/>
      <c r="K12" s="5"/>
      <c r="L12" s="5">
        <v>0</v>
      </c>
      <c r="M12" s="5">
        <v>2.0000000000000001E-4</v>
      </c>
      <c r="N12" s="5"/>
      <c r="O12" s="5"/>
      <c r="P12" s="5"/>
      <c r="Q12" s="5">
        <v>0</v>
      </c>
      <c r="R12" s="5"/>
      <c r="S12" s="5"/>
      <c r="T12" s="5"/>
      <c r="U12" s="5">
        <v>0</v>
      </c>
      <c r="V12" s="5">
        <v>0</v>
      </c>
      <c r="W12" s="5"/>
      <c r="X12" s="5"/>
      <c r="Y12" s="5">
        <f t="shared" si="6"/>
        <v>-1.9999999999999985E-4</v>
      </c>
      <c r="Z12" s="5">
        <f t="shared" si="6"/>
        <v>0</v>
      </c>
      <c r="AA12" s="4">
        <v>2</v>
      </c>
    </row>
    <row r="13" spans="1:54" x14ac:dyDescent="0.25">
      <c r="B13" s="4">
        <v>7</v>
      </c>
      <c r="C13" s="5"/>
      <c r="D13" s="5"/>
      <c r="E13" s="5"/>
      <c r="F13" s="5">
        <v>0</v>
      </c>
      <c r="G13" s="5"/>
      <c r="H13" s="5"/>
      <c r="I13" s="5"/>
      <c r="J13" s="5"/>
      <c r="K13" s="5"/>
      <c r="L13" s="5">
        <v>0</v>
      </c>
      <c r="M13" s="5">
        <v>2.0000000000000001E-4</v>
      </c>
      <c r="N13" s="5"/>
      <c r="O13" s="5"/>
      <c r="P13" s="5"/>
      <c r="Q13" s="5">
        <v>0</v>
      </c>
      <c r="R13" s="5"/>
      <c r="S13" s="5"/>
      <c r="T13" s="5"/>
      <c r="U13" s="5">
        <v>0</v>
      </c>
      <c r="V13" s="5">
        <v>0</v>
      </c>
      <c r="W13" s="5"/>
      <c r="X13" s="5"/>
      <c r="Y13" s="5">
        <f t="shared" si="6"/>
        <v>0</v>
      </c>
      <c r="Z13" s="5">
        <f t="shared" si="6"/>
        <v>2.0000000000000001E-4</v>
      </c>
      <c r="AA13" s="4">
        <v>2</v>
      </c>
    </row>
    <row r="14" spans="1:54" x14ac:dyDescent="0.25">
      <c r="B14" s="4">
        <v>8</v>
      </c>
      <c r="C14" s="5"/>
      <c r="D14" s="5"/>
      <c r="E14" s="5"/>
      <c r="F14" s="5">
        <v>0</v>
      </c>
      <c r="G14" s="5"/>
      <c r="H14" s="5"/>
      <c r="I14" s="5"/>
      <c r="J14" s="5"/>
      <c r="K14" s="5"/>
      <c r="L14" s="5">
        <v>0</v>
      </c>
      <c r="M14" s="5">
        <v>2.0000000000000001E-4</v>
      </c>
      <c r="N14" s="5"/>
      <c r="O14" s="5"/>
      <c r="P14" s="5"/>
      <c r="Q14" s="5">
        <v>0</v>
      </c>
      <c r="R14" s="5"/>
      <c r="S14" s="5"/>
      <c r="T14" s="5"/>
      <c r="U14" s="5">
        <v>0</v>
      </c>
      <c r="V14" s="5">
        <v>0</v>
      </c>
      <c r="W14" s="5"/>
      <c r="X14" s="5"/>
      <c r="Y14" s="5">
        <f t="shared" si="6"/>
        <v>2.0000000000000001E-4</v>
      </c>
      <c r="Z14" s="5">
        <f t="shared" si="6"/>
        <v>4.0000000000000002E-4</v>
      </c>
      <c r="AA14" s="4">
        <v>2</v>
      </c>
    </row>
    <row r="15" spans="1:54" x14ac:dyDescent="0.25">
      <c r="B15" s="4">
        <v>9</v>
      </c>
      <c r="C15" s="5"/>
      <c r="D15" s="5"/>
      <c r="E15" s="5"/>
      <c r="F15" s="5">
        <v>0</v>
      </c>
      <c r="G15" s="5"/>
      <c r="H15" s="5"/>
      <c r="I15" s="5"/>
      <c r="J15" s="5"/>
      <c r="K15" s="5"/>
      <c r="L15" s="5">
        <v>0</v>
      </c>
      <c r="M15" s="5">
        <v>2.0000000000000001E-4</v>
      </c>
      <c r="N15" s="5"/>
      <c r="O15" s="5"/>
      <c r="P15" s="5"/>
      <c r="Q15" s="5">
        <v>0</v>
      </c>
      <c r="R15" s="5"/>
      <c r="S15" s="5"/>
      <c r="T15" s="5"/>
      <c r="U15" s="5">
        <v>0</v>
      </c>
      <c r="V15" s="5">
        <v>0</v>
      </c>
      <c r="W15" s="5"/>
      <c r="X15" s="5"/>
      <c r="Y15" s="5">
        <f t="shared" si="6"/>
        <v>4.0000000000000002E-4</v>
      </c>
      <c r="Z15" s="5">
        <f t="shared" si="6"/>
        <v>6.0000000000000006E-4</v>
      </c>
      <c r="AA15" s="4">
        <v>2</v>
      </c>
    </row>
    <row r="16" spans="1:54" x14ac:dyDescent="0.25">
      <c r="B16" s="4">
        <v>10</v>
      </c>
      <c r="C16" s="5"/>
      <c r="D16" s="5"/>
      <c r="E16" s="5"/>
      <c r="F16" s="5">
        <v>0</v>
      </c>
      <c r="G16" s="5"/>
      <c r="H16" s="5"/>
      <c r="I16" s="5"/>
      <c r="J16" s="5"/>
      <c r="K16" s="5"/>
      <c r="L16" s="5">
        <v>0</v>
      </c>
      <c r="M16" s="5">
        <v>2.0000000000000001E-4</v>
      </c>
      <c r="N16" s="5"/>
      <c r="O16" s="5"/>
      <c r="P16" s="5"/>
      <c r="Q16" s="5">
        <v>0</v>
      </c>
      <c r="R16" s="5"/>
      <c r="S16" s="5"/>
      <c r="T16" s="5"/>
      <c r="U16" s="5">
        <v>0</v>
      </c>
      <c r="V16" s="5">
        <v>0</v>
      </c>
      <c r="W16" s="5"/>
      <c r="X16" s="5"/>
      <c r="Y16" s="5">
        <f t="shared" si="6"/>
        <v>6.0000000000000006E-4</v>
      </c>
      <c r="Z16" s="5">
        <f t="shared" si="6"/>
        <v>8.0000000000000004E-4</v>
      </c>
      <c r="AA16" s="4">
        <v>2</v>
      </c>
    </row>
    <row r="17" spans="1:27" x14ac:dyDescent="0.25">
      <c r="B17" s="4">
        <v>11</v>
      </c>
      <c r="C17" s="5"/>
      <c r="D17" s="5"/>
      <c r="E17" s="5"/>
      <c r="F17" s="5">
        <v>0</v>
      </c>
      <c r="G17" s="5"/>
      <c r="H17" s="5"/>
      <c r="I17" s="5"/>
      <c r="J17" s="5"/>
      <c r="K17" s="5"/>
      <c r="L17" s="5">
        <v>0</v>
      </c>
      <c r="M17" s="5">
        <v>2.0000000000000001E-4</v>
      </c>
      <c r="N17" s="5"/>
      <c r="O17" s="5"/>
      <c r="P17" s="5"/>
      <c r="Q17" s="5">
        <v>0</v>
      </c>
      <c r="R17" s="5"/>
      <c r="S17" s="5"/>
      <c r="T17" s="5"/>
      <c r="U17" s="5">
        <v>0</v>
      </c>
      <c r="V17" s="5">
        <v>0</v>
      </c>
      <c r="W17" s="5"/>
      <c r="X17" s="5"/>
      <c r="Y17" s="5">
        <f t="shared" si="6"/>
        <v>8.0000000000000004E-4</v>
      </c>
      <c r="Z17" s="5">
        <f t="shared" si="6"/>
        <v>1E-3</v>
      </c>
      <c r="AA17" s="4">
        <v>2</v>
      </c>
    </row>
    <row r="18" spans="1:27" x14ac:dyDescent="0.25">
      <c r="A18" t="s">
        <v>250</v>
      </c>
      <c r="B18" s="11">
        <v>12</v>
      </c>
      <c r="C18" s="5"/>
      <c r="D18" s="5"/>
      <c r="E18" s="5"/>
      <c r="F18" s="5">
        <v>0</v>
      </c>
      <c r="G18" s="5"/>
      <c r="H18" s="5"/>
      <c r="I18" s="5"/>
      <c r="J18" s="5"/>
      <c r="K18" s="5"/>
      <c r="L18" s="5">
        <v>0</v>
      </c>
      <c r="M18" s="5">
        <v>2.0000000000000001E-4</v>
      </c>
      <c r="N18" s="5"/>
      <c r="O18" s="5"/>
      <c r="P18" s="5"/>
      <c r="Q18" s="5">
        <v>0</v>
      </c>
      <c r="R18" s="5"/>
      <c r="S18" s="5"/>
      <c r="T18" s="5"/>
      <c r="U18" s="5">
        <v>0</v>
      </c>
      <c r="V18" s="5">
        <v>0</v>
      </c>
      <c r="W18" s="5"/>
      <c r="X18" s="5"/>
      <c r="Y18" s="5">
        <f t="shared" si="6"/>
        <v>1E-3</v>
      </c>
      <c r="Z18" s="5">
        <f t="shared" si="6"/>
        <v>1.2000000000000001E-3</v>
      </c>
      <c r="AA18" s="4">
        <v>2</v>
      </c>
    </row>
    <row r="19" spans="1:27" x14ac:dyDescent="0.25">
      <c r="B19" s="11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4"/>
    </row>
    <row r="22" spans="1:27" x14ac:dyDescent="0.25">
      <c r="A22" s="12" t="s">
        <v>50</v>
      </c>
      <c r="B22" t="s">
        <v>51</v>
      </c>
    </row>
    <row r="23" spans="1:27" x14ac:dyDescent="0.25">
      <c r="A23" s="12" t="s">
        <v>52</v>
      </c>
      <c r="B23" t="s">
        <v>53</v>
      </c>
    </row>
    <row r="24" spans="1:27" x14ac:dyDescent="0.25">
      <c r="A24" s="12" t="s">
        <v>87</v>
      </c>
    </row>
    <row r="27" spans="1:27" x14ac:dyDescent="0.25">
      <c r="A27" t="s">
        <v>54</v>
      </c>
      <c r="B27" s="2" t="s">
        <v>188</v>
      </c>
      <c r="C27" s="2" t="s">
        <v>189</v>
      </c>
      <c r="D27" s="2" t="s">
        <v>57</v>
      </c>
      <c r="E27" s="2" t="s">
        <v>58</v>
      </c>
      <c r="F27" s="2" t="s">
        <v>59</v>
      </c>
      <c r="G27" s="2" t="s">
        <v>60</v>
      </c>
      <c r="H27" s="2" t="s">
        <v>184</v>
      </c>
      <c r="I27" s="2" t="s">
        <v>62</v>
      </c>
      <c r="J27" s="2" t="s">
        <v>63</v>
      </c>
      <c r="K27" s="16"/>
    </row>
    <row r="28" spans="1:27" x14ac:dyDescent="0.25">
      <c r="A28" t="s">
        <v>185</v>
      </c>
      <c r="B28" s="1">
        <v>154570780662.97195</v>
      </c>
      <c r="C28" s="1">
        <v>116331314878.89275</v>
      </c>
      <c r="D28" s="1">
        <v>2.3999999999999998E-3</v>
      </c>
      <c r="E28">
        <v>-1.1000000000000001E-3</v>
      </c>
      <c r="F28" s="1">
        <v>2</v>
      </c>
      <c r="G28">
        <f>(0.5+E28/D28)^F28</f>
        <v>1.7361111111111034E-3</v>
      </c>
      <c r="H28" s="1">
        <v>0.2</v>
      </c>
      <c r="I28">
        <v>1</v>
      </c>
      <c r="J28" s="1">
        <f>(C28-B28)*G28+B28-(B28+C28)*(H28/2)*I28</f>
        <v>127414183147.3548</v>
      </c>
    </row>
    <row r="29" spans="1:27" x14ac:dyDescent="0.25">
      <c r="B29" s="1">
        <v>154570780662.97195</v>
      </c>
      <c r="C29" s="1">
        <v>116331314878.89275</v>
      </c>
      <c r="D29" s="1">
        <v>2.3999999999999998E-3</v>
      </c>
      <c r="E29">
        <f>-0.001+0.0001</f>
        <v>-8.9999999999999998E-4</v>
      </c>
      <c r="F29" s="1">
        <v>2</v>
      </c>
      <c r="G29">
        <f t="shared" ref="G29:G39" si="7">(0.5+E29/D29)^F29</f>
        <v>1.5625E-2</v>
      </c>
      <c r="H29" s="1">
        <v>0.2</v>
      </c>
      <c r="I29">
        <v>1</v>
      </c>
      <c r="J29" s="1">
        <f t="shared" ref="J29:J39" si="8">(C29-B29)*G29+B29-(B29+C29)*(H29/2)*I29</f>
        <v>126883079455.90924</v>
      </c>
    </row>
    <row r="30" spans="1:27" x14ac:dyDescent="0.25">
      <c r="B30" s="1">
        <v>154570780662.97195</v>
      </c>
      <c r="C30" s="1">
        <v>116331314878.89275</v>
      </c>
      <c r="D30" s="1">
        <v>2.3999999999999998E-3</v>
      </c>
      <c r="E30">
        <f>E29+0.0002</f>
        <v>-6.9999999999999999E-4</v>
      </c>
      <c r="F30" s="1">
        <v>2</v>
      </c>
      <c r="G30">
        <f t="shared" si="7"/>
        <v>4.3402777777777769E-2</v>
      </c>
      <c r="H30" s="1">
        <v>0.2</v>
      </c>
      <c r="I30">
        <v>1</v>
      </c>
      <c r="J30" s="1">
        <f t="shared" si="8"/>
        <v>125820872073.01816</v>
      </c>
    </row>
    <row r="31" spans="1:27" x14ac:dyDescent="0.25">
      <c r="B31" s="1">
        <v>154570780662.97195</v>
      </c>
      <c r="C31" s="1">
        <v>116331314878.89275</v>
      </c>
      <c r="D31" s="1">
        <v>2.3999999999999998E-3</v>
      </c>
      <c r="E31">
        <f t="shared" ref="E31:E38" si="9">E30+0.0002</f>
        <v>-5.0000000000000001E-4</v>
      </c>
      <c r="F31" s="1">
        <v>2</v>
      </c>
      <c r="G31">
        <f t="shared" si="7"/>
        <v>8.506944444444442E-2</v>
      </c>
      <c r="H31" s="1">
        <v>0.2</v>
      </c>
      <c r="I31">
        <v>1</v>
      </c>
      <c r="J31" s="1">
        <f t="shared" si="8"/>
        <v>124227560998.68152</v>
      </c>
    </row>
    <row r="32" spans="1:27" x14ac:dyDescent="0.25">
      <c r="B32" s="1">
        <v>154570780662.97195</v>
      </c>
      <c r="C32" s="1">
        <v>116331314878.89275</v>
      </c>
      <c r="D32" s="1">
        <v>2.3999999999999998E-3</v>
      </c>
      <c r="E32">
        <f t="shared" si="9"/>
        <v>-3.0000000000000003E-4</v>
      </c>
      <c r="F32" s="1">
        <v>2</v>
      </c>
      <c r="G32">
        <f t="shared" si="7"/>
        <v>0.140625</v>
      </c>
      <c r="H32" s="1">
        <v>0.2</v>
      </c>
      <c r="I32">
        <v>1</v>
      </c>
      <c r="J32" s="1">
        <f t="shared" si="8"/>
        <v>122103146232.89935</v>
      </c>
    </row>
    <row r="33" spans="1:10" x14ac:dyDescent="0.25">
      <c r="B33" s="1">
        <v>154570780662.97195</v>
      </c>
      <c r="C33" s="1">
        <v>116331314878.89275</v>
      </c>
      <c r="D33" s="1">
        <v>2.3999999999999998E-3</v>
      </c>
      <c r="E33">
        <f t="shared" si="9"/>
        <v>-1.0000000000000002E-4</v>
      </c>
      <c r="F33" s="1">
        <v>2</v>
      </c>
      <c r="G33">
        <f t="shared" si="7"/>
        <v>0.21006944444444442</v>
      </c>
      <c r="H33" s="1">
        <v>0.2</v>
      </c>
      <c r="I33">
        <v>1</v>
      </c>
      <c r="J33" s="1">
        <f t="shared" si="8"/>
        <v>119447627775.67163</v>
      </c>
    </row>
    <row r="34" spans="1:10" x14ac:dyDescent="0.25">
      <c r="B34" s="1">
        <v>154570780662.97195</v>
      </c>
      <c r="C34" s="1">
        <v>116331314878.89275</v>
      </c>
      <c r="D34" s="1">
        <v>2.3999999999999998E-3</v>
      </c>
      <c r="E34">
        <f t="shared" si="9"/>
        <v>9.9999999999999991E-5</v>
      </c>
      <c r="F34" s="1">
        <v>2</v>
      </c>
      <c r="G34">
        <f t="shared" si="7"/>
        <v>0.29340277777777773</v>
      </c>
      <c r="H34" s="1">
        <v>0.2</v>
      </c>
      <c r="I34">
        <v>1</v>
      </c>
      <c r="J34" s="1">
        <f t="shared" si="8"/>
        <v>116261005626.99835</v>
      </c>
    </row>
    <row r="35" spans="1:10" x14ac:dyDescent="0.25">
      <c r="B35" s="1">
        <v>154570780662.97195</v>
      </c>
      <c r="C35" s="1">
        <v>116331314878.89275</v>
      </c>
      <c r="D35" s="1">
        <v>2.3999999999999998E-3</v>
      </c>
      <c r="E35">
        <f t="shared" si="9"/>
        <v>3.0000000000000003E-4</v>
      </c>
      <c r="F35" s="1">
        <v>2</v>
      </c>
      <c r="G35">
        <f t="shared" si="7"/>
        <v>0.390625</v>
      </c>
      <c r="H35" s="1">
        <v>0.2</v>
      </c>
      <c r="I35">
        <v>1</v>
      </c>
      <c r="J35" s="1">
        <f t="shared" si="8"/>
        <v>112543279786.87955</v>
      </c>
    </row>
    <row r="36" spans="1:10" x14ac:dyDescent="0.25">
      <c r="B36" s="1">
        <v>154570780662.97195</v>
      </c>
      <c r="C36" s="1">
        <v>116331314878.89275</v>
      </c>
      <c r="D36" s="1">
        <v>2.3999999999999998E-3</v>
      </c>
      <c r="E36">
        <f t="shared" si="9"/>
        <v>5.0000000000000001E-4</v>
      </c>
      <c r="F36" s="1">
        <v>2</v>
      </c>
      <c r="G36">
        <f t="shared" si="7"/>
        <v>0.50173611111111116</v>
      </c>
      <c r="H36" s="1">
        <v>0.2</v>
      </c>
      <c r="I36">
        <v>1</v>
      </c>
      <c r="J36" s="1">
        <f t="shared" si="8"/>
        <v>108294450255.31519</v>
      </c>
    </row>
    <row r="37" spans="1:10" x14ac:dyDescent="0.25">
      <c r="B37" s="1">
        <v>154570780662.97195</v>
      </c>
      <c r="C37" s="1">
        <v>116331314878.89275</v>
      </c>
      <c r="D37" s="1">
        <v>2.3999999999999998E-3</v>
      </c>
      <c r="E37">
        <f t="shared" si="9"/>
        <v>6.9999999999999999E-4</v>
      </c>
      <c r="F37" s="1">
        <v>2</v>
      </c>
      <c r="G37">
        <f t="shared" si="7"/>
        <v>0.62673611111111127</v>
      </c>
      <c r="H37" s="1">
        <v>0.2</v>
      </c>
      <c r="I37">
        <v>1</v>
      </c>
      <c r="J37" s="1">
        <f t="shared" si="8"/>
        <v>103514517032.30527</v>
      </c>
    </row>
    <row r="38" spans="1:10" x14ac:dyDescent="0.25">
      <c r="B38" s="1">
        <v>154570780662.97195</v>
      </c>
      <c r="C38" s="1">
        <v>116331314878.89275</v>
      </c>
      <c r="D38" s="1">
        <v>2.3999999999999998E-3</v>
      </c>
      <c r="E38">
        <f t="shared" si="9"/>
        <v>8.9999999999999998E-4</v>
      </c>
      <c r="F38" s="1">
        <v>2</v>
      </c>
      <c r="G38">
        <f t="shared" si="7"/>
        <v>0.765625</v>
      </c>
      <c r="H38" s="1">
        <v>0.2</v>
      </c>
      <c r="I38">
        <v>1</v>
      </c>
      <c r="J38" s="1">
        <f t="shared" si="8"/>
        <v>98203480117.849854</v>
      </c>
    </row>
    <row r="39" spans="1:10" x14ac:dyDescent="0.25">
      <c r="A39" t="s">
        <v>186</v>
      </c>
      <c r="B39" s="14">
        <v>154570780662.97198</v>
      </c>
      <c r="C39" s="14">
        <v>116331314878.89275</v>
      </c>
      <c r="D39" s="1">
        <v>2.3999999999999998E-3</v>
      </c>
      <c r="E39" s="13">
        <v>1.1000000000000001E-3</v>
      </c>
      <c r="F39" s="1">
        <v>2</v>
      </c>
      <c r="G39">
        <f t="shared" si="7"/>
        <v>0.91840277777777801</v>
      </c>
      <c r="H39" s="1">
        <v>0.2</v>
      </c>
      <c r="I39" s="13">
        <v>1</v>
      </c>
      <c r="J39" s="1">
        <f t="shared" si="8"/>
        <v>92361339511.948837</v>
      </c>
    </row>
    <row r="40" spans="1:10" x14ac:dyDescent="0.25">
      <c r="A40" s="1"/>
      <c r="B40" s="1"/>
      <c r="C40" s="1"/>
      <c r="D40" s="1"/>
      <c r="F40" s="1"/>
      <c r="H40" s="1"/>
      <c r="J40" s="1"/>
    </row>
    <row r="41" spans="1:10" x14ac:dyDescent="0.25">
      <c r="A41" t="s">
        <v>64</v>
      </c>
      <c r="B41" s="2" t="s">
        <v>188</v>
      </c>
      <c r="C41" s="2" t="s">
        <v>189</v>
      </c>
      <c r="D41" s="2" t="s">
        <v>57</v>
      </c>
      <c r="E41" s="2" t="s">
        <v>58</v>
      </c>
      <c r="F41" s="2" t="s">
        <v>59</v>
      </c>
      <c r="G41" s="2" t="s">
        <v>60</v>
      </c>
      <c r="H41" s="2" t="s">
        <v>61</v>
      </c>
      <c r="I41" s="2" t="s">
        <v>62</v>
      </c>
      <c r="J41" s="2" t="s">
        <v>63</v>
      </c>
    </row>
    <row r="42" spans="1:10" x14ac:dyDescent="0.25">
      <c r="B42" s="1">
        <v>0.36788301471656604</v>
      </c>
      <c r="C42" s="1">
        <v>0.30709342560553632</v>
      </c>
      <c r="D42" s="1">
        <v>2.3999999999999998E-3</v>
      </c>
      <c r="E42">
        <v>-1.1000000000000001E-3</v>
      </c>
      <c r="F42" s="1">
        <v>2</v>
      </c>
      <c r="G42">
        <f>(0.5+E42/D42)^F42</f>
        <v>1.7361111111111034E-3</v>
      </c>
      <c r="H42" s="1">
        <v>0.3</v>
      </c>
      <c r="I42">
        <v>1</v>
      </c>
      <c r="J42" s="1">
        <f>(C42-B42)*G42+B42-(B42+C42)*(H42/2)*I42</f>
        <v>0.26653101118715516</v>
      </c>
    </row>
    <row r="43" spans="1:10" x14ac:dyDescent="0.25">
      <c r="B43" s="1">
        <v>0.36788301471656604</v>
      </c>
      <c r="C43" s="1">
        <v>0.30709342560553632</v>
      </c>
      <c r="D43" s="1">
        <v>2.3999999999999998E-3</v>
      </c>
      <c r="E43">
        <f>-0.001+0.0001</f>
        <v>-8.9999999999999998E-4</v>
      </c>
      <c r="F43" s="1">
        <v>2</v>
      </c>
      <c r="G43">
        <f t="shared" ref="G43:G53" si="10">(0.5+E43/D43)^F43</f>
        <v>1.5625E-2</v>
      </c>
      <c r="H43" s="1">
        <v>0.3</v>
      </c>
      <c r="I43">
        <v>1</v>
      </c>
      <c r="J43" s="1">
        <f t="shared" ref="J43:J53" si="11">(C43-B43)*G43+B43-(B43+C43)*(H43/2)*I43</f>
        <v>0.26568671133839089</v>
      </c>
    </row>
    <row r="44" spans="1:10" x14ac:dyDescent="0.25">
      <c r="A44" s="13"/>
      <c r="B44" s="1">
        <v>0.36788301471656604</v>
      </c>
      <c r="C44" s="1">
        <v>0.30709342560553632</v>
      </c>
      <c r="D44" s="1">
        <v>2.3999999999999998E-3</v>
      </c>
      <c r="E44">
        <f>E43+0.0002</f>
        <v>-6.9999999999999999E-4</v>
      </c>
      <c r="F44" s="1">
        <v>2</v>
      </c>
      <c r="G44">
        <f t="shared" si="10"/>
        <v>4.3402777777777769E-2</v>
      </c>
      <c r="H44" s="1">
        <v>0.3</v>
      </c>
      <c r="I44">
        <v>1</v>
      </c>
      <c r="J44" s="1">
        <f t="shared" si="11"/>
        <v>0.26399811164086229</v>
      </c>
    </row>
    <row r="45" spans="1:10" x14ac:dyDescent="0.25">
      <c r="B45" s="1">
        <v>0.36788301471656604</v>
      </c>
      <c r="C45" s="1">
        <v>0.30709342560553632</v>
      </c>
      <c r="D45" s="1">
        <v>2.3999999999999998E-3</v>
      </c>
      <c r="E45">
        <f t="shared" ref="E45:E52" si="12">E44+0.0002</f>
        <v>-5.0000000000000001E-4</v>
      </c>
      <c r="F45" s="1">
        <v>2</v>
      </c>
      <c r="G45">
        <f t="shared" si="10"/>
        <v>8.506944444444442E-2</v>
      </c>
      <c r="H45" s="1">
        <v>0.3</v>
      </c>
      <c r="I45">
        <v>1</v>
      </c>
      <c r="J45" s="1">
        <f t="shared" si="11"/>
        <v>0.26146521209456935</v>
      </c>
    </row>
    <row r="46" spans="1:10" x14ac:dyDescent="0.25">
      <c r="B46" s="1">
        <v>0.36788301471656604</v>
      </c>
      <c r="C46" s="1">
        <v>0.30709342560553632</v>
      </c>
      <c r="D46" s="1">
        <v>2.3999999999999998E-3</v>
      </c>
      <c r="E46">
        <f t="shared" si="12"/>
        <v>-3.0000000000000003E-4</v>
      </c>
      <c r="F46" s="1">
        <v>2</v>
      </c>
      <c r="G46">
        <f t="shared" si="10"/>
        <v>0.140625</v>
      </c>
      <c r="H46" s="1">
        <v>0.3</v>
      </c>
      <c r="I46">
        <v>1</v>
      </c>
      <c r="J46" s="1">
        <f t="shared" si="11"/>
        <v>0.25808801269951215</v>
      </c>
    </row>
    <row r="47" spans="1:10" x14ac:dyDescent="0.25">
      <c r="B47" s="1">
        <v>0.36788301471656604</v>
      </c>
      <c r="C47" s="1">
        <v>0.30709342560553632</v>
      </c>
      <c r="D47" s="1">
        <v>2.3999999999999998E-3</v>
      </c>
      <c r="E47">
        <f t="shared" si="12"/>
        <v>-1.0000000000000002E-4</v>
      </c>
      <c r="F47" s="1">
        <v>2</v>
      </c>
      <c r="G47">
        <f t="shared" si="10"/>
        <v>0.21006944444444442</v>
      </c>
      <c r="H47" s="1">
        <v>0.3</v>
      </c>
      <c r="I47">
        <v>1</v>
      </c>
      <c r="J47" s="1">
        <f t="shared" si="11"/>
        <v>0.25386651345569067</v>
      </c>
    </row>
    <row r="48" spans="1:10" x14ac:dyDescent="0.25">
      <c r="B48" s="1">
        <v>0.36788301471656604</v>
      </c>
      <c r="C48" s="1">
        <v>0.30709342560553632</v>
      </c>
      <c r="D48" s="1">
        <v>2.3999999999999998E-3</v>
      </c>
      <c r="E48">
        <f t="shared" si="12"/>
        <v>9.9999999999999991E-5</v>
      </c>
      <c r="F48" s="1">
        <v>2</v>
      </c>
      <c r="G48">
        <f t="shared" si="10"/>
        <v>0.29340277777777773</v>
      </c>
      <c r="H48" s="1">
        <v>0.3</v>
      </c>
      <c r="I48">
        <v>1</v>
      </c>
      <c r="J48" s="1">
        <f t="shared" si="11"/>
        <v>0.24880071436310486</v>
      </c>
    </row>
    <row r="49" spans="1:10" x14ac:dyDescent="0.25">
      <c r="B49" s="1">
        <v>0.36788301471656604</v>
      </c>
      <c r="C49" s="1">
        <v>0.30709342560553632</v>
      </c>
      <c r="D49" s="1">
        <v>2.3999999999999998E-3</v>
      </c>
      <c r="E49">
        <f t="shared" si="12"/>
        <v>3.0000000000000003E-4</v>
      </c>
      <c r="F49" s="1">
        <v>2</v>
      </c>
      <c r="G49">
        <f t="shared" si="10"/>
        <v>0.390625</v>
      </c>
      <c r="H49" s="1">
        <v>0.3</v>
      </c>
      <c r="I49">
        <v>1</v>
      </c>
      <c r="J49" s="1">
        <f t="shared" si="11"/>
        <v>0.24289061542175472</v>
      </c>
    </row>
    <row r="50" spans="1:10" x14ac:dyDescent="0.25">
      <c r="B50" s="1">
        <v>0.36788301471656604</v>
      </c>
      <c r="C50" s="1">
        <v>0.30709342560553632</v>
      </c>
      <c r="D50" s="1">
        <v>2.3999999999999998E-3</v>
      </c>
      <c r="E50">
        <f t="shared" si="12"/>
        <v>5.0000000000000001E-4</v>
      </c>
      <c r="F50" s="1">
        <v>2</v>
      </c>
      <c r="G50">
        <f t="shared" si="10"/>
        <v>0.50173611111111116</v>
      </c>
      <c r="H50" s="1">
        <v>0.3</v>
      </c>
      <c r="I50">
        <v>1</v>
      </c>
      <c r="J50" s="1">
        <f t="shared" si="11"/>
        <v>0.23613621663164031</v>
      </c>
    </row>
    <row r="51" spans="1:10" x14ac:dyDescent="0.25">
      <c r="B51" s="1">
        <v>0.36788301471656604</v>
      </c>
      <c r="C51" s="1">
        <v>0.30709342560553632</v>
      </c>
      <c r="D51" s="1">
        <v>2.3999999999999998E-3</v>
      </c>
      <c r="E51">
        <f t="shared" si="12"/>
        <v>6.9999999999999999E-4</v>
      </c>
      <c r="F51" s="1">
        <v>2</v>
      </c>
      <c r="G51">
        <f t="shared" si="10"/>
        <v>0.62673611111111127</v>
      </c>
      <c r="H51" s="1">
        <v>0.3</v>
      </c>
      <c r="I51">
        <v>1</v>
      </c>
      <c r="J51" s="1">
        <f t="shared" si="11"/>
        <v>0.22853751799276156</v>
      </c>
    </row>
    <row r="52" spans="1:10" x14ac:dyDescent="0.25">
      <c r="B52" s="1">
        <v>0.36788301471656604</v>
      </c>
      <c r="C52" s="1">
        <v>0.30709342560553632</v>
      </c>
      <c r="D52" s="1">
        <v>2.3999999999999998E-3</v>
      </c>
      <c r="E52">
        <f t="shared" si="12"/>
        <v>8.9999999999999998E-4</v>
      </c>
      <c r="F52" s="1">
        <v>2</v>
      </c>
      <c r="G52">
        <f t="shared" si="10"/>
        <v>0.765625</v>
      </c>
      <c r="H52" s="1">
        <v>0.3</v>
      </c>
      <c r="I52">
        <v>1</v>
      </c>
      <c r="J52" s="1">
        <f t="shared" si="11"/>
        <v>0.2200945195051186</v>
      </c>
    </row>
    <row r="53" spans="1:10" x14ac:dyDescent="0.25">
      <c r="B53" s="1">
        <v>0.36788301471656604</v>
      </c>
      <c r="C53" s="1">
        <v>0.30709342560553632</v>
      </c>
      <c r="D53" s="1">
        <v>2.3999999999999998E-3</v>
      </c>
      <c r="E53" s="13">
        <v>1.1000000000000001E-3</v>
      </c>
      <c r="F53" s="1">
        <v>2</v>
      </c>
      <c r="G53">
        <f t="shared" si="10"/>
        <v>0.91840277777777801</v>
      </c>
      <c r="H53" s="1">
        <v>0.3</v>
      </c>
      <c r="I53" s="13">
        <v>1</v>
      </c>
      <c r="J53" s="1">
        <f t="shared" si="11"/>
        <v>0.21080722116871126</v>
      </c>
    </row>
    <row r="55" spans="1:10" x14ac:dyDescent="0.25">
      <c r="A55" t="s">
        <v>47</v>
      </c>
      <c r="B55" s="2" t="s">
        <v>188</v>
      </c>
      <c r="C55" s="2" t="s">
        <v>189</v>
      </c>
      <c r="D55" s="2" t="s">
        <v>57</v>
      </c>
      <c r="E55" s="2" t="s">
        <v>58</v>
      </c>
      <c r="F55" s="2" t="s">
        <v>59</v>
      </c>
      <c r="G55" s="2" t="s">
        <v>60</v>
      </c>
      <c r="H55" s="2" t="s">
        <v>61</v>
      </c>
      <c r="I55" s="2" t="s">
        <v>62</v>
      </c>
      <c r="J55" s="2" t="s">
        <v>63</v>
      </c>
    </row>
    <row r="56" spans="1:10" x14ac:dyDescent="0.25">
      <c r="B56" s="1">
        <v>56500000000</v>
      </c>
      <c r="C56" s="1">
        <v>44500000000</v>
      </c>
      <c r="D56" s="1">
        <v>2.3999999999999998E-3</v>
      </c>
      <c r="E56">
        <v>-1.1000000000000001E-3</v>
      </c>
      <c r="F56" s="1">
        <v>2</v>
      </c>
      <c r="G56">
        <f>(0.5+E56/D56)^F56</f>
        <v>1.7361111111111034E-3</v>
      </c>
      <c r="H56" s="1">
        <v>0.3</v>
      </c>
      <c r="I56">
        <v>1</v>
      </c>
      <c r="J56" s="1">
        <f>(C56-B56)*G56+B56-(B56+C56)*(H56/2)*I56</f>
        <v>41329166666.666664</v>
      </c>
    </row>
    <row r="57" spans="1:10" x14ac:dyDescent="0.25">
      <c r="B57" s="1">
        <v>56500000000</v>
      </c>
      <c r="C57" s="1">
        <v>44500000000</v>
      </c>
      <c r="D57" s="1">
        <v>2.3999999999999998E-3</v>
      </c>
      <c r="E57">
        <f>-0.001+0.0001</f>
        <v>-8.9999999999999998E-4</v>
      </c>
      <c r="F57" s="1">
        <v>2</v>
      </c>
      <c r="G57">
        <f t="shared" ref="G57:G67" si="13">(0.5+E57/D57)^F57</f>
        <v>1.5625E-2</v>
      </c>
      <c r="H57" s="1">
        <v>0.3</v>
      </c>
      <c r="I57">
        <v>1</v>
      </c>
      <c r="J57" s="1">
        <f t="shared" ref="J57:J67" si="14">(C57-B57)*G57+B57-(B57+C57)*(H57/2)*I57</f>
        <v>41162500000</v>
      </c>
    </row>
    <row r="58" spans="1:10" x14ac:dyDescent="0.25">
      <c r="A58" s="13"/>
      <c r="B58" s="1">
        <v>56500000000</v>
      </c>
      <c r="C58" s="1">
        <v>44500000000</v>
      </c>
      <c r="D58" s="1">
        <v>2.3999999999999998E-3</v>
      </c>
      <c r="E58">
        <f>E57+0.0002</f>
        <v>-6.9999999999999999E-4</v>
      </c>
      <c r="F58" s="1">
        <v>2</v>
      </c>
      <c r="G58">
        <f t="shared" si="13"/>
        <v>4.3402777777777769E-2</v>
      </c>
      <c r="H58" s="1">
        <v>0.3</v>
      </c>
      <c r="I58">
        <v>1</v>
      </c>
      <c r="J58" s="1">
        <f t="shared" si="14"/>
        <v>40829166666.666664</v>
      </c>
    </row>
    <row r="59" spans="1:10" x14ac:dyDescent="0.25">
      <c r="B59" s="1">
        <v>56500000000</v>
      </c>
      <c r="C59" s="1">
        <v>44500000000</v>
      </c>
      <c r="D59" s="1">
        <v>2.3999999999999998E-3</v>
      </c>
      <c r="E59">
        <f t="shared" ref="E59:E66" si="15">E58+0.0002</f>
        <v>-5.0000000000000001E-4</v>
      </c>
      <c r="F59" s="1">
        <v>2</v>
      </c>
      <c r="G59">
        <f t="shared" si="13"/>
        <v>8.506944444444442E-2</v>
      </c>
      <c r="H59" s="1">
        <v>0.3</v>
      </c>
      <c r="I59">
        <v>1</v>
      </c>
      <c r="J59" s="1">
        <f t="shared" si="14"/>
        <v>40329166666.666664</v>
      </c>
    </row>
    <row r="60" spans="1:10" x14ac:dyDescent="0.25">
      <c r="B60" s="1">
        <v>56500000000</v>
      </c>
      <c r="C60" s="1">
        <v>44500000000</v>
      </c>
      <c r="D60" s="1">
        <v>2.3999999999999998E-3</v>
      </c>
      <c r="E60">
        <f t="shared" si="15"/>
        <v>-3.0000000000000003E-4</v>
      </c>
      <c r="F60" s="1">
        <v>2</v>
      </c>
      <c r="G60">
        <f t="shared" si="13"/>
        <v>0.140625</v>
      </c>
      <c r="H60" s="1">
        <v>0.3</v>
      </c>
      <c r="I60">
        <v>1</v>
      </c>
      <c r="J60" s="1">
        <f t="shared" si="14"/>
        <v>39662500000</v>
      </c>
    </row>
    <row r="61" spans="1:10" x14ac:dyDescent="0.25">
      <c r="B61" s="1">
        <v>56500000000</v>
      </c>
      <c r="C61" s="1">
        <v>44500000000</v>
      </c>
      <c r="D61" s="1">
        <v>2.3999999999999998E-3</v>
      </c>
      <c r="E61">
        <f t="shared" si="15"/>
        <v>-1.0000000000000002E-4</v>
      </c>
      <c r="F61" s="1">
        <v>2</v>
      </c>
      <c r="G61">
        <f t="shared" si="13"/>
        <v>0.21006944444444442</v>
      </c>
      <c r="H61" s="1">
        <v>0.3</v>
      </c>
      <c r="I61">
        <v>1</v>
      </c>
      <c r="J61" s="1">
        <f t="shared" si="14"/>
        <v>38829166666.666664</v>
      </c>
    </row>
    <row r="62" spans="1:10" x14ac:dyDescent="0.25">
      <c r="B62" s="1">
        <v>56500000000</v>
      </c>
      <c r="C62" s="1">
        <v>44500000000</v>
      </c>
      <c r="D62" s="1">
        <v>2.3999999999999998E-3</v>
      </c>
      <c r="E62">
        <f t="shared" si="15"/>
        <v>9.9999999999999991E-5</v>
      </c>
      <c r="F62" s="1">
        <v>2</v>
      </c>
      <c r="G62">
        <f t="shared" si="13"/>
        <v>0.29340277777777773</v>
      </c>
      <c r="H62" s="1">
        <v>0.3</v>
      </c>
      <c r="I62">
        <v>1</v>
      </c>
      <c r="J62" s="1">
        <f t="shared" si="14"/>
        <v>37829166666.666664</v>
      </c>
    </row>
    <row r="63" spans="1:10" x14ac:dyDescent="0.25">
      <c r="B63" s="1">
        <v>56500000000</v>
      </c>
      <c r="C63" s="1">
        <v>44500000000</v>
      </c>
      <c r="D63" s="1">
        <v>2.3999999999999998E-3</v>
      </c>
      <c r="E63">
        <f t="shared" si="15"/>
        <v>3.0000000000000003E-4</v>
      </c>
      <c r="F63" s="1">
        <v>2</v>
      </c>
      <c r="G63">
        <f t="shared" si="13"/>
        <v>0.390625</v>
      </c>
      <c r="H63" s="1">
        <v>0.3</v>
      </c>
      <c r="I63">
        <v>1</v>
      </c>
      <c r="J63" s="1">
        <f t="shared" si="14"/>
        <v>36662500000</v>
      </c>
    </row>
    <row r="64" spans="1:10" x14ac:dyDescent="0.25">
      <c r="B64" s="1">
        <v>56500000000</v>
      </c>
      <c r="C64" s="1">
        <v>44500000000</v>
      </c>
      <c r="D64" s="1">
        <v>2.3999999999999998E-3</v>
      </c>
      <c r="E64">
        <f t="shared" si="15"/>
        <v>5.0000000000000001E-4</v>
      </c>
      <c r="F64" s="1">
        <v>2</v>
      </c>
      <c r="G64">
        <f t="shared" si="13"/>
        <v>0.50173611111111116</v>
      </c>
      <c r="H64" s="1">
        <v>0.3</v>
      </c>
      <c r="I64">
        <v>1</v>
      </c>
      <c r="J64" s="1">
        <f t="shared" si="14"/>
        <v>35329166666.666664</v>
      </c>
    </row>
    <row r="65" spans="1:10" x14ac:dyDescent="0.25">
      <c r="B65" s="1">
        <v>56500000000</v>
      </c>
      <c r="C65" s="1">
        <v>44500000000</v>
      </c>
      <c r="D65" s="1">
        <v>2.3999999999999998E-3</v>
      </c>
      <c r="E65">
        <f t="shared" si="15"/>
        <v>6.9999999999999999E-4</v>
      </c>
      <c r="F65" s="1">
        <v>2</v>
      </c>
      <c r="G65">
        <f t="shared" si="13"/>
        <v>0.62673611111111127</v>
      </c>
      <c r="H65" s="1">
        <v>0.3</v>
      </c>
      <c r="I65">
        <v>1</v>
      </c>
      <c r="J65" s="1">
        <f t="shared" si="14"/>
        <v>33829166666.666664</v>
      </c>
    </row>
    <row r="66" spans="1:10" x14ac:dyDescent="0.25">
      <c r="B66" s="1">
        <v>56500000000</v>
      </c>
      <c r="C66" s="1">
        <v>44500000000</v>
      </c>
      <c r="D66" s="1">
        <v>2.3999999999999998E-3</v>
      </c>
      <c r="E66">
        <f t="shared" si="15"/>
        <v>8.9999999999999998E-4</v>
      </c>
      <c r="F66" s="1">
        <v>2</v>
      </c>
      <c r="G66">
        <f t="shared" si="13"/>
        <v>0.765625</v>
      </c>
      <c r="H66" s="1">
        <v>0.3</v>
      </c>
      <c r="I66">
        <v>1</v>
      </c>
      <c r="J66" s="1">
        <f t="shared" si="14"/>
        <v>32162500000</v>
      </c>
    </row>
    <row r="67" spans="1:10" x14ac:dyDescent="0.25">
      <c r="B67" s="1">
        <v>56500000000</v>
      </c>
      <c r="C67" s="1">
        <v>44500000000</v>
      </c>
      <c r="D67" s="1">
        <v>2.3999999999999998E-3</v>
      </c>
      <c r="E67" s="13">
        <v>1.1000000000000001E-3</v>
      </c>
      <c r="F67" s="1">
        <v>2</v>
      </c>
      <c r="G67">
        <f t="shared" si="13"/>
        <v>0.91840277777777801</v>
      </c>
      <c r="H67" s="1">
        <v>0.3</v>
      </c>
      <c r="I67" s="13">
        <v>1</v>
      </c>
      <c r="J67" s="1">
        <f t="shared" si="14"/>
        <v>30329166666.666664</v>
      </c>
    </row>
    <row r="69" spans="1:10" x14ac:dyDescent="0.25">
      <c r="A69" s="10" t="s">
        <v>32</v>
      </c>
      <c r="B69" s="2" t="s">
        <v>188</v>
      </c>
      <c r="C69" s="2" t="s">
        <v>189</v>
      </c>
      <c r="D69" s="2" t="s">
        <v>57</v>
      </c>
      <c r="E69" s="2" t="s">
        <v>58</v>
      </c>
      <c r="F69" s="2" t="s">
        <v>59</v>
      </c>
      <c r="G69" s="2" t="s">
        <v>60</v>
      </c>
      <c r="H69" s="2" t="s">
        <v>61</v>
      </c>
      <c r="I69" s="2" t="s">
        <v>62</v>
      </c>
      <c r="J69" s="2" t="s">
        <v>63</v>
      </c>
    </row>
    <row r="70" spans="1:10" x14ac:dyDescent="0.25">
      <c r="B70" s="1">
        <v>52200000000</v>
      </c>
      <c r="C70" s="1">
        <v>51600000000</v>
      </c>
      <c r="D70" s="1">
        <v>2.3999999999999998E-3</v>
      </c>
      <c r="E70">
        <v>-1.1000000000000001E-3</v>
      </c>
      <c r="F70" s="1">
        <v>2</v>
      </c>
      <c r="G70">
        <f>(0.5+E70/D70)^F70</f>
        <v>1.7361111111111034E-3</v>
      </c>
      <c r="H70" s="1">
        <v>0.3</v>
      </c>
      <c r="I70">
        <v>1</v>
      </c>
      <c r="J70" s="1">
        <f>(C70-B70)*G70+B70-(B70+C70)*(H70/2)*I70</f>
        <v>36628958333.333336</v>
      </c>
    </row>
    <row r="71" spans="1:10" x14ac:dyDescent="0.25">
      <c r="B71" s="1">
        <v>52200000000</v>
      </c>
      <c r="C71" s="1">
        <v>51600000000</v>
      </c>
      <c r="D71" s="1">
        <v>2.3999999999999998E-3</v>
      </c>
      <c r="E71">
        <f>-0.001+0.0001</f>
        <v>-8.9999999999999998E-4</v>
      </c>
      <c r="F71" s="1">
        <v>2</v>
      </c>
      <c r="G71">
        <f t="shared" ref="G71:G81" si="16">(0.5+E71/D71)^F71</f>
        <v>1.5625E-2</v>
      </c>
      <c r="H71" s="1">
        <v>0.3</v>
      </c>
      <c r="I71">
        <v>1</v>
      </c>
      <c r="J71" s="1">
        <f t="shared" ref="J71:J81" si="17">(C71-B71)*G71+B71-(B71+C71)*(H71/2)*I71</f>
        <v>36620625000</v>
      </c>
    </row>
    <row r="72" spans="1:10" x14ac:dyDescent="0.25">
      <c r="B72" s="1">
        <v>52200000000</v>
      </c>
      <c r="C72" s="1">
        <v>51600000000</v>
      </c>
      <c r="D72" s="1">
        <v>2.3999999999999998E-3</v>
      </c>
      <c r="E72">
        <f>E71+0.0002</f>
        <v>-6.9999999999999999E-4</v>
      </c>
      <c r="F72" s="1">
        <v>2</v>
      </c>
      <c r="G72">
        <f t="shared" si="16"/>
        <v>4.3402777777777769E-2</v>
      </c>
      <c r="H72" s="1">
        <v>0.3</v>
      </c>
      <c r="I72">
        <v>1</v>
      </c>
      <c r="J72" s="1">
        <f t="shared" si="17"/>
        <v>36603958333.333336</v>
      </c>
    </row>
    <row r="73" spans="1:10" x14ac:dyDescent="0.25">
      <c r="B73" s="1">
        <v>52200000000</v>
      </c>
      <c r="C73" s="1">
        <v>51600000000</v>
      </c>
      <c r="D73" s="1">
        <v>2.3999999999999998E-3</v>
      </c>
      <c r="E73">
        <f t="shared" ref="E73:E80" si="18">E72+0.0002</f>
        <v>-5.0000000000000001E-4</v>
      </c>
      <c r="F73" s="1">
        <v>2</v>
      </c>
      <c r="G73">
        <f t="shared" si="16"/>
        <v>8.506944444444442E-2</v>
      </c>
      <c r="H73" s="1">
        <v>0.3</v>
      </c>
      <c r="I73">
        <v>1</v>
      </c>
      <c r="J73" s="1">
        <f t="shared" si="17"/>
        <v>36578958333.333336</v>
      </c>
    </row>
    <row r="74" spans="1:10" x14ac:dyDescent="0.25">
      <c r="B74" s="1">
        <v>52200000000</v>
      </c>
      <c r="C74" s="1">
        <v>51600000000</v>
      </c>
      <c r="D74" s="1">
        <v>2.3999999999999998E-3</v>
      </c>
      <c r="E74">
        <f t="shared" si="18"/>
        <v>-3.0000000000000003E-4</v>
      </c>
      <c r="F74" s="1">
        <v>2</v>
      </c>
      <c r="G74">
        <f t="shared" si="16"/>
        <v>0.140625</v>
      </c>
      <c r="H74" s="1">
        <v>0.3</v>
      </c>
      <c r="I74">
        <v>1</v>
      </c>
      <c r="J74" s="1">
        <f t="shared" si="17"/>
        <v>36545625000</v>
      </c>
    </row>
    <row r="75" spans="1:10" x14ac:dyDescent="0.25">
      <c r="B75" s="1">
        <v>52200000000</v>
      </c>
      <c r="C75" s="1">
        <v>51600000000</v>
      </c>
      <c r="D75" s="1">
        <v>2.3999999999999998E-3</v>
      </c>
      <c r="E75">
        <f t="shared" si="18"/>
        <v>-1.0000000000000002E-4</v>
      </c>
      <c r="F75" s="1">
        <v>2</v>
      </c>
      <c r="G75">
        <f t="shared" si="16"/>
        <v>0.21006944444444442</v>
      </c>
      <c r="H75" s="1">
        <v>0.3</v>
      </c>
      <c r="I75">
        <v>1</v>
      </c>
      <c r="J75" s="1">
        <f t="shared" si="17"/>
        <v>36503958333.333336</v>
      </c>
    </row>
    <row r="76" spans="1:10" x14ac:dyDescent="0.25">
      <c r="B76" s="1">
        <v>52200000000</v>
      </c>
      <c r="C76" s="1">
        <v>51600000000</v>
      </c>
      <c r="D76" s="1">
        <v>2.3999999999999998E-3</v>
      </c>
      <c r="E76">
        <f t="shared" si="18"/>
        <v>9.9999999999999991E-5</v>
      </c>
      <c r="F76" s="1">
        <v>2</v>
      </c>
      <c r="G76">
        <f t="shared" si="16"/>
        <v>0.29340277777777773</v>
      </c>
      <c r="H76" s="1">
        <v>0.3</v>
      </c>
      <c r="I76">
        <v>1</v>
      </c>
      <c r="J76" s="1">
        <f t="shared" si="17"/>
        <v>36453958333.333336</v>
      </c>
    </row>
    <row r="77" spans="1:10" x14ac:dyDescent="0.25">
      <c r="B77" s="1">
        <v>52200000000</v>
      </c>
      <c r="C77" s="1">
        <v>51600000000</v>
      </c>
      <c r="D77" s="1">
        <v>2.3999999999999998E-3</v>
      </c>
      <c r="E77">
        <f t="shared" si="18"/>
        <v>3.0000000000000003E-4</v>
      </c>
      <c r="F77" s="1">
        <v>2</v>
      </c>
      <c r="G77">
        <f t="shared" si="16"/>
        <v>0.390625</v>
      </c>
      <c r="H77" s="1">
        <v>0.3</v>
      </c>
      <c r="I77">
        <v>1</v>
      </c>
      <c r="J77" s="1">
        <f t="shared" si="17"/>
        <v>36395625000</v>
      </c>
    </row>
    <row r="78" spans="1:10" x14ac:dyDescent="0.25">
      <c r="B78" s="1">
        <v>52200000000</v>
      </c>
      <c r="C78" s="1">
        <v>51600000000</v>
      </c>
      <c r="D78" s="1">
        <v>2.3999999999999998E-3</v>
      </c>
      <c r="E78">
        <f t="shared" si="18"/>
        <v>5.0000000000000001E-4</v>
      </c>
      <c r="F78" s="1">
        <v>2</v>
      </c>
      <c r="G78">
        <f t="shared" si="16"/>
        <v>0.50173611111111116</v>
      </c>
      <c r="H78" s="1">
        <v>0.3</v>
      </c>
      <c r="I78">
        <v>1</v>
      </c>
      <c r="J78" s="1">
        <f t="shared" si="17"/>
        <v>36328958333.333336</v>
      </c>
    </row>
    <row r="79" spans="1:10" x14ac:dyDescent="0.25">
      <c r="B79" s="1">
        <v>52200000000</v>
      </c>
      <c r="C79" s="1">
        <v>51600000000</v>
      </c>
      <c r="D79" s="1">
        <v>2.3999999999999998E-3</v>
      </c>
      <c r="E79">
        <f t="shared" si="18"/>
        <v>6.9999999999999999E-4</v>
      </c>
      <c r="F79" s="1">
        <v>2</v>
      </c>
      <c r="G79">
        <f t="shared" si="16"/>
        <v>0.62673611111111127</v>
      </c>
      <c r="H79" s="1">
        <v>0.3</v>
      </c>
      <c r="I79">
        <v>1</v>
      </c>
      <c r="J79" s="1">
        <f t="shared" si="17"/>
        <v>36253958333.333336</v>
      </c>
    </row>
    <row r="80" spans="1:10" x14ac:dyDescent="0.25">
      <c r="B80" s="1">
        <v>52200000000</v>
      </c>
      <c r="C80" s="1">
        <v>51600000000</v>
      </c>
      <c r="D80" s="1">
        <v>2.3999999999999998E-3</v>
      </c>
      <c r="E80">
        <f t="shared" si="18"/>
        <v>8.9999999999999998E-4</v>
      </c>
      <c r="F80" s="1">
        <v>2</v>
      </c>
      <c r="G80">
        <f t="shared" si="16"/>
        <v>0.765625</v>
      </c>
      <c r="H80" s="1">
        <v>0.3</v>
      </c>
      <c r="I80">
        <v>1</v>
      </c>
      <c r="J80" s="1">
        <f t="shared" si="17"/>
        <v>36170625000</v>
      </c>
    </row>
    <row r="81" spans="1:10" x14ac:dyDescent="0.25">
      <c r="B81" s="1">
        <v>52200000000</v>
      </c>
      <c r="C81" s="1">
        <v>51600000000</v>
      </c>
      <c r="D81" s="1">
        <v>2.3999999999999998E-3</v>
      </c>
      <c r="E81" s="13">
        <v>1.1000000000000001E-3</v>
      </c>
      <c r="F81" s="1">
        <v>2</v>
      </c>
      <c r="G81">
        <f t="shared" si="16"/>
        <v>0.91840277777777801</v>
      </c>
      <c r="H81" s="1">
        <v>0.3</v>
      </c>
      <c r="I81" s="13">
        <v>1</v>
      </c>
      <c r="J81" s="1">
        <f t="shared" si="17"/>
        <v>36078958333.333336</v>
      </c>
    </row>
    <row r="83" spans="1:10" x14ac:dyDescent="0.25">
      <c r="A83" s="10" t="s">
        <v>65</v>
      </c>
      <c r="B83" s="2" t="s">
        <v>188</v>
      </c>
      <c r="C83" s="2" t="s">
        <v>189</v>
      </c>
      <c r="D83" s="2" t="s">
        <v>57</v>
      </c>
      <c r="E83" s="2" t="s">
        <v>58</v>
      </c>
      <c r="F83" s="2" t="s">
        <v>59</v>
      </c>
      <c r="G83" s="2" t="s">
        <v>60</v>
      </c>
      <c r="H83" s="2" t="s">
        <v>61</v>
      </c>
      <c r="I83" s="2" t="s">
        <v>62</v>
      </c>
      <c r="J83" s="2" t="s">
        <v>63</v>
      </c>
    </row>
    <row r="84" spans="1:10" x14ac:dyDescent="0.25">
      <c r="B84">
        <v>0</v>
      </c>
      <c r="C84" s="1">
        <v>-7.9837940896091497E-11</v>
      </c>
      <c r="D84" s="1">
        <v>2.3999999999999998E-3</v>
      </c>
      <c r="E84">
        <v>-1.1000000000000001E-3</v>
      </c>
      <c r="F84" s="1">
        <v>2</v>
      </c>
      <c r="G84">
        <f>(0.5+E84/D84)^F84</f>
        <v>1.7361111111111034E-3</v>
      </c>
      <c r="H84" s="1">
        <v>0.3</v>
      </c>
      <c r="I84">
        <v>1</v>
      </c>
      <c r="J84" s="1">
        <f>(C84-B84)*G84+B84-(B84+C84)*(H84/2)*I84</f>
        <v>1.1837083598135788E-11</v>
      </c>
    </row>
    <row r="85" spans="1:10" x14ac:dyDescent="0.25">
      <c r="B85">
        <v>0</v>
      </c>
      <c r="C85" s="1">
        <v>-7.9837940896091497E-11</v>
      </c>
      <c r="D85" s="1">
        <v>2.3999999999999998E-3</v>
      </c>
      <c r="E85">
        <f>-0.001+0.0001</f>
        <v>-8.9999999999999998E-4</v>
      </c>
      <c r="F85" s="1">
        <v>2</v>
      </c>
      <c r="G85">
        <f t="shared" ref="G85:G95" si="19">(0.5+E85/D85)^F85</f>
        <v>1.5625E-2</v>
      </c>
      <c r="H85" s="1">
        <v>0.3</v>
      </c>
      <c r="I85">
        <v>1</v>
      </c>
      <c r="J85" s="1">
        <f t="shared" ref="J85:J95" si="20">(C85-B85)*G85+B85-(B85+C85)*(H85/2)*I85</f>
        <v>1.0728223307912294E-11</v>
      </c>
    </row>
    <row r="86" spans="1:10" x14ac:dyDescent="0.25">
      <c r="B86">
        <v>0</v>
      </c>
      <c r="C86" s="1">
        <v>-7.9837940896091497E-11</v>
      </c>
      <c r="D86" s="1">
        <v>2.3999999999999998E-3</v>
      </c>
      <c r="E86">
        <f>E85+0.0002</f>
        <v>-6.9999999999999999E-4</v>
      </c>
      <c r="F86" s="1">
        <v>2</v>
      </c>
      <c r="G86">
        <f t="shared" si="19"/>
        <v>4.3402777777777769E-2</v>
      </c>
      <c r="H86" s="1">
        <v>0.3</v>
      </c>
      <c r="I86">
        <v>1</v>
      </c>
      <c r="J86" s="1">
        <f t="shared" si="20"/>
        <v>8.5105027274653085E-12</v>
      </c>
    </row>
    <row r="87" spans="1:10" x14ac:dyDescent="0.25">
      <c r="B87">
        <v>0</v>
      </c>
      <c r="C87" s="1">
        <v>-7.9837940896091497E-11</v>
      </c>
      <c r="D87" s="1">
        <v>2.3999999999999998E-3</v>
      </c>
      <c r="E87">
        <f t="shared" ref="E87:E94" si="21">E86+0.0002</f>
        <v>-5.0000000000000001E-4</v>
      </c>
      <c r="F87" s="1">
        <v>2</v>
      </c>
      <c r="G87">
        <f t="shared" si="19"/>
        <v>8.506944444444442E-2</v>
      </c>
      <c r="H87" s="1">
        <v>0.3</v>
      </c>
      <c r="I87">
        <v>1</v>
      </c>
      <c r="J87" s="1">
        <f t="shared" si="20"/>
        <v>5.1839218567948314E-12</v>
      </c>
    </row>
    <row r="88" spans="1:10" x14ac:dyDescent="0.25">
      <c r="B88">
        <v>0</v>
      </c>
      <c r="C88" s="1">
        <v>-7.9837940896091497E-11</v>
      </c>
      <c r="D88" s="1">
        <v>2.3999999999999998E-3</v>
      </c>
      <c r="E88">
        <f t="shared" si="21"/>
        <v>-3.0000000000000003E-4</v>
      </c>
      <c r="F88" s="1">
        <v>2</v>
      </c>
      <c r="G88">
        <f t="shared" si="19"/>
        <v>0.140625</v>
      </c>
      <c r="H88" s="1">
        <v>0.3</v>
      </c>
      <c r="I88">
        <v>1</v>
      </c>
      <c r="J88" s="1">
        <f t="shared" si="20"/>
        <v>7.4848069590085726E-13</v>
      </c>
    </row>
    <row r="89" spans="1:10" x14ac:dyDescent="0.25">
      <c r="B89">
        <v>0</v>
      </c>
      <c r="C89" s="1">
        <v>-7.9837940896091497E-11</v>
      </c>
      <c r="D89" s="1">
        <v>2.3999999999999998E-3</v>
      </c>
      <c r="E89">
        <f t="shared" si="21"/>
        <v>-1.0000000000000002E-4</v>
      </c>
      <c r="F89" s="1">
        <v>2</v>
      </c>
      <c r="G89">
        <f t="shared" si="19"/>
        <v>0.21006944444444442</v>
      </c>
      <c r="H89" s="1">
        <v>0.3</v>
      </c>
      <c r="I89">
        <v>1</v>
      </c>
      <c r="J89" s="1">
        <f t="shared" si="20"/>
        <v>-4.7958207552166049E-12</v>
      </c>
    </row>
    <row r="90" spans="1:10" x14ac:dyDescent="0.25">
      <c r="B90">
        <v>0</v>
      </c>
      <c r="C90" s="1">
        <v>-7.9837940896091497E-11</v>
      </c>
      <c r="D90" s="1">
        <v>2.3999999999999998E-3</v>
      </c>
      <c r="E90">
        <f t="shared" si="21"/>
        <v>9.9999999999999991E-5</v>
      </c>
      <c r="F90" s="1">
        <v>2</v>
      </c>
      <c r="G90">
        <f t="shared" si="19"/>
        <v>0.29340277777777773</v>
      </c>
      <c r="H90" s="1">
        <v>0.3</v>
      </c>
      <c r="I90">
        <v>1</v>
      </c>
      <c r="J90" s="1">
        <f t="shared" si="20"/>
        <v>-1.1448982496557561E-11</v>
      </c>
    </row>
    <row r="91" spans="1:10" x14ac:dyDescent="0.25">
      <c r="B91">
        <v>0</v>
      </c>
      <c r="C91" s="1">
        <v>-7.9837940896091497E-11</v>
      </c>
      <c r="D91" s="1">
        <v>2.3999999999999998E-3</v>
      </c>
      <c r="E91">
        <f t="shared" si="21"/>
        <v>3.0000000000000003E-4</v>
      </c>
      <c r="F91" s="1">
        <v>2</v>
      </c>
      <c r="G91">
        <f t="shared" si="19"/>
        <v>0.390625</v>
      </c>
      <c r="H91" s="1">
        <v>0.3</v>
      </c>
      <c r="I91">
        <v>1</v>
      </c>
      <c r="J91" s="1">
        <f t="shared" si="20"/>
        <v>-1.921100452812202E-11</v>
      </c>
    </row>
    <row r="92" spans="1:10" x14ac:dyDescent="0.25">
      <c r="B92">
        <v>0</v>
      </c>
      <c r="C92" s="1">
        <v>-7.9837940896091497E-11</v>
      </c>
      <c r="D92" s="1">
        <v>2.3999999999999998E-3</v>
      </c>
      <c r="E92">
        <f t="shared" si="21"/>
        <v>5.0000000000000001E-4</v>
      </c>
      <c r="F92" s="1">
        <v>2</v>
      </c>
      <c r="G92">
        <f t="shared" si="19"/>
        <v>0.50173611111111116</v>
      </c>
      <c r="H92" s="1">
        <v>0.3</v>
      </c>
      <c r="I92">
        <v>1</v>
      </c>
      <c r="J92" s="1">
        <f t="shared" si="20"/>
        <v>-2.8081886849909964E-11</v>
      </c>
    </row>
    <row r="93" spans="1:10" x14ac:dyDescent="0.25">
      <c r="B93">
        <v>0</v>
      </c>
      <c r="C93" s="1">
        <v>-7.9837940896091497E-11</v>
      </c>
      <c r="D93" s="1">
        <v>2.3999999999999998E-3</v>
      </c>
      <c r="E93">
        <f t="shared" si="21"/>
        <v>6.9999999999999999E-4</v>
      </c>
      <c r="F93" s="1">
        <v>2</v>
      </c>
      <c r="G93">
        <f t="shared" si="19"/>
        <v>0.62673611111111127</v>
      </c>
      <c r="H93" s="1">
        <v>0.3</v>
      </c>
      <c r="I93">
        <v>1</v>
      </c>
      <c r="J93" s="1">
        <f t="shared" si="20"/>
        <v>-3.8061629461921415E-11</v>
      </c>
    </row>
    <row r="94" spans="1:10" x14ac:dyDescent="0.25">
      <c r="B94">
        <v>0</v>
      </c>
      <c r="C94" s="1">
        <v>-7.9837940896091497E-11</v>
      </c>
      <c r="D94" s="1">
        <v>2.3999999999999998E-3</v>
      </c>
      <c r="E94">
        <f t="shared" si="21"/>
        <v>8.9999999999999998E-4</v>
      </c>
      <c r="F94" s="1">
        <v>2</v>
      </c>
      <c r="G94">
        <f t="shared" si="19"/>
        <v>0.765625</v>
      </c>
      <c r="H94" s="1">
        <v>0.3</v>
      </c>
      <c r="I94">
        <v>1</v>
      </c>
      <c r="J94" s="1">
        <f t="shared" si="20"/>
        <v>-4.915023236415633E-11</v>
      </c>
    </row>
    <row r="95" spans="1:10" x14ac:dyDescent="0.25">
      <c r="B95">
        <v>0</v>
      </c>
      <c r="C95" s="1">
        <v>-7.9837940896091497E-11</v>
      </c>
      <c r="D95" s="1">
        <v>2.3999999999999998E-3</v>
      </c>
      <c r="E95" s="13">
        <v>1.1000000000000001E-3</v>
      </c>
      <c r="F95" s="1">
        <v>2</v>
      </c>
      <c r="G95">
        <f t="shared" si="19"/>
        <v>0.91840277777777801</v>
      </c>
      <c r="H95" s="1">
        <v>0.3</v>
      </c>
      <c r="I95" s="13">
        <v>1</v>
      </c>
      <c r="J95" s="1">
        <f t="shared" si="20"/>
        <v>-6.1347695556614766E-11</v>
      </c>
    </row>
    <row r="97" spans="1:10" x14ac:dyDescent="0.25">
      <c r="A97" s="10" t="s">
        <v>38</v>
      </c>
      <c r="B97" s="2" t="s">
        <v>188</v>
      </c>
      <c r="C97" s="2" t="s">
        <v>189</v>
      </c>
      <c r="D97" s="2" t="s">
        <v>57</v>
      </c>
      <c r="E97" s="2" t="s">
        <v>58</v>
      </c>
      <c r="F97" s="2" t="s">
        <v>59</v>
      </c>
      <c r="G97" s="2" t="s">
        <v>60</v>
      </c>
      <c r="H97" s="2" t="s">
        <v>61</v>
      </c>
      <c r="I97" s="2" t="s">
        <v>62</v>
      </c>
      <c r="J97" s="2" t="s">
        <v>63</v>
      </c>
    </row>
    <row r="98" spans="1:10" x14ac:dyDescent="0.25">
      <c r="B98" s="1">
        <v>138.44155844155841</v>
      </c>
      <c r="C98" s="1">
        <v>0</v>
      </c>
      <c r="D98" s="1">
        <v>2.3999999999999998E-3</v>
      </c>
      <c r="E98">
        <v>-1.1000000000000001E-3</v>
      </c>
      <c r="F98" s="1">
        <v>2</v>
      </c>
      <c r="G98">
        <f>(0.5+E98/D98)^F98</f>
        <v>1.7361111111111034E-3</v>
      </c>
      <c r="H98" s="1">
        <v>0.3</v>
      </c>
      <c r="I98">
        <v>1</v>
      </c>
      <c r="J98" s="1">
        <f>(C98-B98)*G98+B98-(B98+C98)*(H98/2)*I98</f>
        <v>117.43497474747471</v>
      </c>
    </row>
    <row r="99" spans="1:10" x14ac:dyDescent="0.25">
      <c r="B99" s="1">
        <v>138.44155844155841</v>
      </c>
      <c r="C99" s="1">
        <v>0</v>
      </c>
      <c r="D99" s="1">
        <v>2.3999999999999998E-3</v>
      </c>
      <c r="E99">
        <f>-0.001+0.0001</f>
        <v>-8.9999999999999998E-4</v>
      </c>
      <c r="F99" s="1">
        <v>2</v>
      </c>
      <c r="G99">
        <f t="shared" ref="G99:G109" si="22">(0.5+E99/D99)^F99</f>
        <v>1.5625E-2</v>
      </c>
      <c r="H99" s="1">
        <v>0.3</v>
      </c>
      <c r="I99">
        <v>1</v>
      </c>
      <c r="J99" s="1">
        <f t="shared" ref="J99:J109" si="23">(C99-B99)*G99+B99-(B99+C99)*(H99/2)*I99</f>
        <v>115.5121753246753</v>
      </c>
    </row>
    <row r="100" spans="1:10" x14ac:dyDescent="0.25">
      <c r="B100" s="1">
        <v>138.44155844155841</v>
      </c>
      <c r="C100" s="1">
        <v>0</v>
      </c>
      <c r="D100" s="1">
        <v>2.3999999999999998E-3</v>
      </c>
      <c r="E100">
        <f>E99+0.0002</f>
        <v>-6.9999999999999999E-4</v>
      </c>
      <c r="F100" s="1">
        <v>2</v>
      </c>
      <c r="G100">
        <f t="shared" si="22"/>
        <v>4.3402777777777769E-2</v>
      </c>
      <c r="H100" s="1">
        <v>0.3</v>
      </c>
      <c r="I100">
        <v>1</v>
      </c>
      <c r="J100" s="1">
        <f t="shared" si="23"/>
        <v>111.66657647907644</v>
      </c>
    </row>
    <row r="101" spans="1:10" x14ac:dyDescent="0.25">
      <c r="B101" s="1">
        <v>138.44155844155841</v>
      </c>
      <c r="C101" s="1">
        <v>0</v>
      </c>
      <c r="D101" s="1">
        <v>2.3999999999999998E-3</v>
      </c>
      <c r="E101">
        <f t="shared" ref="E101:E108" si="24">E100+0.0002</f>
        <v>-5.0000000000000001E-4</v>
      </c>
      <c r="F101" s="1">
        <v>2</v>
      </c>
      <c r="G101">
        <f t="shared" si="22"/>
        <v>8.506944444444442E-2</v>
      </c>
      <c r="H101" s="1">
        <v>0.3</v>
      </c>
      <c r="I101">
        <v>1</v>
      </c>
      <c r="J101" s="1">
        <f t="shared" si="23"/>
        <v>105.8981782106782</v>
      </c>
    </row>
    <row r="102" spans="1:10" x14ac:dyDescent="0.25">
      <c r="B102" s="1">
        <v>138.44155844155841</v>
      </c>
      <c r="C102" s="1">
        <v>0</v>
      </c>
      <c r="D102" s="1">
        <v>2.3999999999999998E-3</v>
      </c>
      <c r="E102">
        <f t="shared" si="24"/>
        <v>-3.0000000000000003E-4</v>
      </c>
      <c r="F102" s="1">
        <v>2</v>
      </c>
      <c r="G102">
        <f t="shared" si="22"/>
        <v>0.140625</v>
      </c>
      <c r="H102" s="1">
        <v>0.3</v>
      </c>
      <c r="I102">
        <v>1</v>
      </c>
      <c r="J102" s="1">
        <f t="shared" si="23"/>
        <v>98.20698051948051</v>
      </c>
    </row>
    <row r="103" spans="1:10" x14ac:dyDescent="0.25">
      <c r="B103" s="1">
        <v>138.44155844155841</v>
      </c>
      <c r="C103" s="1">
        <v>0</v>
      </c>
      <c r="D103" s="1">
        <v>2.3999999999999998E-3</v>
      </c>
      <c r="E103">
        <f t="shared" si="24"/>
        <v>-1.0000000000000002E-4</v>
      </c>
      <c r="F103" s="1">
        <v>2</v>
      </c>
      <c r="G103">
        <f t="shared" si="22"/>
        <v>0.21006944444444442</v>
      </c>
      <c r="H103" s="1">
        <v>0.3</v>
      </c>
      <c r="I103">
        <v>1</v>
      </c>
      <c r="J103" s="1">
        <f t="shared" si="23"/>
        <v>88.59298340548338</v>
      </c>
    </row>
    <row r="104" spans="1:10" x14ac:dyDescent="0.25">
      <c r="B104" s="1">
        <v>138.44155844155841</v>
      </c>
      <c r="C104" s="1">
        <v>0</v>
      </c>
      <c r="D104" s="1">
        <v>2.3999999999999998E-3</v>
      </c>
      <c r="E104">
        <f t="shared" si="24"/>
        <v>9.9999999999999991E-5</v>
      </c>
      <c r="F104" s="1">
        <v>2</v>
      </c>
      <c r="G104">
        <f t="shared" si="22"/>
        <v>0.29340277777777773</v>
      </c>
      <c r="H104" s="1">
        <v>0.3</v>
      </c>
      <c r="I104">
        <v>1</v>
      </c>
      <c r="J104" s="1">
        <f t="shared" si="23"/>
        <v>77.056186868686865</v>
      </c>
    </row>
    <row r="105" spans="1:10" x14ac:dyDescent="0.25">
      <c r="B105" s="1">
        <v>138.44155844155841</v>
      </c>
      <c r="C105" s="1">
        <v>0</v>
      </c>
      <c r="D105" s="1">
        <v>2.3999999999999998E-3</v>
      </c>
      <c r="E105">
        <f t="shared" si="24"/>
        <v>3.0000000000000003E-4</v>
      </c>
      <c r="F105" s="1">
        <v>2</v>
      </c>
      <c r="G105">
        <f t="shared" si="22"/>
        <v>0.390625</v>
      </c>
      <c r="H105" s="1">
        <v>0.3</v>
      </c>
      <c r="I105">
        <v>1</v>
      </c>
      <c r="J105" s="1">
        <f t="shared" si="23"/>
        <v>63.596590909090899</v>
      </c>
    </row>
    <row r="106" spans="1:10" x14ac:dyDescent="0.25">
      <c r="B106" s="1">
        <v>138.44155844155841</v>
      </c>
      <c r="C106" s="1">
        <v>0</v>
      </c>
      <c r="D106" s="1">
        <v>2.3999999999999998E-3</v>
      </c>
      <c r="E106">
        <f t="shared" si="24"/>
        <v>5.0000000000000001E-4</v>
      </c>
      <c r="F106" s="1">
        <v>2</v>
      </c>
      <c r="G106">
        <f t="shared" si="22"/>
        <v>0.50173611111111116</v>
      </c>
      <c r="H106" s="1">
        <v>0.3</v>
      </c>
      <c r="I106">
        <v>1</v>
      </c>
      <c r="J106" s="1">
        <f t="shared" si="23"/>
        <v>48.214195526695512</v>
      </c>
    </row>
    <row r="107" spans="1:10" x14ac:dyDescent="0.25">
      <c r="B107" s="1">
        <v>138.44155844155841</v>
      </c>
      <c r="C107" s="1">
        <v>0</v>
      </c>
      <c r="D107" s="1">
        <v>2.3999999999999998E-3</v>
      </c>
      <c r="E107">
        <f t="shared" si="24"/>
        <v>6.9999999999999999E-4</v>
      </c>
      <c r="F107" s="1">
        <v>2</v>
      </c>
      <c r="G107">
        <f t="shared" si="22"/>
        <v>0.62673611111111127</v>
      </c>
      <c r="H107" s="1">
        <v>0.3</v>
      </c>
      <c r="I107">
        <v>1</v>
      </c>
      <c r="J107" s="1">
        <f t="shared" si="23"/>
        <v>30.909000721500696</v>
      </c>
    </row>
    <row r="108" spans="1:10" x14ac:dyDescent="0.25">
      <c r="B108" s="1">
        <v>138.44155844155841</v>
      </c>
      <c r="C108" s="1">
        <v>0</v>
      </c>
      <c r="D108" s="1">
        <v>2.3999999999999998E-3</v>
      </c>
      <c r="E108">
        <f t="shared" si="24"/>
        <v>8.9999999999999998E-4</v>
      </c>
      <c r="F108" s="1">
        <v>2</v>
      </c>
      <c r="G108">
        <f t="shared" si="22"/>
        <v>0.765625</v>
      </c>
      <c r="H108" s="1">
        <v>0.3</v>
      </c>
      <c r="I108">
        <v>1</v>
      </c>
      <c r="J108" s="1">
        <f t="shared" si="23"/>
        <v>11.681006493506494</v>
      </c>
    </row>
    <row r="109" spans="1:10" x14ac:dyDescent="0.25">
      <c r="B109" s="1">
        <v>138.44155844155841</v>
      </c>
      <c r="C109" s="1">
        <v>0</v>
      </c>
      <c r="D109" s="1">
        <v>2.3999999999999998E-3</v>
      </c>
      <c r="E109" s="13">
        <v>1.1000000000000001E-3</v>
      </c>
      <c r="F109" s="1">
        <v>2</v>
      </c>
      <c r="G109">
        <f t="shared" si="22"/>
        <v>0.91840277777777801</v>
      </c>
      <c r="H109" s="1">
        <v>0.3</v>
      </c>
      <c r="I109" s="13">
        <v>1</v>
      </c>
      <c r="J109" s="1">
        <f t="shared" si="23"/>
        <v>-9.4697871572871932</v>
      </c>
    </row>
    <row r="111" spans="1:10" x14ac:dyDescent="0.25">
      <c r="A111" s="10" t="s">
        <v>40</v>
      </c>
      <c r="B111" s="2" t="s">
        <v>188</v>
      </c>
      <c r="C111" s="2" t="s">
        <v>189</v>
      </c>
      <c r="D111" s="2" t="s">
        <v>57</v>
      </c>
      <c r="E111" s="2" t="s">
        <v>58</v>
      </c>
      <c r="F111" s="2" t="s">
        <v>59</v>
      </c>
      <c r="G111" s="2" t="s">
        <v>60</v>
      </c>
      <c r="H111" s="2" t="s">
        <v>61</v>
      </c>
      <c r="I111" s="2" t="s">
        <v>62</v>
      </c>
      <c r="J111" s="2" t="s">
        <v>63</v>
      </c>
    </row>
    <row r="112" spans="1:10" x14ac:dyDescent="0.25">
      <c r="B112">
        <v>9.3000000000000002E-11</v>
      </c>
      <c r="C112">
        <v>1.4735555555555557E-8</v>
      </c>
      <c r="D112" s="1">
        <v>2.3999999999999998E-3</v>
      </c>
      <c r="E112">
        <v>-1.1000000000000001E-3</v>
      </c>
      <c r="F112" s="1">
        <v>2</v>
      </c>
      <c r="G112">
        <f>(0.5+E112/D112)^F112</f>
        <v>1.7361111111111034E-3</v>
      </c>
      <c r="H112" s="1">
        <v>0.3</v>
      </c>
      <c r="I112">
        <v>1</v>
      </c>
      <c r="J112" s="1">
        <f>(C112-B112)*G112+B112-(B112+C112)*(H112/2)*I112</f>
        <v>-2.1058622299382719E-9</v>
      </c>
    </row>
    <row r="113" spans="1:10" x14ac:dyDescent="0.25">
      <c r="B113">
        <v>9.3000000000000002E-11</v>
      </c>
      <c r="C113">
        <v>1.4735555555555557E-8</v>
      </c>
      <c r="D113" s="1">
        <v>2.3999999999999998E-3</v>
      </c>
      <c r="E113">
        <f>-0.001+0.0001</f>
        <v>-8.9999999999999998E-4</v>
      </c>
      <c r="F113" s="1">
        <v>2</v>
      </c>
      <c r="G113">
        <f t="shared" ref="G113:G123" si="25">(0.5+E113/D113)^F113</f>
        <v>1.5625E-2</v>
      </c>
      <c r="H113" s="1">
        <v>0.3</v>
      </c>
      <c r="I113">
        <v>1</v>
      </c>
      <c r="J113" s="1">
        <f t="shared" ref="J113:J123" si="26">(C113-B113)*G113+B113-(B113+C113)*(H113/2)*I113</f>
        <v>-1.9024934027777779E-9</v>
      </c>
    </row>
    <row r="114" spans="1:10" x14ac:dyDescent="0.25">
      <c r="B114">
        <v>9.3000000000000002E-11</v>
      </c>
      <c r="C114">
        <v>1.4735555555555557E-8</v>
      </c>
      <c r="D114" s="1">
        <v>2.3999999999999998E-3</v>
      </c>
      <c r="E114">
        <f>E113+0.0002</f>
        <v>-6.9999999999999999E-4</v>
      </c>
      <c r="F114" s="1">
        <v>2</v>
      </c>
      <c r="G114">
        <f t="shared" si="25"/>
        <v>4.3402777777777769E-2</v>
      </c>
      <c r="H114" s="1">
        <v>0.3</v>
      </c>
      <c r="I114">
        <v>1</v>
      </c>
      <c r="J114" s="1">
        <f t="shared" si="26"/>
        <v>-1.4957557484567902E-9</v>
      </c>
    </row>
    <row r="115" spans="1:10" x14ac:dyDescent="0.25">
      <c r="B115">
        <v>9.3000000000000002E-11</v>
      </c>
      <c r="C115">
        <v>1.4735555555555557E-8</v>
      </c>
      <c r="D115" s="1">
        <v>2.3999999999999998E-3</v>
      </c>
      <c r="E115">
        <f t="shared" ref="E115:E122" si="27">E114+0.0002</f>
        <v>-5.0000000000000001E-4</v>
      </c>
      <c r="F115" s="1">
        <v>2</v>
      </c>
      <c r="G115">
        <f t="shared" si="25"/>
        <v>8.506944444444442E-2</v>
      </c>
      <c r="H115" s="1">
        <v>0.3</v>
      </c>
      <c r="I115">
        <v>1</v>
      </c>
      <c r="J115" s="1">
        <f t="shared" si="26"/>
        <v>-8.8564926697530882E-10</v>
      </c>
    </row>
    <row r="116" spans="1:10" x14ac:dyDescent="0.25">
      <c r="B116">
        <v>9.3000000000000002E-11</v>
      </c>
      <c r="C116">
        <v>1.4735555555555557E-8</v>
      </c>
      <c r="D116" s="1">
        <v>2.3999999999999998E-3</v>
      </c>
      <c r="E116">
        <f t="shared" si="27"/>
        <v>-3.0000000000000003E-4</v>
      </c>
      <c r="F116" s="1">
        <v>2</v>
      </c>
      <c r="G116">
        <f t="shared" si="25"/>
        <v>0.140625</v>
      </c>
      <c r="H116" s="1">
        <v>0.3</v>
      </c>
      <c r="I116">
        <v>1</v>
      </c>
      <c r="J116" s="1">
        <f t="shared" si="26"/>
        <v>-7.2173958333333254E-11</v>
      </c>
    </row>
    <row r="117" spans="1:10" x14ac:dyDescent="0.25">
      <c r="B117">
        <v>9.3000000000000002E-11</v>
      </c>
      <c r="C117">
        <v>1.4735555555555557E-8</v>
      </c>
      <c r="D117" s="1">
        <v>2.3999999999999998E-3</v>
      </c>
      <c r="E117">
        <f t="shared" si="27"/>
        <v>-1.0000000000000002E-4</v>
      </c>
      <c r="F117" s="1">
        <v>2</v>
      </c>
      <c r="G117">
        <f t="shared" si="25"/>
        <v>0.21006944444444442</v>
      </c>
      <c r="H117" s="1">
        <v>0.3</v>
      </c>
      <c r="I117">
        <v>1</v>
      </c>
      <c r="J117" s="1">
        <f t="shared" si="26"/>
        <v>9.4467017746913564E-10</v>
      </c>
    </row>
    <row r="118" spans="1:10" x14ac:dyDescent="0.25">
      <c r="B118">
        <v>9.3000000000000002E-11</v>
      </c>
      <c r="C118">
        <v>1.4735555555555557E-8</v>
      </c>
      <c r="D118" s="1">
        <v>2.3999999999999998E-3</v>
      </c>
      <c r="E118">
        <f t="shared" si="27"/>
        <v>9.9999999999999991E-5</v>
      </c>
      <c r="F118" s="1">
        <v>2</v>
      </c>
      <c r="G118">
        <f t="shared" si="25"/>
        <v>0.29340277777777773</v>
      </c>
      <c r="H118" s="1">
        <v>0.3</v>
      </c>
      <c r="I118">
        <v>1</v>
      </c>
      <c r="J118" s="1">
        <f t="shared" si="26"/>
        <v>2.1648831404320989E-9</v>
      </c>
    </row>
    <row r="119" spans="1:10" x14ac:dyDescent="0.25">
      <c r="B119">
        <v>9.3000000000000002E-11</v>
      </c>
      <c r="C119">
        <v>1.4735555555555557E-8</v>
      </c>
      <c r="D119" s="1">
        <v>2.3999999999999998E-3</v>
      </c>
      <c r="E119">
        <f t="shared" si="27"/>
        <v>3.0000000000000003E-4</v>
      </c>
      <c r="F119" s="1">
        <v>2</v>
      </c>
      <c r="G119">
        <f t="shared" si="25"/>
        <v>0.390625</v>
      </c>
      <c r="H119" s="1">
        <v>0.3</v>
      </c>
      <c r="I119">
        <v>1</v>
      </c>
      <c r="J119" s="1">
        <f t="shared" si="26"/>
        <v>3.5884649305555565E-9</v>
      </c>
    </row>
    <row r="120" spans="1:10" x14ac:dyDescent="0.25">
      <c r="B120">
        <v>9.3000000000000002E-11</v>
      </c>
      <c r="C120">
        <v>1.4735555555555557E-8</v>
      </c>
      <c r="D120" s="1">
        <v>2.3999999999999998E-3</v>
      </c>
      <c r="E120">
        <f t="shared" si="27"/>
        <v>5.0000000000000001E-4</v>
      </c>
      <c r="F120" s="1">
        <v>2</v>
      </c>
      <c r="G120">
        <f t="shared" si="25"/>
        <v>0.50173611111111116</v>
      </c>
      <c r="H120" s="1">
        <v>0.3</v>
      </c>
      <c r="I120">
        <v>1</v>
      </c>
      <c r="J120" s="1">
        <f t="shared" si="26"/>
        <v>5.2154155478395085E-9</v>
      </c>
    </row>
    <row r="121" spans="1:10" x14ac:dyDescent="0.25">
      <c r="B121">
        <v>9.3000000000000002E-11</v>
      </c>
      <c r="C121">
        <v>1.4735555555555557E-8</v>
      </c>
      <c r="D121" s="1">
        <v>2.3999999999999998E-3</v>
      </c>
      <c r="E121">
        <f t="shared" si="27"/>
        <v>6.9999999999999999E-4</v>
      </c>
      <c r="F121" s="1">
        <v>2</v>
      </c>
      <c r="G121">
        <f t="shared" si="25"/>
        <v>0.62673611111111127</v>
      </c>
      <c r="H121" s="1">
        <v>0.3</v>
      </c>
      <c r="I121">
        <v>1</v>
      </c>
      <c r="J121" s="1">
        <f t="shared" si="26"/>
        <v>7.045734992283954E-9</v>
      </c>
    </row>
    <row r="122" spans="1:10" x14ac:dyDescent="0.25">
      <c r="B122">
        <v>9.3000000000000002E-11</v>
      </c>
      <c r="C122">
        <v>1.4735555555555557E-8</v>
      </c>
      <c r="D122" s="1">
        <v>2.3999999999999998E-3</v>
      </c>
      <c r="E122">
        <f t="shared" si="27"/>
        <v>8.9999999999999998E-4</v>
      </c>
      <c r="F122" s="1">
        <v>2</v>
      </c>
      <c r="G122">
        <f t="shared" si="25"/>
        <v>0.765625</v>
      </c>
      <c r="H122" s="1">
        <v>0.3</v>
      </c>
      <c r="I122">
        <v>1</v>
      </c>
      <c r="J122" s="1">
        <f t="shared" si="26"/>
        <v>9.0794232638888901E-9</v>
      </c>
    </row>
    <row r="123" spans="1:10" x14ac:dyDescent="0.25">
      <c r="B123">
        <v>9.3000000000000002E-11</v>
      </c>
      <c r="C123">
        <v>1.4735555555555557E-8</v>
      </c>
      <c r="D123" s="1">
        <v>2.3999999999999998E-3</v>
      </c>
      <c r="E123" s="13">
        <v>1.1000000000000001E-3</v>
      </c>
      <c r="F123" s="1">
        <v>2</v>
      </c>
      <c r="G123">
        <f t="shared" si="25"/>
        <v>0.91840277777777801</v>
      </c>
      <c r="H123" s="1">
        <v>0.3</v>
      </c>
      <c r="I123" s="13">
        <v>1</v>
      </c>
      <c r="J123" s="1">
        <f t="shared" si="26"/>
        <v>1.1316480362654325E-8</v>
      </c>
    </row>
    <row r="124" spans="1:10" x14ac:dyDescent="0.25">
      <c r="A124" s="10" t="s">
        <v>42</v>
      </c>
      <c r="B124" s="2" t="s">
        <v>188</v>
      </c>
      <c r="C124" s="2" t="s">
        <v>189</v>
      </c>
      <c r="D124" s="2" t="s">
        <v>57</v>
      </c>
      <c r="E124" s="2" t="s">
        <v>58</v>
      </c>
      <c r="F124" s="2" t="s">
        <v>59</v>
      </c>
      <c r="G124" s="2" t="s">
        <v>60</v>
      </c>
      <c r="H124" s="2" t="s">
        <v>61</v>
      </c>
      <c r="I124" s="2" t="s">
        <v>62</v>
      </c>
      <c r="J124" s="2" t="s">
        <v>63</v>
      </c>
    </row>
    <row r="125" spans="1:10" x14ac:dyDescent="0.25">
      <c r="B125" s="1">
        <v>1.5699999999999999E-4</v>
      </c>
      <c r="C125" s="1">
        <v>1.0000000000000001E-5</v>
      </c>
      <c r="D125" s="1">
        <v>2.3999999999999998E-3</v>
      </c>
      <c r="E125">
        <v>-1.1000000000000001E-3</v>
      </c>
      <c r="F125" s="1">
        <v>2</v>
      </c>
      <c r="G125">
        <f>(0.5+E125/D125)^F125</f>
        <v>1.7361111111111034E-3</v>
      </c>
      <c r="H125" s="1">
        <v>0.3</v>
      </c>
      <c r="I125">
        <v>1</v>
      </c>
      <c r="J125" s="1">
        <f>(C125-B125)*G125+B125-(B125+C125)*(H125/2)*I125</f>
        <v>1.3169479166666665E-4</v>
      </c>
    </row>
    <row r="126" spans="1:10" x14ac:dyDescent="0.25">
      <c r="B126" s="1">
        <v>1.5699999999999999E-4</v>
      </c>
      <c r="C126" s="1">
        <v>1.0000000000000001E-5</v>
      </c>
      <c r="D126" s="1">
        <v>2.3999999999999998E-3</v>
      </c>
      <c r="E126">
        <f>-0.001+0.0001</f>
        <v>-8.9999999999999998E-4</v>
      </c>
      <c r="F126" s="1">
        <v>2</v>
      </c>
      <c r="G126">
        <f t="shared" ref="G126:G136" si="28">(0.5+E126/D126)^F126</f>
        <v>1.5625E-2</v>
      </c>
      <c r="H126" s="1">
        <v>0.3</v>
      </c>
      <c r="I126">
        <v>1</v>
      </c>
      <c r="J126" s="1">
        <f t="shared" ref="J126:J136" si="29">(C126-B126)*G126+B126-(B126+C126)*(H126/2)*I126</f>
        <v>1.2965312500000002E-4</v>
      </c>
    </row>
    <row r="127" spans="1:10" x14ac:dyDescent="0.25">
      <c r="B127" s="1">
        <v>1.5699999999999999E-4</v>
      </c>
      <c r="C127" s="1">
        <v>1.0000000000000001E-5</v>
      </c>
      <c r="D127" s="1">
        <v>2.3999999999999998E-3</v>
      </c>
      <c r="E127">
        <f>E126+0.0002</f>
        <v>-6.9999999999999999E-4</v>
      </c>
      <c r="F127" s="1">
        <v>2</v>
      </c>
      <c r="G127">
        <f t="shared" si="28"/>
        <v>4.3402777777777769E-2</v>
      </c>
      <c r="H127" s="1">
        <v>0.3</v>
      </c>
      <c r="I127">
        <v>1</v>
      </c>
      <c r="J127" s="1">
        <f t="shared" si="29"/>
        <v>1.2556979166666665E-4</v>
      </c>
    </row>
    <row r="128" spans="1:10" x14ac:dyDescent="0.25">
      <c r="B128" s="1">
        <v>1.5699999999999999E-4</v>
      </c>
      <c r="C128" s="1">
        <v>1.0000000000000001E-5</v>
      </c>
      <c r="D128" s="1">
        <v>2.3999999999999998E-3</v>
      </c>
      <c r="E128">
        <f t="shared" ref="E128:E135" si="30">E127+0.0002</f>
        <v>-5.0000000000000001E-4</v>
      </c>
      <c r="F128" s="1">
        <v>2</v>
      </c>
      <c r="G128">
        <f t="shared" si="28"/>
        <v>8.506944444444442E-2</v>
      </c>
      <c r="H128" s="1">
        <v>0.3</v>
      </c>
      <c r="I128">
        <v>1</v>
      </c>
      <c r="J128" s="1">
        <f t="shared" si="29"/>
        <v>1.1944479166666666E-4</v>
      </c>
    </row>
    <row r="129" spans="1:10" x14ac:dyDescent="0.25">
      <c r="B129" s="1">
        <v>1.5699999999999999E-4</v>
      </c>
      <c r="C129" s="1">
        <v>1.0000000000000001E-5</v>
      </c>
      <c r="D129" s="1">
        <v>2.3999999999999998E-3</v>
      </c>
      <c r="E129">
        <f t="shared" si="30"/>
        <v>-3.0000000000000003E-4</v>
      </c>
      <c r="F129" s="1">
        <v>2</v>
      </c>
      <c r="G129">
        <f t="shared" si="28"/>
        <v>0.140625</v>
      </c>
      <c r="H129" s="1">
        <v>0.3</v>
      </c>
      <c r="I129">
        <v>1</v>
      </c>
      <c r="J129" s="1">
        <f t="shared" si="29"/>
        <v>1.11278125E-4</v>
      </c>
    </row>
    <row r="130" spans="1:10" x14ac:dyDescent="0.25">
      <c r="B130" s="1">
        <v>1.5699999999999999E-4</v>
      </c>
      <c r="C130" s="1">
        <v>1.0000000000000001E-5</v>
      </c>
      <c r="D130" s="1">
        <v>2.3999999999999998E-3</v>
      </c>
      <c r="E130">
        <f t="shared" si="30"/>
        <v>-1.0000000000000002E-4</v>
      </c>
      <c r="F130" s="1">
        <v>2</v>
      </c>
      <c r="G130">
        <f t="shared" si="28"/>
        <v>0.21006944444444442</v>
      </c>
      <c r="H130" s="1">
        <v>0.3</v>
      </c>
      <c r="I130">
        <v>1</v>
      </c>
      <c r="J130" s="1">
        <f t="shared" si="29"/>
        <v>1.0106979166666666E-4</v>
      </c>
    </row>
    <row r="131" spans="1:10" x14ac:dyDescent="0.25">
      <c r="B131" s="1">
        <v>1.5699999999999999E-4</v>
      </c>
      <c r="C131" s="1">
        <v>1.0000000000000001E-5</v>
      </c>
      <c r="D131" s="1">
        <v>2.3999999999999998E-3</v>
      </c>
      <c r="E131">
        <f t="shared" si="30"/>
        <v>9.9999999999999991E-5</v>
      </c>
      <c r="F131" s="1">
        <v>2</v>
      </c>
      <c r="G131">
        <f t="shared" si="28"/>
        <v>0.29340277777777773</v>
      </c>
      <c r="H131" s="1">
        <v>0.3</v>
      </c>
      <c r="I131">
        <v>1</v>
      </c>
      <c r="J131" s="1">
        <f t="shared" si="29"/>
        <v>8.8819791666666661E-5</v>
      </c>
    </row>
    <row r="132" spans="1:10" x14ac:dyDescent="0.25">
      <c r="B132" s="1">
        <v>1.5699999999999999E-4</v>
      </c>
      <c r="C132" s="1">
        <v>1.0000000000000001E-5</v>
      </c>
      <c r="D132" s="1">
        <v>2.3999999999999998E-3</v>
      </c>
      <c r="E132">
        <f t="shared" si="30"/>
        <v>3.0000000000000003E-4</v>
      </c>
      <c r="F132" s="1">
        <v>2</v>
      </c>
      <c r="G132">
        <f t="shared" si="28"/>
        <v>0.390625</v>
      </c>
      <c r="H132" s="1">
        <v>0.3</v>
      </c>
      <c r="I132">
        <v>1</v>
      </c>
      <c r="J132" s="1">
        <f t="shared" si="29"/>
        <v>7.4528125000000004E-5</v>
      </c>
    </row>
    <row r="133" spans="1:10" x14ac:dyDescent="0.25">
      <c r="B133" s="1">
        <v>1.5699999999999999E-4</v>
      </c>
      <c r="C133" s="1">
        <v>1.0000000000000001E-5</v>
      </c>
      <c r="D133" s="1">
        <v>2.3999999999999998E-3</v>
      </c>
      <c r="E133">
        <f t="shared" si="30"/>
        <v>5.0000000000000001E-4</v>
      </c>
      <c r="F133" s="1">
        <v>2</v>
      </c>
      <c r="G133">
        <f t="shared" si="28"/>
        <v>0.50173611111111116</v>
      </c>
      <c r="H133" s="1">
        <v>0.3</v>
      </c>
      <c r="I133">
        <v>1</v>
      </c>
      <c r="J133" s="1">
        <f t="shared" si="29"/>
        <v>5.8194791666666662E-5</v>
      </c>
    </row>
    <row r="134" spans="1:10" x14ac:dyDescent="0.25">
      <c r="B134" s="1">
        <v>1.5699999999999999E-4</v>
      </c>
      <c r="C134" s="1">
        <v>1.0000000000000001E-5</v>
      </c>
      <c r="D134" s="1">
        <v>2.3999999999999998E-3</v>
      </c>
      <c r="E134">
        <f t="shared" si="30"/>
        <v>6.9999999999999999E-4</v>
      </c>
      <c r="F134" s="1">
        <v>2</v>
      </c>
      <c r="G134">
        <f t="shared" si="28"/>
        <v>0.62673611111111127</v>
      </c>
      <c r="H134" s="1">
        <v>0.3</v>
      </c>
      <c r="I134">
        <v>1</v>
      </c>
      <c r="J134" s="1">
        <f t="shared" si="29"/>
        <v>3.9819791666666636E-5</v>
      </c>
    </row>
    <row r="135" spans="1:10" x14ac:dyDescent="0.25">
      <c r="B135" s="1">
        <v>1.5699999999999999E-4</v>
      </c>
      <c r="C135" s="1">
        <v>1.0000000000000001E-5</v>
      </c>
      <c r="D135" s="1">
        <v>2.3999999999999998E-3</v>
      </c>
      <c r="E135">
        <f t="shared" si="30"/>
        <v>8.9999999999999998E-4</v>
      </c>
      <c r="F135" s="1">
        <v>2</v>
      </c>
      <c r="G135">
        <f t="shared" si="28"/>
        <v>0.765625</v>
      </c>
      <c r="H135" s="1">
        <v>0.3</v>
      </c>
      <c r="I135">
        <v>1</v>
      </c>
      <c r="J135" s="1">
        <f t="shared" si="29"/>
        <v>1.9403125000000006E-5</v>
      </c>
    </row>
    <row r="136" spans="1:10" x14ac:dyDescent="0.25">
      <c r="B136" s="1">
        <v>1.5699999999999999E-4</v>
      </c>
      <c r="C136" s="1">
        <v>1.0000000000000001E-5</v>
      </c>
      <c r="D136" s="1">
        <v>2.3999999999999998E-3</v>
      </c>
      <c r="E136" s="13">
        <v>1.1000000000000001E-3</v>
      </c>
      <c r="F136" s="1">
        <v>2</v>
      </c>
      <c r="G136">
        <f t="shared" si="28"/>
        <v>0.91840277777777801</v>
      </c>
      <c r="H136" s="1">
        <v>0.3</v>
      </c>
      <c r="I136" s="13">
        <v>1</v>
      </c>
      <c r="J136" s="1">
        <f t="shared" si="29"/>
        <v>-3.055208333333363E-6</v>
      </c>
    </row>
    <row r="137" spans="1:10" x14ac:dyDescent="0.25">
      <c r="A137" s="10" t="s">
        <v>48</v>
      </c>
      <c r="B137" s="2" t="s">
        <v>188</v>
      </c>
      <c r="C137" s="2" t="s">
        <v>189</v>
      </c>
      <c r="D137" s="2" t="s">
        <v>57</v>
      </c>
      <c r="E137" s="2" t="s">
        <v>58</v>
      </c>
      <c r="F137" s="2" t="s">
        <v>59</v>
      </c>
      <c r="G137" s="2" t="s">
        <v>60</v>
      </c>
      <c r="H137" s="2" t="s">
        <v>61</v>
      </c>
      <c r="I137" s="2" t="s">
        <v>62</v>
      </c>
      <c r="J137" s="2" t="s">
        <v>63</v>
      </c>
    </row>
    <row r="138" spans="1:10" x14ac:dyDescent="0.25">
      <c r="B138" s="1">
        <v>1.0000000000000001E-5</v>
      </c>
      <c r="C138" s="1">
        <v>1.5699999999999999E-5</v>
      </c>
      <c r="D138" s="1">
        <v>2.3999999999999998E-3</v>
      </c>
      <c r="E138">
        <v>-1.1000000000000001E-3</v>
      </c>
      <c r="F138" s="1">
        <v>2</v>
      </c>
      <c r="G138">
        <f>(0.5+E138/D138)^F138</f>
        <v>1.7361111111111034E-3</v>
      </c>
      <c r="H138" s="1">
        <v>0.3</v>
      </c>
      <c r="I138">
        <v>1</v>
      </c>
      <c r="J138" s="1">
        <f>(C138-B138)*G138+B138-(B138+C138)*(H138/2)*I138</f>
        <v>6.1548958333333343E-6</v>
      </c>
    </row>
    <row r="139" spans="1:10" x14ac:dyDescent="0.25">
      <c r="B139" s="1">
        <v>1.0000000000000001E-5</v>
      </c>
      <c r="C139" s="1">
        <v>1.5699999999999999E-5</v>
      </c>
      <c r="D139" s="1">
        <v>2.3999999999999998E-3</v>
      </c>
      <c r="E139">
        <f>-0.001+0.0001</f>
        <v>-8.9999999999999998E-4</v>
      </c>
      <c r="F139" s="1">
        <v>2</v>
      </c>
      <c r="G139">
        <f t="shared" ref="G139:G149" si="31">(0.5+E139/D139)^F139</f>
        <v>1.5625E-2</v>
      </c>
      <c r="H139" s="1">
        <v>0.3</v>
      </c>
      <c r="I139">
        <v>1</v>
      </c>
      <c r="J139" s="1">
        <f t="shared" ref="J139:J149" si="32">(C139-B139)*G139+B139-(B139+C139)*(H139/2)*I139</f>
        <v>6.2340625000000001E-6</v>
      </c>
    </row>
    <row r="140" spans="1:10" x14ac:dyDescent="0.25">
      <c r="B140" s="1">
        <v>1.0000000000000001E-5</v>
      </c>
      <c r="C140" s="1">
        <v>1.5699999999999999E-5</v>
      </c>
      <c r="D140" s="1">
        <v>2.3999999999999998E-3</v>
      </c>
      <c r="E140">
        <f>E139+0.0002</f>
        <v>-6.9999999999999999E-4</v>
      </c>
      <c r="F140" s="1">
        <v>2</v>
      </c>
      <c r="G140">
        <f t="shared" si="31"/>
        <v>4.3402777777777769E-2</v>
      </c>
      <c r="H140" s="1">
        <v>0.3</v>
      </c>
      <c r="I140">
        <v>1</v>
      </c>
      <c r="J140" s="1">
        <f t="shared" si="32"/>
        <v>6.3923958333333333E-6</v>
      </c>
    </row>
    <row r="141" spans="1:10" x14ac:dyDescent="0.25">
      <c r="B141" s="1">
        <v>1.0000000000000001E-5</v>
      </c>
      <c r="C141" s="1">
        <v>1.5699999999999999E-5</v>
      </c>
      <c r="D141" s="1">
        <v>2.3999999999999998E-3</v>
      </c>
      <c r="E141">
        <f t="shared" ref="E141:E148" si="33">E140+0.0002</f>
        <v>-5.0000000000000001E-4</v>
      </c>
      <c r="F141" s="1">
        <v>2</v>
      </c>
      <c r="G141">
        <f t="shared" si="31"/>
        <v>8.506944444444442E-2</v>
      </c>
      <c r="H141" s="1">
        <v>0.3</v>
      </c>
      <c r="I141">
        <v>1</v>
      </c>
      <c r="J141" s="1">
        <f t="shared" si="32"/>
        <v>6.629895833333334E-6</v>
      </c>
    </row>
    <row r="142" spans="1:10" x14ac:dyDescent="0.25">
      <c r="B142" s="1">
        <v>1.0000000000000001E-5</v>
      </c>
      <c r="C142" s="1">
        <v>1.5699999999999999E-5</v>
      </c>
      <c r="D142" s="1">
        <v>2.3999999999999998E-3</v>
      </c>
      <c r="E142">
        <f t="shared" si="33"/>
        <v>-3.0000000000000003E-4</v>
      </c>
      <c r="F142" s="1">
        <v>2</v>
      </c>
      <c r="G142">
        <f t="shared" si="31"/>
        <v>0.140625</v>
      </c>
      <c r="H142" s="1">
        <v>0.3</v>
      </c>
      <c r="I142">
        <v>1</v>
      </c>
      <c r="J142" s="1">
        <f t="shared" si="32"/>
        <v>6.9465625000000005E-6</v>
      </c>
    </row>
    <row r="143" spans="1:10" x14ac:dyDescent="0.25">
      <c r="B143" s="1">
        <v>1.0000000000000001E-5</v>
      </c>
      <c r="C143" s="1">
        <v>1.5699999999999999E-5</v>
      </c>
      <c r="D143" s="1">
        <v>2.3999999999999998E-3</v>
      </c>
      <c r="E143">
        <f t="shared" si="33"/>
        <v>-1.0000000000000002E-4</v>
      </c>
      <c r="F143" s="1">
        <v>2</v>
      </c>
      <c r="G143">
        <f t="shared" si="31"/>
        <v>0.21006944444444442</v>
      </c>
      <c r="H143" s="1">
        <v>0.3</v>
      </c>
      <c r="I143">
        <v>1</v>
      </c>
      <c r="J143" s="1">
        <f t="shared" si="32"/>
        <v>7.3423958333333327E-6</v>
      </c>
    </row>
    <row r="144" spans="1:10" x14ac:dyDescent="0.25">
      <c r="B144" s="1">
        <v>1.0000000000000001E-5</v>
      </c>
      <c r="C144" s="1">
        <v>1.5699999999999999E-5</v>
      </c>
      <c r="D144" s="1">
        <v>2.3999999999999998E-3</v>
      </c>
      <c r="E144">
        <f t="shared" si="33"/>
        <v>9.9999999999999991E-5</v>
      </c>
      <c r="F144" s="1">
        <v>2</v>
      </c>
      <c r="G144">
        <f t="shared" si="31"/>
        <v>0.29340277777777773</v>
      </c>
      <c r="H144" s="1">
        <v>0.3</v>
      </c>
      <c r="I144">
        <v>1</v>
      </c>
      <c r="J144" s="1">
        <f t="shared" si="32"/>
        <v>7.8173958333333315E-6</v>
      </c>
    </row>
    <row r="145" spans="1:11" x14ac:dyDescent="0.25">
      <c r="B145" s="1">
        <v>1.0000000000000001E-5</v>
      </c>
      <c r="C145" s="1">
        <v>1.5699999999999999E-5</v>
      </c>
      <c r="D145" s="1">
        <v>2.3999999999999998E-3</v>
      </c>
      <c r="E145">
        <f t="shared" si="33"/>
        <v>3.0000000000000003E-4</v>
      </c>
      <c r="F145" s="1">
        <v>2</v>
      </c>
      <c r="G145">
        <f t="shared" si="31"/>
        <v>0.390625</v>
      </c>
      <c r="H145" s="1">
        <v>0.3</v>
      </c>
      <c r="I145">
        <v>1</v>
      </c>
      <c r="J145" s="1">
        <f t="shared" si="32"/>
        <v>8.3715625000000004E-6</v>
      </c>
    </row>
    <row r="146" spans="1:11" x14ac:dyDescent="0.25">
      <c r="B146" s="1">
        <v>1.0000000000000001E-5</v>
      </c>
      <c r="C146" s="1">
        <v>1.5699999999999999E-5</v>
      </c>
      <c r="D146" s="1">
        <v>2.3999999999999998E-3</v>
      </c>
      <c r="E146">
        <f t="shared" si="33"/>
        <v>5.0000000000000001E-4</v>
      </c>
      <c r="F146" s="1">
        <v>2</v>
      </c>
      <c r="G146">
        <f t="shared" si="31"/>
        <v>0.50173611111111116</v>
      </c>
      <c r="H146" s="1">
        <v>0.3</v>
      </c>
      <c r="I146">
        <v>1</v>
      </c>
      <c r="J146" s="1">
        <f t="shared" si="32"/>
        <v>9.0048958333333333E-6</v>
      </c>
    </row>
    <row r="147" spans="1:11" x14ac:dyDescent="0.25">
      <c r="B147" s="1">
        <v>1.0000000000000001E-5</v>
      </c>
      <c r="C147" s="1">
        <v>1.5699999999999999E-5</v>
      </c>
      <c r="D147" s="1">
        <v>2.3999999999999998E-3</v>
      </c>
      <c r="E147">
        <f t="shared" si="33"/>
        <v>6.9999999999999999E-4</v>
      </c>
      <c r="F147" s="1">
        <v>2</v>
      </c>
      <c r="G147">
        <f t="shared" si="31"/>
        <v>0.62673611111111127</v>
      </c>
      <c r="H147" s="1">
        <v>0.3</v>
      </c>
      <c r="I147">
        <v>1</v>
      </c>
      <c r="J147" s="1">
        <f t="shared" si="32"/>
        <v>9.7173958333333337E-6</v>
      </c>
    </row>
    <row r="148" spans="1:11" x14ac:dyDescent="0.25">
      <c r="B148" s="1">
        <v>1.0000000000000001E-5</v>
      </c>
      <c r="C148" s="1">
        <v>1.5699999999999999E-5</v>
      </c>
      <c r="D148" s="1">
        <v>2.3999999999999998E-3</v>
      </c>
      <c r="E148">
        <f t="shared" si="33"/>
        <v>8.9999999999999998E-4</v>
      </c>
      <c r="F148" s="1">
        <v>2</v>
      </c>
      <c r="G148">
        <f t="shared" si="31"/>
        <v>0.765625</v>
      </c>
      <c r="H148" s="1">
        <v>0.3</v>
      </c>
      <c r="I148">
        <v>1</v>
      </c>
      <c r="J148" s="1">
        <f t="shared" si="32"/>
        <v>1.0509062499999998E-5</v>
      </c>
    </row>
    <row r="149" spans="1:11" x14ac:dyDescent="0.25">
      <c r="B149" s="1">
        <v>1.0000000000000001E-5</v>
      </c>
      <c r="C149" s="1">
        <v>1.5699999999999999E-5</v>
      </c>
      <c r="D149" s="1">
        <v>2.3999999999999998E-3</v>
      </c>
      <c r="E149" s="13">
        <v>1.1000000000000001E-3</v>
      </c>
      <c r="F149" s="1">
        <v>2</v>
      </c>
      <c r="G149">
        <f t="shared" si="31"/>
        <v>0.91840277777777801</v>
      </c>
      <c r="H149" s="1">
        <v>0.3</v>
      </c>
      <c r="I149" s="13">
        <v>1</v>
      </c>
      <c r="J149" s="1">
        <f t="shared" si="32"/>
        <v>1.1379895833333333E-5</v>
      </c>
    </row>
    <row r="150" spans="1:11" x14ac:dyDescent="0.25">
      <c r="A150" s="10" t="s">
        <v>49</v>
      </c>
      <c r="B150" s="2" t="s">
        <v>188</v>
      </c>
      <c r="C150" s="2" t="s">
        <v>189</v>
      </c>
      <c r="D150" s="2" t="s">
        <v>57</v>
      </c>
      <c r="E150" s="2" t="s">
        <v>58</v>
      </c>
      <c r="F150" s="2" t="s">
        <v>59</v>
      </c>
      <c r="G150" s="2" t="s">
        <v>60</v>
      </c>
      <c r="H150" s="2" t="s">
        <v>61</v>
      </c>
      <c r="I150" s="2" t="s">
        <v>62</v>
      </c>
      <c r="J150" s="2" t="s">
        <v>63</v>
      </c>
      <c r="K150" s="2" t="s">
        <v>66</v>
      </c>
    </row>
    <row r="151" spans="1:11" x14ac:dyDescent="0.25">
      <c r="B151" s="1">
        <v>2.5</v>
      </c>
      <c r="C151" s="1">
        <v>3.2</v>
      </c>
      <c r="D151" s="1">
        <v>2.3999999999999998E-3</v>
      </c>
      <c r="E151">
        <v>-1.1000000000000001E-3</v>
      </c>
      <c r="F151" s="1">
        <v>2</v>
      </c>
      <c r="G151">
        <f>(0.5+E151/D151)^F151</f>
        <v>1.7361111111111034E-3</v>
      </c>
      <c r="H151" s="1">
        <v>0.3</v>
      </c>
      <c r="I151">
        <v>1</v>
      </c>
      <c r="J151" s="1">
        <f>(C151-B151)*G151+B151-(B151+C151)*(H151/2)*I151</f>
        <v>1.6462152777777779</v>
      </c>
      <c r="K151" s="1">
        <f>1/J151</f>
        <v>0.60745396637911031</v>
      </c>
    </row>
    <row r="152" spans="1:11" x14ac:dyDescent="0.25">
      <c r="B152" s="1">
        <v>2.5</v>
      </c>
      <c r="C152" s="1">
        <v>3.2</v>
      </c>
      <c r="D152" s="1">
        <v>2.3999999999999998E-3</v>
      </c>
      <c r="E152">
        <f>-0.001+0.0001</f>
        <v>-8.9999999999999998E-4</v>
      </c>
      <c r="F152" s="1">
        <v>2</v>
      </c>
      <c r="G152">
        <f t="shared" ref="G152:G162" si="34">(0.5+E152/D152)^F152</f>
        <v>1.5625E-2</v>
      </c>
      <c r="H152" s="1">
        <v>0.3</v>
      </c>
      <c r="I152">
        <v>1</v>
      </c>
      <c r="J152" s="1">
        <f t="shared" ref="J152:J162" si="35">(C152-B152)*G152+B152-(B152+C152)*(H152/2)*I152</f>
        <v>1.6559374999999998</v>
      </c>
      <c r="K152" s="1">
        <f>1/J152</f>
        <v>0.6038875259482922</v>
      </c>
    </row>
    <row r="153" spans="1:11" x14ac:dyDescent="0.25">
      <c r="B153" s="1">
        <v>2.5</v>
      </c>
      <c r="C153" s="1">
        <v>3.2</v>
      </c>
      <c r="D153" s="1">
        <v>2.3999999999999998E-3</v>
      </c>
      <c r="E153">
        <f>E152+0.0002</f>
        <v>-6.9999999999999999E-4</v>
      </c>
      <c r="F153" s="1">
        <v>2</v>
      </c>
      <c r="G153">
        <f t="shared" si="34"/>
        <v>4.3402777777777769E-2</v>
      </c>
      <c r="H153" s="1">
        <v>0.3</v>
      </c>
      <c r="I153">
        <v>1</v>
      </c>
      <c r="J153" s="1">
        <f t="shared" si="35"/>
        <v>1.6753819444444447</v>
      </c>
      <c r="K153" s="1">
        <f t="shared" ref="K153:K162" si="36">1/J153</f>
        <v>0.59687882116432811</v>
      </c>
    </row>
    <row r="154" spans="1:11" x14ac:dyDescent="0.25">
      <c r="B154" s="1">
        <v>2.5</v>
      </c>
      <c r="C154" s="1">
        <v>3.2</v>
      </c>
      <c r="D154" s="1">
        <v>2.3999999999999998E-3</v>
      </c>
      <c r="E154">
        <f t="shared" ref="E154:E161" si="37">E153+0.0002</f>
        <v>-5.0000000000000001E-4</v>
      </c>
      <c r="F154" s="1">
        <v>2</v>
      </c>
      <c r="G154">
        <f t="shared" si="34"/>
        <v>8.506944444444442E-2</v>
      </c>
      <c r="H154" s="1">
        <v>0.3</v>
      </c>
      <c r="I154">
        <v>1</v>
      </c>
      <c r="J154" s="1">
        <f t="shared" si="35"/>
        <v>1.704548611111111</v>
      </c>
      <c r="K154" s="1">
        <f t="shared" si="36"/>
        <v>0.58666558024892546</v>
      </c>
    </row>
    <row r="155" spans="1:11" x14ac:dyDescent="0.25">
      <c r="B155" s="1">
        <v>2.5</v>
      </c>
      <c r="C155" s="1">
        <v>3.2</v>
      </c>
      <c r="D155" s="1">
        <v>2.3999999999999998E-3</v>
      </c>
      <c r="E155">
        <f t="shared" si="37"/>
        <v>-3.0000000000000003E-4</v>
      </c>
      <c r="F155" s="1">
        <v>2</v>
      </c>
      <c r="G155">
        <f t="shared" si="34"/>
        <v>0.140625</v>
      </c>
      <c r="H155" s="1">
        <v>0.3</v>
      </c>
      <c r="I155">
        <v>1</v>
      </c>
      <c r="J155" s="1">
        <f t="shared" si="35"/>
        <v>1.7434375000000002</v>
      </c>
      <c r="K155" s="1">
        <f t="shared" si="36"/>
        <v>0.57357949453307033</v>
      </c>
    </row>
    <row r="156" spans="1:11" x14ac:dyDescent="0.25">
      <c r="B156" s="1">
        <v>2.5</v>
      </c>
      <c r="C156" s="1">
        <v>3.2</v>
      </c>
      <c r="D156" s="1">
        <v>2.3999999999999998E-3</v>
      </c>
      <c r="E156">
        <f t="shared" si="37"/>
        <v>-1.0000000000000002E-4</v>
      </c>
      <c r="F156" s="1">
        <v>2</v>
      </c>
      <c r="G156">
        <f t="shared" si="34"/>
        <v>0.21006944444444442</v>
      </c>
      <c r="H156" s="1">
        <v>0.3</v>
      </c>
      <c r="I156">
        <v>1</v>
      </c>
      <c r="J156" s="1">
        <f t="shared" si="35"/>
        <v>1.7920486111111114</v>
      </c>
      <c r="K156" s="1">
        <f t="shared" si="36"/>
        <v>0.55802057700877716</v>
      </c>
    </row>
    <row r="157" spans="1:11" x14ac:dyDescent="0.25">
      <c r="B157" s="1">
        <v>2.5</v>
      </c>
      <c r="C157" s="1">
        <v>3.2</v>
      </c>
      <c r="D157" s="1">
        <v>2.3999999999999998E-3</v>
      </c>
      <c r="E157">
        <f t="shared" si="37"/>
        <v>9.9999999999999991E-5</v>
      </c>
      <c r="F157" s="1">
        <v>2</v>
      </c>
      <c r="G157">
        <f t="shared" si="34"/>
        <v>0.29340277777777773</v>
      </c>
      <c r="H157" s="1">
        <v>0.3</v>
      </c>
      <c r="I157">
        <v>1</v>
      </c>
      <c r="J157" s="1">
        <f t="shared" si="35"/>
        <v>1.8503819444444445</v>
      </c>
      <c r="K157" s="1">
        <f t="shared" si="36"/>
        <v>0.54042896549135877</v>
      </c>
    </row>
    <row r="158" spans="1:11" x14ac:dyDescent="0.25">
      <c r="B158" s="1">
        <v>2.5</v>
      </c>
      <c r="C158" s="1">
        <v>3.2</v>
      </c>
      <c r="D158" s="1">
        <v>2.3999999999999998E-3</v>
      </c>
      <c r="E158">
        <f t="shared" si="37"/>
        <v>3.0000000000000003E-4</v>
      </c>
      <c r="F158" s="1">
        <v>2</v>
      </c>
      <c r="G158">
        <f t="shared" si="34"/>
        <v>0.390625</v>
      </c>
      <c r="H158" s="1">
        <v>0.3</v>
      </c>
      <c r="I158">
        <v>1</v>
      </c>
      <c r="J158" s="1">
        <f t="shared" si="35"/>
        <v>1.9184375</v>
      </c>
      <c r="K158" s="1">
        <f t="shared" si="36"/>
        <v>0.52125753380029316</v>
      </c>
    </row>
    <row r="159" spans="1:11" x14ac:dyDescent="0.25">
      <c r="B159" s="1">
        <v>2.5</v>
      </c>
      <c r="C159" s="1">
        <v>3.2</v>
      </c>
      <c r="D159" s="1">
        <v>2.3999999999999998E-3</v>
      </c>
      <c r="E159">
        <f t="shared" si="37"/>
        <v>5.0000000000000001E-4</v>
      </c>
      <c r="F159" s="1">
        <v>2</v>
      </c>
      <c r="G159">
        <f t="shared" si="34"/>
        <v>0.50173611111111116</v>
      </c>
      <c r="H159" s="1">
        <v>0.3</v>
      </c>
      <c r="I159">
        <v>1</v>
      </c>
      <c r="J159" s="1">
        <f t="shared" si="35"/>
        <v>1.996215277777778</v>
      </c>
      <c r="K159" s="1">
        <f t="shared" si="36"/>
        <v>0.50094797446556849</v>
      </c>
    </row>
    <row r="160" spans="1:11" x14ac:dyDescent="0.25">
      <c r="B160" s="1">
        <v>2.5</v>
      </c>
      <c r="C160" s="1">
        <v>3.2</v>
      </c>
      <c r="D160" s="1">
        <v>2.3999999999999998E-3</v>
      </c>
      <c r="E160">
        <f t="shared" si="37"/>
        <v>6.9999999999999999E-4</v>
      </c>
      <c r="F160" s="1">
        <v>2</v>
      </c>
      <c r="G160">
        <f t="shared" si="34"/>
        <v>0.62673611111111127</v>
      </c>
      <c r="H160" s="1">
        <v>0.3</v>
      </c>
      <c r="I160">
        <v>1</v>
      </c>
      <c r="J160" s="1">
        <f t="shared" si="35"/>
        <v>2.0837152777777779</v>
      </c>
      <c r="K160" s="1">
        <f t="shared" si="36"/>
        <v>0.4799120161303761</v>
      </c>
    </row>
    <row r="161" spans="1:28" x14ac:dyDescent="0.25">
      <c r="B161" s="1">
        <v>2.5</v>
      </c>
      <c r="C161" s="1">
        <v>3.2</v>
      </c>
      <c r="D161" s="1">
        <v>2.3999999999999998E-3</v>
      </c>
      <c r="E161">
        <f t="shared" si="37"/>
        <v>8.9999999999999998E-4</v>
      </c>
      <c r="F161" s="1">
        <v>2</v>
      </c>
      <c r="G161">
        <f t="shared" si="34"/>
        <v>0.765625</v>
      </c>
      <c r="H161" s="1">
        <v>0.3</v>
      </c>
      <c r="I161">
        <v>1</v>
      </c>
      <c r="J161" s="1">
        <f t="shared" si="35"/>
        <v>2.1809375000000002</v>
      </c>
      <c r="K161" s="1">
        <f t="shared" si="36"/>
        <v>0.45851841237999708</v>
      </c>
    </row>
    <row r="162" spans="1:28" x14ac:dyDescent="0.25">
      <c r="B162" s="1">
        <v>2.5</v>
      </c>
      <c r="C162" s="1">
        <v>3.2</v>
      </c>
      <c r="D162" s="1">
        <v>2.3999999999999998E-3</v>
      </c>
      <c r="E162" s="13">
        <v>1.1000000000000001E-3</v>
      </c>
      <c r="F162" s="1">
        <v>2</v>
      </c>
      <c r="G162">
        <f t="shared" si="34"/>
        <v>0.91840277777777801</v>
      </c>
      <c r="H162" s="1">
        <v>0.3</v>
      </c>
      <c r="I162" s="13">
        <v>1</v>
      </c>
      <c r="J162" s="1">
        <f t="shared" si="35"/>
        <v>2.2878819444444449</v>
      </c>
      <c r="K162" s="1">
        <f t="shared" si="36"/>
        <v>0.43708548967233757</v>
      </c>
    </row>
    <row r="164" spans="1:28" x14ac:dyDescent="0.25">
      <c r="A164" s="10" t="s">
        <v>43</v>
      </c>
      <c r="B164" s="2" t="s">
        <v>188</v>
      </c>
      <c r="C164" s="2" t="s">
        <v>189</v>
      </c>
      <c r="D164" s="2" t="s">
        <v>67</v>
      </c>
      <c r="E164" s="2" t="s">
        <v>68</v>
      </c>
      <c r="F164" s="2" t="s">
        <v>69</v>
      </c>
      <c r="G164" s="2" t="s">
        <v>70</v>
      </c>
      <c r="H164" s="2" t="s">
        <v>71</v>
      </c>
      <c r="I164" s="2" t="s">
        <v>72</v>
      </c>
      <c r="J164" s="2" t="s">
        <v>73</v>
      </c>
    </row>
    <row r="165" spans="1:28" x14ac:dyDescent="0.25">
      <c r="B165" s="1">
        <v>5300</v>
      </c>
      <c r="C165" s="1">
        <v>5800</v>
      </c>
      <c r="D165" s="1">
        <v>2.3999999999999998E-3</v>
      </c>
      <c r="E165">
        <v>-1.1000000000000001E-3</v>
      </c>
      <c r="F165" s="1">
        <v>2</v>
      </c>
      <c r="G165">
        <f>(0.5+E165/D165)^F165</f>
        <v>1.7361111111111034E-3</v>
      </c>
      <c r="H165" s="1">
        <v>0.3</v>
      </c>
      <c r="I165">
        <v>1</v>
      </c>
      <c r="J165" s="1">
        <f>(C165-B165)*G165+B165-(B165+C165)*(H165/2)*I165</f>
        <v>3635.8680555555557</v>
      </c>
    </row>
    <row r="166" spans="1:28" x14ac:dyDescent="0.25">
      <c r="A166">
        <v>1</v>
      </c>
      <c r="B166" s="1">
        <v>5300</v>
      </c>
      <c r="C166" s="1">
        <v>5800</v>
      </c>
      <c r="D166" s="1">
        <v>2.3999999999999998E-3</v>
      </c>
      <c r="E166">
        <f>-0.001+0.0001</f>
        <v>-8.9999999999999998E-4</v>
      </c>
      <c r="F166" s="1">
        <v>2</v>
      </c>
      <c r="G166">
        <f t="shared" ref="G166:G176" si="38">(0.5+E166/D166)^F166</f>
        <v>1.5625E-2</v>
      </c>
      <c r="H166" s="1">
        <v>0.3</v>
      </c>
      <c r="I166">
        <v>1</v>
      </c>
      <c r="J166" s="1">
        <f t="shared" ref="J166:J176" si="39">(C166-B166)*G166+B166-(B166+C166)*(H166/2)*I166</f>
        <v>3642.8125</v>
      </c>
    </row>
    <row r="167" spans="1:28" x14ac:dyDescent="0.25">
      <c r="A167">
        <v>2</v>
      </c>
      <c r="B167" s="1">
        <v>5300</v>
      </c>
      <c r="C167" s="1">
        <v>5800</v>
      </c>
      <c r="D167" s="1">
        <v>2.3999999999999998E-3</v>
      </c>
      <c r="E167">
        <f>E166+0.0002</f>
        <v>-6.9999999999999999E-4</v>
      </c>
      <c r="F167" s="1">
        <v>2</v>
      </c>
      <c r="G167">
        <f t="shared" si="38"/>
        <v>4.3402777777777769E-2</v>
      </c>
      <c r="H167" s="1">
        <v>0.3</v>
      </c>
      <c r="I167">
        <v>1</v>
      </c>
      <c r="J167" s="1">
        <f t="shared" si="39"/>
        <v>3656.7013888888887</v>
      </c>
    </row>
    <row r="168" spans="1:28" x14ac:dyDescent="0.25">
      <c r="A168">
        <v>3</v>
      </c>
      <c r="B168" s="1">
        <v>5300</v>
      </c>
      <c r="C168" s="1">
        <v>5800</v>
      </c>
      <c r="D168" s="1">
        <v>2.3999999999999998E-3</v>
      </c>
      <c r="E168">
        <f t="shared" ref="E168:E175" si="40">E167+0.0002</f>
        <v>-5.0000000000000001E-4</v>
      </c>
      <c r="F168" s="1">
        <v>2</v>
      </c>
      <c r="G168">
        <f t="shared" si="38"/>
        <v>8.506944444444442E-2</v>
      </c>
      <c r="H168" s="1">
        <v>0.3</v>
      </c>
      <c r="I168">
        <v>1</v>
      </c>
      <c r="J168" s="1">
        <f t="shared" si="39"/>
        <v>3677.5347222222226</v>
      </c>
      <c r="AB168" s="10"/>
    </row>
    <row r="169" spans="1:28" x14ac:dyDescent="0.25">
      <c r="A169">
        <v>4</v>
      </c>
      <c r="B169" s="1">
        <v>5300</v>
      </c>
      <c r="C169" s="1">
        <v>5800</v>
      </c>
      <c r="D169" s="1">
        <v>2.3999999999999998E-3</v>
      </c>
      <c r="E169">
        <f t="shared" si="40"/>
        <v>-3.0000000000000003E-4</v>
      </c>
      <c r="F169" s="1">
        <v>2</v>
      </c>
      <c r="G169">
        <f t="shared" si="38"/>
        <v>0.140625</v>
      </c>
      <c r="H169" s="1">
        <v>0.3</v>
      </c>
      <c r="I169">
        <v>1</v>
      </c>
      <c r="J169" s="1">
        <f t="shared" si="39"/>
        <v>3705.3125</v>
      </c>
      <c r="AB169" s="4"/>
    </row>
    <row r="170" spans="1:28" x14ac:dyDescent="0.25">
      <c r="A170">
        <v>5</v>
      </c>
      <c r="B170" s="1">
        <v>5300</v>
      </c>
      <c r="C170" s="1">
        <v>5800</v>
      </c>
      <c r="D170" s="1">
        <v>2.3999999999999998E-3</v>
      </c>
      <c r="E170">
        <f t="shared" si="40"/>
        <v>-1.0000000000000002E-4</v>
      </c>
      <c r="F170" s="1">
        <v>2</v>
      </c>
      <c r="G170">
        <f t="shared" si="38"/>
        <v>0.21006944444444442</v>
      </c>
      <c r="H170" s="1">
        <v>0.3</v>
      </c>
      <c r="I170">
        <v>1</v>
      </c>
      <c r="J170" s="1">
        <f t="shared" si="39"/>
        <v>3740.0347222222226</v>
      </c>
      <c r="AB170" s="4"/>
    </row>
    <row r="171" spans="1:28" x14ac:dyDescent="0.25">
      <c r="A171">
        <v>6</v>
      </c>
      <c r="B171" s="1">
        <v>5300</v>
      </c>
      <c r="C171" s="1">
        <v>5800</v>
      </c>
      <c r="D171" s="1">
        <v>2.3999999999999998E-3</v>
      </c>
      <c r="E171">
        <f t="shared" si="40"/>
        <v>9.9999999999999991E-5</v>
      </c>
      <c r="F171" s="1">
        <v>2</v>
      </c>
      <c r="G171">
        <f t="shared" si="38"/>
        <v>0.29340277777777773</v>
      </c>
      <c r="H171" s="1">
        <v>0.3</v>
      </c>
      <c r="I171">
        <v>1</v>
      </c>
      <c r="J171" s="1">
        <f t="shared" si="39"/>
        <v>3781.7013888888887</v>
      </c>
      <c r="AB171" s="4"/>
    </row>
    <row r="172" spans="1:28" x14ac:dyDescent="0.25">
      <c r="A172">
        <v>7</v>
      </c>
      <c r="B172" s="1">
        <v>5300</v>
      </c>
      <c r="C172" s="1">
        <v>5800</v>
      </c>
      <c r="D172" s="1">
        <v>2.3999999999999998E-3</v>
      </c>
      <c r="E172">
        <f t="shared" si="40"/>
        <v>3.0000000000000003E-4</v>
      </c>
      <c r="F172" s="1">
        <v>2</v>
      </c>
      <c r="G172">
        <f t="shared" si="38"/>
        <v>0.390625</v>
      </c>
      <c r="H172" s="1">
        <v>0.3</v>
      </c>
      <c r="I172">
        <v>1</v>
      </c>
      <c r="J172" s="1">
        <f t="shared" si="39"/>
        <v>3830.3125</v>
      </c>
      <c r="AB172" s="4"/>
    </row>
    <row r="173" spans="1:28" x14ac:dyDescent="0.25">
      <c r="A173">
        <v>8</v>
      </c>
      <c r="B173" s="1">
        <v>5300</v>
      </c>
      <c r="C173" s="1">
        <v>5800</v>
      </c>
      <c r="D173" s="1">
        <v>2.3999999999999998E-3</v>
      </c>
      <c r="E173">
        <f t="shared" si="40"/>
        <v>5.0000000000000001E-4</v>
      </c>
      <c r="F173" s="1">
        <v>2</v>
      </c>
      <c r="G173">
        <f t="shared" si="38"/>
        <v>0.50173611111111116</v>
      </c>
      <c r="H173" s="1">
        <v>0.3</v>
      </c>
      <c r="I173">
        <v>1</v>
      </c>
      <c r="J173" s="1">
        <f t="shared" si="39"/>
        <v>3885.8680555555557</v>
      </c>
      <c r="AB173" s="4"/>
    </row>
    <row r="174" spans="1:28" x14ac:dyDescent="0.25">
      <c r="A174">
        <v>9</v>
      </c>
      <c r="B174" s="1">
        <v>5300</v>
      </c>
      <c r="C174" s="1">
        <v>5800</v>
      </c>
      <c r="D174" s="1">
        <v>2.3999999999999998E-3</v>
      </c>
      <c r="E174">
        <f t="shared" si="40"/>
        <v>6.9999999999999999E-4</v>
      </c>
      <c r="F174" s="1">
        <v>2</v>
      </c>
      <c r="G174">
        <f t="shared" si="38"/>
        <v>0.62673611111111127</v>
      </c>
      <c r="H174" s="1">
        <v>0.3</v>
      </c>
      <c r="I174">
        <v>1</v>
      </c>
      <c r="J174" s="1">
        <f t="shared" si="39"/>
        <v>3948.3680555555557</v>
      </c>
      <c r="AB174" s="4"/>
    </row>
    <row r="175" spans="1:28" x14ac:dyDescent="0.25">
      <c r="A175">
        <v>10</v>
      </c>
      <c r="B175" s="1">
        <v>5300</v>
      </c>
      <c r="C175" s="1">
        <v>5800</v>
      </c>
      <c r="D175" s="1">
        <v>2.3999999999999998E-3</v>
      </c>
      <c r="E175">
        <f t="shared" si="40"/>
        <v>8.9999999999999998E-4</v>
      </c>
      <c r="F175" s="1">
        <v>2</v>
      </c>
      <c r="G175">
        <f t="shared" si="38"/>
        <v>0.765625</v>
      </c>
      <c r="H175" s="1">
        <v>0.3</v>
      </c>
      <c r="I175">
        <v>1</v>
      </c>
      <c r="J175" s="1">
        <f t="shared" si="39"/>
        <v>4017.8125</v>
      </c>
      <c r="AB175" s="4"/>
    </row>
    <row r="176" spans="1:28" x14ac:dyDescent="0.25">
      <c r="B176" s="1">
        <v>5300</v>
      </c>
      <c r="C176" s="1">
        <v>5800</v>
      </c>
      <c r="D176" s="1">
        <v>2.3999999999999998E-3</v>
      </c>
      <c r="E176" s="13">
        <v>1.1000000000000001E-3</v>
      </c>
      <c r="F176" s="1">
        <v>2</v>
      </c>
      <c r="G176">
        <f t="shared" si="38"/>
        <v>0.91840277777777801</v>
      </c>
      <c r="H176" s="1">
        <v>0.3</v>
      </c>
      <c r="I176" s="13">
        <v>1</v>
      </c>
      <c r="J176" s="1">
        <f t="shared" si="39"/>
        <v>4094.2013888888887</v>
      </c>
      <c r="AB176" s="4"/>
    </row>
    <row r="177" spans="1:28" x14ac:dyDescent="0.25">
      <c r="B177" s="1"/>
      <c r="C177" s="1"/>
      <c r="D177" s="1"/>
      <c r="E177" s="13"/>
      <c r="F177" s="1"/>
      <c r="H177" s="1"/>
      <c r="I177" s="13"/>
      <c r="J177" s="1"/>
      <c r="AB177" s="4"/>
    </row>
    <row r="178" spans="1:28" x14ac:dyDescent="0.25">
      <c r="B178" s="1"/>
      <c r="C178" s="1"/>
      <c r="D178" s="1"/>
      <c r="E178" s="13"/>
      <c r="F178" s="1"/>
      <c r="H178" s="1"/>
      <c r="I178" s="13"/>
      <c r="J178" s="1"/>
      <c r="AB178" s="4"/>
    </row>
    <row r="179" spans="1:28" x14ac:dyDescent="0.25">
      <c r="A179" s="15" t="s">
        <v>235</v>
      </c>
      <c r="C179" s="10" t="s">
        <v>27</v>
      </c>
      <c r="D179" s="10" t="s">
        <v>28</v>
      </c>
      <c r="E179" s="10" t="s">
        <v>29</v>
      </c>
      <c r="F179" s="10" t="s">
        <v>30</v>
      </c>
      <c r="G179" s="10" t="s">
        <v>31</v>
      </c>
      <c r="H179" s="10" t="s">
        <v>47</v>
      </c>
      <c r="I179" s="10" t="s">
        <v>32</v>
      </c>
      <c r="J179" s="10" t="s">
        <v>33</v>
      </c>
      <c r="K179" s="10" t="s">
        <v>34</v>
      </c>
      <c r="L179" s="10" t="s">
        <v>35</v>
      </c>
      <c r="M179" s="10" t="s">
        <v>36</v>
      </c>
      <c r="N179" s="10" t="s">
        <v>37</v>
      </c>
      <c r="O179" s="10" t="s">
        <v>38</v>
      </c>
      <c r="P179" s="10" t="s">
        <v>39</v>
      </c>
      <c r="Q179" s="10" t="s">
        <v>40</v>
      </c>
      <c r="R179" s="10" t="s">
        <v>41</v>
      </c>
      <c r="S179" s="10" t="s">
        <v>42</v>
      </c>
      <c r="T179" s="10" t="s">
        <v>48</v>
      </c>
      <c r="U179" s="10" t="s">
        <v>77</v>
      </c>
      <c r="V179" s="10" t="s">
        <v>78</v>
      </c>
      <c r="W179" s="10" t="s">
        <v>79</v>
      </c>
      <c r="X179" s="10" t="s">
        <v>49</v>
      </c>
      <c r="Y179" s="10" t="s">
        <v>43</v>
      </c>
      <c r="Z179" s="10" t="s">
        <v>44</v>
      </c>
      <c r="AA179" s="10" t="s">
        <v>45</v>
      </c>
      <c r="AB179" s="10" t="s">
        <v>46</v>
      </c>
    </row>
    <row r="180" spans="1:28" x14ac:dyDescent="0.25">
      <c r="A180" s="12" t="s">
        <v>234</v>
      </c>
      <c r="B180" t="s">
        <v>183</v>
      </c>
      <c r="C180" s="11">
        <v>1</v>
      </c>
      <c r="D180" s="5">
        <v>89241105324.706268</v>
      </c>
      <c r="E180" s="5">
        <v>89241105324.706268</v>
      </c>
      <c r="F180" s="5">
        <v>0.23959578157332606</v>
      </c>
      <c r="G180" s="5">
        <v>0</v>
      </c>
      <c r="H180" s="5">
        <v>34400000000</v>
      </c>
      <c r="I180" s="5">
        <v>41220000000</v>
      </c>
      <c r="J180" s="5">
        <v>41220000000</v>
      </c>
      <c r="K180" s="5">
        <v>-7.1854146806482348E-11</v>
      </c>
      <c r="L180" s="5">
        <v>-7.1854146806482348E-11</v>
      </c>
      <c r="M180" s="5">
        <v>0</v>
      </c>
      <c r="N180" s="5">
        <v>2.0000000000000001E-4</v>
      </c>
      <c r="O180" s="5">
        <v>-13.844155844155843</v>
      </c>
      <c r="P180" s="5">
        <v>-13.844155844155843</v>
      </c>
      <c r="Q180" s="5">
        <v>1.3252700000000002E-8</v>
      </c>
      <c r="R180" s="5">
        <v>0</v>
      </c>
      <c r="S180" s="5">
        <v>-6.7000000000000002E-6</v>
      </c>
      <c r="T180" s="5">
        <v>1.3129999999999998E-5</v>
      </c>
      <c r="U180" s="5">
        <v>1.3129999999999998E-5</v>
      </c>
      <c r="V180" s="5">
        <v>0</v>
      </c>
      <c r="W180" s="5">
        <v>0</v>
      </c>
      <c r="X180" s="5">
        <v>2.63</v>
      </c>
      <c r="Y180" s="5">
        <v>4690</v>
      </c>
      <c r="Z180" s="5">
        <v>-1.1999999999999999E-3</v>
      </c>
      <c r="AA180" s="5">
        <v>-1E-3</v>
      </c>
      <c r="AB180" s="4">
        <v>2</v>
      </c>
    </row>
    <row r="181" spans="1:28" x14ac:dyDescent="0.25">
      <c r="C181" s="4">
        <v>2</v>
      </c>
      <c r="D181" s="5">
        <v>89241105324.706268</v>
      </c>
      <c r="E181" s="5">
        <v>89241105324.706268</v>
      </c>
      <c r="F181" s="5">
        <v>0.23959578157332606</v>
      </c>
      <c r="G181" s="5">
        <v>0</v>
      </c>
      <c r="H181" s="5">
        <v>34400000000</v>
      </c>
      <c r="I181" s="5">
        <v>41220000000</v>
      </c>
      <c r="J181" s="5">
        <v>41220000000</v>
      </c>
      <c r="K181" s="5">
        <v>-7.1854146806482348E-11</v>
      </c>
      <c r="L181" s="5">
        <v>-7.1854146806482348E-11</v>
      </c>
      <c r="M181" s="5">
        <v>0</v>
      </c>
      <c r="N181" s="5">
        <v>2.0000000000000001E-4</v>
      </c>
      <c r="O181" s="5">
        <v>-13.844155844155843</v>
      </c>
      <c r="P181" s="5">
        <v>-13.844155844155843</v>
      </c>
      <c r="Q181" s="5">
        <v>1.3252700000000002E-8</v>
      </c>
      <c r="R181" s="5">
        <v>0</v>
      </c>
      <c r="S181" s="5">
        <v>-6.7000000000000002E-6</v>
      </c>
      <c r="T181" s="5">
        <v>1.3129999999999998E-5</v>
      </c>
      <c r="U181" s="5">
        <v>1.3129999999999998E-5</v>
      </c>
      <c r="V181" s="5">
        <v>0</v>
      </c>
      <c r="W181" s="5">
        <v>0</v>
      </c>
      <c r="X181" s="5">
        <v>2.63</v>
      </c>
      <c r="Y181" s="5">
        <v>4690</v>
      </c>
      <c r="Z181" s="5">
        <v>-9.999999999999998E-4</v>
      </c>
      <c r="AA181" s="5">
        <v>-8.0000000000000004E-4</v>
      </c>
      <c r="AB181" s="4">
        <v>2</v>
      </c>
    </row>
    <row r="182" spans="1:28" x14ac:dyDescent="0.25">
      <c r="C182" s="4">
        <v>3</v>
      </c>
      <c r="D182" s="5">
        <v>89241105324.706268</v>
      </c>
      <c r="E182" s="5">
        <v>89241105324.706268</v>
      </c>
      <c r="F182" s="5">
        <v>0.23959578157332606</v>
      </c>
      <c r="G182" s="5">
        <v>0</v>
      </c>
      <c r="H182" s="5">
        <v>34400000000</v>
      </c>
      <c r="I182" s="5">
        <v>41220000000</v>
      </c>
      <c r="J182" s="5">
        <v>41220000000</v>
      </c>
      <c r="K182" s="5">
        <v>-7.1854146806482348E-11</v>
      </c>
      <c r="L182" s="5">
        <v>-7.1854146806482348E-11</v>
      </c>
      <c r="M182" s="5">
        <v>0</v>
      </c>
      <c r="N182" s="5">
        <v>2.0000000000000001E-4</v>
      </c>
      <c r="O182" s="5">
        <v>-13.844155844155843</v>
      </c>
      <c r="P182" s="5">
        <v>-13.844155844155843</v>
      </c>
      <c r="Q182" s="5">
        <v>1.3252700000000002E-8</v>
      </c>
      <c r="R182" s="5">
        <v>0</v>
      </c>
      <c r="S182" s="5">
        <v>-6.7000000000000002E-6</v>
      </c>
      <c r="T182" s="5">
        <v>1.3129999999999998E-5</v>
      </c>
      <c r="U182" s="5">
        <v>1.3129999999999998E-5</v>
      </c>
      <c r="V182" s="5">
        <v>0</v>
      </c>
      <c r="W182" s="5">
        <v>0</v>
      </c>
      <c r="X182" s="5">
        <v>2.63</v>
      </c>
      <c r="Y182" s="5">
        <v>4690</v>
      </c>
      <c r="Z182" s="5">
        <v>-7.9999999999999982E-4</v>
      </c>
      <c r="AA182" s="5">
        <v>-6.0000000000000006E-4</v>
      </c>
      <c r="AB182" s="4">
        <v>2</v>
      </c>
    </row>
    <row r="183" spans="1:28" x14ac:dyDescent="0.25">
      <c r="C183" s="4">
        <v>4</v>
      </c>
      <c r="D183" s="5">
        <v>89241105324.706268</v>
      </c>
      <c r="E183" s="5">
        <v>89241105324.706268</v>
      </c>
      <c r="F183" s="5">
        <v>0.23959578157332606</v>
      </c>
      <c r="G183" s="5">
        <v>0</v>
      </c>
      <c r="H183" s="5">
        <v>34400000000</v>
      </c>
      <c r="I183" s="5">
        <v>41220000000</v>
      </c>
      <c r="J183" s="5">
        <v>41220000000</v>
      </c>
      <c r="K183" s="5">
        <v>-7.1854146806482348E-11</v>
      </c>
      <c r="L183" s="5">
        <v>-7.1854146806482348E-11</v>
      </c>
      <c r="M183" s="5">
        <v>0</v>
      </c>
      <c r="N183" s="5">
        <v>2.0000000000000001E-4</v>
      </c>
      <c r="O183" s="5">
        <v>-13.844155844155843</v>
      </c>
      <c r="P183" s="5">
        <v>-13.844155844155843</v>
      </c>
      <c r="Q183" s="5">
        <v>1.3252700000000002E-8</v>
      </c>
      <c r="R183" s="5">
        <v>0</v>
      </c>
      <c r="S183" s="5">
        <v>-6.7000000000000002E-6</v>
      </c>
      <c r="T183" s="5">
        <v>1.3129999999999998E-5</v>
      </c>
      <c r="U183" s="5">
        <v>1.3129999999999998E-5</v>
      </c>
      <c r="V183" s="5">
        <v>0</v>
      </c>
      <c r="W183" s="5">
        <v>0</v>
      </c>
      <c r="X183" s="5">
        <v>2.63</v>
      </c>
      <c r="Y183" s="5">
        <v>4690</v>
      </c>
      <c r="Z183" s="5">
        <v>-5.9999999999999984E-4</v>
      </c>
      <c r="AA183" s="5">
        <v>-4.0000000000000007E-4</v>
      </c>
      <c r="AB183" s="4">
        <v>2</v>
      </c>
    </row>
    <row r="184" spans="1:28" x14ac:dyDescent="0.25">
      <c r="C184" s="4">
        <v>5</v>
      </c>
      <c r="D184" s="5">
        <v>89241105324.706268</v>
      </c>
      <c r="E184" s="5">
        <v>89241105324.706268</v>
      </c>
      <c r="F184" s="5">
        <v>0.23959578157332606</v>
      </c>
      <c r="G184" s="5">
        <v>0</v>
      </c>
      <c r="H184" s="5">
        <v>34400000000</v>
      </c>
      <c r="I184" s="5">
        <v>41220000000</v>
      </c>
      <c r="J184" s="5">
        <v>41220000000</v>
      </c>
      <c r="K184" s="5">
        <v>-7.1854146806482348E-11</v>
      </c>
      <c r="L184" s="5">
        <v>-7.1854146806482348E-11</v>
      </c>
      <c r="M184" s="5">
        <v>0</v>
      </c>
      <c r="N184" s="5">
        <v>2.0000000000000001E-4</v>
      </c>
      <c r="O184" s="5">
        <v>-13.844155844155843</v>
      </c>
      <c r="P184" s="5">
        <v>-13.844155844155843</v>
      </c>
      <c r="Q184" s="5">
        <v>1.3252700000000002E-8</v>
      </c>
      <c r="R184" s="5">
        <v>0</v>
      </c>
      <c r="S184" s="5">
        <v>-6.7000000000000002E-6</v>
      </c>
      <c r="T184" s="5">
        <v>1.3129999999999998E-5</v>
      </c>
      <c r="U184" s="5">
        <v>1.3129999999999998E-5</v>
      </c>
      <c r="V184" s="5">
        <v>0</v>
      </c>
      <c r="W184" s="5">
        <v>0</v>
      </c>
      <c r="X184" s="5">
        <v>2.63</v>
      </c>
      <c r="Y184" s="5">
        <v>4690</v>
      </c>
      <c r="Z184" s="5">
        <v>-3.9999999999999986E-4</v>
      </c>
      <c r="AA184" s="5">
        <v>-2.0000000000000006E-4</v>
      </c>
      <c r="AB184" s="4">
        <v>2</v>
      </c>
    </row>
    <row r="185" spans="1:28" x14ac:dyDescent="0.25">
      <c r="C185" s="4">
        <v>6</v>
      </c>
      <c r="D185" s="5">
        <v>89241105324.706268</v>
      </c>
      <c r="E185" s="5">
        <v>89241105324.706268</v>
      </c>
      <c r="F185" s="5">
        <v>0.23959578157332606</v>
      </c>
      <c r="G185" s="5">
        <v>0</v>
      </c>
      <c r="H185" s="5">
        <v>34400000000</v>
      </c>
      <c r="I185" s="5">
        <v>41220000000</v>
      </c>
      <c r="J185" s="5">
        <v>41220000000</v>
      </c>
      <c r="K185" s="5">
        <v>-7.1854146806482348E-11</v>
      </c>
      <c r="L185" s="5">
        <v>-7.1854146806482348E-11</v>
      </c>
      <c r="M185" s="5">
        <v>0</v>
      </c>
      <c r="N185" s="5">
        <v>2.0000000000000001E-4</v>
      </c>
      <c r="O185" s="5">
        <v>-13.844155844155843</v>
      </c>
      <c r="P185" s="5">
        <v>-13.844155844155843</v>
      </c>
      <c r="Q185" s="5">
        <v>1.3252700000000002E-8</v>
      </c>
      <c r="R185" s="5">
        <v>0</v>
      </c>
      <c r="S185" s="5">
        <v>-6.7000000000000002E-6</v>
      </c>
      <c r="T185" s="5">
        <v>1.3129999999999998E-5</v>
      </c>
      <c r="U185" s="5">
        <v>1.3129999999999998E-5</v>
      </c>
      <c r="V185" s="5">
        <v>0</v>
      </c>
      <c r="W185" s="5">
        <v>0</v>
      </c>
      <c r="X185" s="5">
        <v>2.63</v>
      </c>
      <c r="Y185" s="5">
        <v>4690</v>
      </c>
      <c r="Z185" s="5">
        <v>-1.9999999999999985E-4</v>
      </c>
      <c r="AA185" s="5">
        <v>0</v>
      </c>
      <c r="AB185" s="4">
        <v>2</v>
      </c>
    </row>
    <row r="186" spans="1:28" x14ac:dyDescent="0.25">
      <c r="C186" s="4">
        <v>7</v>
      </c>
      <c r="D186" s="5">
        <v>89241105324.706268</v>
      </c>
      <c r="E186" s="5">
        <v>89241105324.706268</v>
      </c>
      <c r="F186" s="5">
        <v>0.23959578157332606</v>
      </c>
      <c r="G186" s="5">
        <v>0</v>
      </c>
      <c r="H186" s="5">
        <v>34400000000</v>
      </c>
      <c r="I186" s="5">
        <v>41220000000</v>
      </c>
      <c r="J186" s="5">
        <v>41220000000</v>
      </c>
      <c r="K186" s="5">
        <v>-7.1854146806482348E-11</v>
      </c>
      <c r="L186" s="5">
        <v>-7.1854146806482348E-11</v>
      </c>
      <c r="M186" s="5">
        <v>0</v>
      </c>
      <c r="N186" s="5">
        <v>2.0000000000000001E-4</v>
      </c>
      <c r="O186" s="5">
        <v>-13.844155844155843</v>
      </c>
      <c r="P186" s="5">
        <v>-13.844155844155843</v>
      </c>
      <c r="Q186" s="5">
        <v>1.3252700000000002E-8</v>
      </c>
      <c r="R186" s="5">
        <v>0</v>
      </c>
      <c r="S186" s="5">
        <v>-6.7000000000000002E-6</v>
      </c>
      <c r="T186" s="5">
        <v>1.3129999999999998E-5</v>
      </c>
      <c r="U186" s="5">
        <v>1.3129999999999998E-5</v>
      </c>
      <c r="V186" s="5">
        <v>0</v>
      </c>
      <c r="W186" s="5">
        <v>0</v>
      </c>
      <c r="X186" s="5">
        <v>2.63</v>
      </c>
      <c r="Y186" s="5">
        <v>4690</v>
      </c>
      <c r="Z186" s="5">
        <v>0</v>
      </c>
      <c r="AA186" s="5">
        <v>2.0000000000000001E-4</v>
      </c>
      <c r="AB186" s="4">
        <v>2</v>
      </c>
    </row>
    <row r="187" spans="1:28" x14ac:dyDescent="0.25">
      <c r="C187" s="4">
        <v>8</v>
      </c>
      <c r="D187" s="5">
        <v>89241105324.706268</v>
      </c>
      <c r="E187" s="5">
        <v>89241105324.706268</v>
      </c>
      <c r="F187" s="5">
        <v>0.23959578157332606</v>
      </c>
      <c r="G187" s="5">
        <v>0</v>
      </c>
      <c r="H187" s="5">
        <v>34400000000</v>
      </c>
      <c r="I187" s="5">
        <v>41220000000</v>
      </c>
      <c r="J187" s="5">
        <v>41220000000</v>
      </c>
      <c r="K187" s="5">
        <v>-7.1854146806482348E-11</v>
      </c>
      <c r="L187" s="5">
        <v>-7.1854146806482348E-11</v>
      </c>
      <c r="M187" s="5">
        <v>0</v>
      </c>
      <c r="N187" s="5">
        <v>2.0000000000000001E-4</v>
      </c>
      <c r="O187" s="5">
        <v>-13.844155844155843</v>
      </c>
      <c r="P187" s="5">
        <v>-13.844155844155843</v>
      </c>
      <c r="Q187" s="5">
        <v>1.3252700000000002E-8</v>
      </c>
      <c r="R187" s="5">
        <v>0</v>
      </c>
      <c r="S187" s="5">
        <v>-6.7000000000000002E-6</v>
      </c>
      <c r="T187" s="5">
        <v>1.3129999999999998E-5</v>
      </c>
      <c r="U187" s="5">
        <v>1.3129999999999998E-5</v>
      </c>
      <c r="V187" s="5">
        <v>0</v>
      </c>
      <c r="W187" s="5">
        <v>0</v>
      </c>
      <c r="X187" s="5">
        <v>2.63</v>
      </c>
      <c r="Y187" s="5">
        <v>4690</v>
      </c>
      <c r="Z187" s="5">
        <v>2.0000000000000001E-4</v>
      </c>
      <c r="AA187" s="5">
        <v>4.0000000000000002E-4</v>
      </c>
      <c r="AB187" s="4">
        <v>2</v>
      </c>
    </row>
    <row r="188" spans="1:28" x14ac:dyDescent="0.25">
      <c r="C188" s="4">
        <v>9</v>
      </c>
      <c r="D188" s="5">
        <v>89241105324.706268</v>
      </c>
      <c r="E188" s="5">
        <v>89241105324.706268</v>
      </c>
      <c r="F188" s="5">
        <v>0.23959578157332606</v>
      </c>
      <c r="G188" s="5">
        <v>0</v>
      </c>
      <c r="H188" s="5">
        <v>34400000000</v>
      </c>
      <c r="I188" s="5">
        <v>41220000000</v>
      </c>
      <c r="J188" s="5">
        <v>41220000000</v>
      </c>
      <c r="K188" s="5">
        <v>-7.1854146806482348E-11</v>
      </c>
      <c r="L188" s="5">
        <v>-7.1854146806482348E-11</v>
      </c>
      <c r="M188" s="5">
        <v>0</v>
      </c>
      <c r="N188" s="5">
        <v>2.0000000000000001E-4</v>
      </c>
      <c r="O188" s="5">
        <v>-13.844155844155843</v>
      </c>
      <c r="P188" s="5">
        <v>-13.844155844155843</v>
      </c>
      <c r="Q188" s="5">
        <v>1.3252700000000002E-8</v>
      </c>
      <c r="R188" s="5">
        <v>0</v>
      </c>
      <c r="S188" s="5">
        <v>-6.7000000000000002E-6</v>
      </c>
      <c r="T188" s="5">
        <v>1.3129999999999998E-5</v>
      </c>
      <c r="U188" s="5">
        <v>1.3129999999999998E-5</v>
      </c>
      <c r="V188" s="5">
        <v>0</v>
      </c>
      <c r="W188" s="5">
        <v>0</v>
      </c>
      <c r="X188" s="5">
        <v>2.63</v>
      </c>
      <c r="Y188" s="5">
        <v>4690</v>
      </c>
      <c r="Z188" s="5">
        <v>4.0000000000000002E-4</v>
      </c>
      <c r="AA188" s="5">
        <v>6.0000000000000006E-4</v>
      </c>
      <c r="AB188" s="4">
        <v>2</v>
      </c>
    </row>
    <row r="189" spans="1:28" x14ac:dyDescent="0.25">
      <c r="C189" s="4">
        <v>10</v>
      </c>
      <c r="D189" s="5">
        <v>89241105324.706268</v>
      </c>
      <c r="E189" s="5">
        <v>89241105324.706268</v>
      </c>
      <c r="F189" s="5">
        <v>0.23959578157332606</v>
      </c>
      <c r="G189" s="5">
        <v>0</v>
      </c>
      <c r="H189" s="5">
        <v>34400000000</v>
      </c>
      <c r="I189" s="5">
        <v>41220000000</v>
      </c>
      <c r="J189" s="5">
        <v>41220000000</v>
      </c>
      <c r="K189" s="5">
        <v>-7.1854146806482348E-11</v>
      </c>
      <c r="L189" s="5">
        <v>-7.1854146806482348E-11</v>
      </c>
      <c r="M189" s="5">
        <v>0</v>
      </c>
      <c r="N189" s="5">
        <v>2.0000000000000001E-4</v>
      </c>
      <c r="O189" s="5">
        <v>-13.844155844155843</v>
      </c>
      <c r="P189" s="5">
        <v>-13.844155844155843</v>
      </c>
      <c r="Q189" s="5">
        <v>1.3252700000000002E-8</v>
      </c>
      <c r="R189" s="5">
        <v>0</v>
      </c>
      <c r="S189" s="5">
        <v>-6.7000000000000002E-6</v>
      </c>
      <c r="T189" s="5">
        <v>1.3129999999999998E-5</v>
      </c>
      <c r="U189" s="5">
        <v>1.3129999999999998E-5</v>
      </c>
      <c r="V189" s="5">
        <v>0</v>
      </c>
      <c r="W189" s="5">
        <v>0</v>
      </c>
      <c r="X189" s="5">
        <v>2.63</v>
      </c>
      <c r="Y189" s="5">
        <v>4690</v>
      </c>
      <c r="Z189" s="5">
        <v>6.0000000000000006E-4</v>
      </c>
      <c r="AA189" s="5">
        <v>8.0000000000000004E-4</v>
      </c>
      <c r="AB189" s="4">
        <v>2</v>
      </c>
    </row>
    <row r="190" spans="1:28" x14ac:dyDescent="0.25">
      <c r="C190" s="4">
        <v>11</v>
      </c>
      <c r="D190" s="5">
        <v>89241105324.706268</v>
      </c>
      <c r="E190" s="5">
        <v>89241105324.706268</v>
      </c>
      <c r="F190" s="5">
        <v>0.23959578157332606</v>
      </c>
      <c r="G190" s="5">
        <v>0</v>
      </c>
      <c r="H190" s="5">
        <v>34400000000</v>
      </c>
      <c r="I190" s="5">
        <v>41220000000</v>
      </c>
      <c r="J190" s="5">
        <v>41220000000</v>
      </c>
      <c r="K190" s="5">
        <v>-7.1854146806482348E-11</v>
      </c>
      <c r="L190" s="5">
        <v>-7.1854146806482348E-11</v>
      </c>
      <c r="M190" s="5">
        <v>0</v>
      </c>
      <c r="N190" s="5">
        <v>2.0000000000000001E-4</v>
      </c>
      <c r="O190" s="5">
        <v>-13.844155844155843</v>
      </c>
      <c r="P190" s="5">
        <v>-13.844155844155843</v>
      </c>
      <c r="Q190" s="5">
        <v>1.3252700000000002E-8</v>
      </c>
      <c r="R190" s="5">
        <v>0</v>
      </c>
      <c r="S190" s="5">
        <v>-6.7000000000000002E-6</v>
      </c>
      <c r="T190" s="5">
        <v>1.3129999999999998E-5</v>
      </c>
      <c r="U190" s="5">
        <v>1.3129999999999998E-5</v>
      </c>
      <c r="V190" s="5">
        <v>0</v>
      </c>
      <c r="W190" s="5">
        <v>0</v>
      </c>
      <c r="X190" s="5">
        <v>2.63</v>
      </c>
      <c r="Y190" s="5">
        <v>4690</v>
      </c>
      <c r="Z190" s="5">
        <v>8.0000000000000004E-4</v>
      </c>
      <c r="AA190" s="5">
        <v>1E-3</v>
      </c>
      <c r="AB190" s="4">
        <v>2</v>
      </c>
    </row>
    <row r="191" spans="1:28" x14ac:dyDescent="0.25">
      <c r="B191" t="s">
        <v>14</v>
      </c>
      <c r="C191" s="11">
        <v>12</v>
      </c>
      <c r="D191" s="5">
        <v>89241105324.706268</v>
      </c>
      <c r="E191" s="5">
        <v>89241105324.706268</v>
      </c>
      <c r="F191" s="5">
        <v>0.23959578157332606</v>
      </c>
      <c r="G191" s="5">
        <v>0</v>
      </c>
      <c r="H191" s="5">
        <v>34400000000</v>
      </c>
      <c r="I191" s="5">
        <v>41220000000</v>
      </c>
      <c r="J191" s="5">
        <v>41220000000</v>
      </c>
      <c r="K191" s="5">
        <v>-7.1854146806482348E-11</v>
      </c>
      <c r="L191" s="5">
        <v>-7.1854146806482348E-11</v>
      </c>
      <c r="M191" s="5">
        <v>0</v>
      </c>
      <c r="N191" s="5">
        <v>2.0000000000000001E-4</v>
      </c>
      <c r="O191" s="5">
        <v>-13.844155844155843</v>
      </c>
      <c r="P191" s="5">
        <v>-13.844155844155843</v>
      </c>
      <c r="Q191" s="5">
        <v>1.3252700000000002E-8</v>
      </c>
      <c r="R191" s="5">
        <v>0</v>
      </c>
      <c r="S191" s="5">
        <v>-6.7000000000000002E-6</v>
      </c>
      <c r="T191" s="5">
        <v>1.3129999999999998E-5</v>
      </c>
      <c r="U191" s="5">
        <v>1.3129999999999998E-5</v>
      </c>
      <c r="V191" s="5">
        <v>0</v>
      </c>
      <c r="W191" s="5">
        <v>0</v>
      </c>
      <c r="X191" s="5">
        <v>2.63</v>
      </c>
      <c r="Y191" s="5">
        <v>4690</v>
      </c>
      <c r="Z191" s="5">
        <v>1E-3</v>
      </c>
      <c r="AA191" s="5">
        <v>1.2000000000000001E-3</v>
      </c>
      <c r="AB191" s="4">
        <v>2</v>
      </c>
    </row>
    <row r="192" spans="1:28" x14ac:dyDescent="0.25">
      <c r="C192" s="11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4"/>
    </row>
    <row r="193" spans="1:28" x14ac:dyDescent="0.25">
      <c r="C193" s="11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4"/>
    </row>
    <row r="194" spans="1:28" x14ac:dyDescent="0.25">
      <c r="A194" s="15" t="s">
        <v>235</v>
      </c>
      <c r="C194" s="10" t="s">
        <v>27</v>
      </c>
      <c r="D194" s="10" t="s">
        <v>28</v>
      </c>
      <c r="E194" s="10" t="s">
        <v>29</v>
      </c>
      <c r="F194" s="10" t="s">
        <v>30</v>
      </c>
      <c r="G194" s="10" t="s">
        <v>31</v>
      </c>
      <c r="H194" s="10" t="s">
        <v>47</v>
      </c>
      <c r="I194" s="10" t="s">
        <v>32</v>
      </c>
      <c r="J194" s="10" t="s">
        <v>33</v>
      </c>
      <c r="K194" s="10" t="s">
        <v>34</v>
      </c>
      <c r="L194" s="10" t="s">
        <v>35</v>
      </c>
      <c r="M194" s="10" t="s">
        <v>36</v>
      </c>
      <c r="N194" s="10" t="s">
        <v>37</v>
      </c>
      <c r="O194" s="10" t="s">
        <v>38</v>
      </c>
      <c r="P194" s="10" t="s">
        <v>39</v>
      </c>
      <c r="Q194" s="10" t="s">
        <v>40</v>
      </c>
      <c r="R194" s="10" t="s">
        <v>41</v>
      </c>
      <c r="S194" s="10" t="s">
        <v>42</v>
      </c>
      <c r="T194" s="10" t="s">
        <v>48</v>
      </c>
      <c r="U194" s="10" t="s">
        <v>77</v>
      </c>
      <c r="V194" s="10" t="s">
        <v>78</v>
      </c>
      <c r="W194" s="10" t="s">
        <v>79</v>
      </c>
      <c r="X194" s="10" t="s">
        <v>49</v>
      </c>
      <c r="Y194" s="10" t="s">
        <v>43</v>
      </c>
      <c r="Z194" s="10" t="s">
        <v>44</v>
      </c>
      <c r="AA194" s="10" t="s">
        <v>45</v>
      </c>
      <c r="AB194" s="10" t="s">
        <v>46</v>
      </c>
    </row>
    <row r="195" spans="1:28" x14ac:dyDescent="0.25">
      <c r="A195" s="12" t="s">
        <v>236</v>
      </c>
      <c r="B195" t="s">
        <v>183</v>
      </c>
      <c r="C195" s="11">
        <v>1</v>
      </c>
      <c r="D195" s="5">
        <v>127480571108.78549</v>
      </c>
      <c r="E195" s="5">
        <v>127480571108.78549</v>
      </c>
      <c r="F195" s="5">
        <v>0.30038537068435578</v>
      </c>
      <c r="G195" s="5">
        <v>0</v>
      </c>
      <c r="H195" s="5">
        <v>46400000000</v>
      </c>
      <c r="I195" s="5">
        <v>41820000000</v>
      </c>
      <c r="J195" s="5">
        <v>41820000000</v>
      </c>
      <c r="K195" s="5">
        <v>7.98379408960915E-12</v>
      </c>
      <c r="L195" s="5">
        <v>7.98379408960915E-12</v>
      </c>
      <c r="M195" s="5">
        <v>0</v>
      </c>
      <c r="N195" s="5">
        <v>2.0000000000000001E-4</v>
      </c>
      <c r="O195" s="5">
        <v>124.59740259740258</v>
      </c>
      <c r="P195" s="5">
        <v>124.59740259740258</v>
      </c>
      <c r="Q195" s="5">
        <v>-1.3898555555555557E-9</v>
      </c>
      <c r="R195" s="5">
        <v>0</v>
      </c>
      <c r="S195" s="5">
        <v>1.403E-4</v>
      </c>
      <c r="T195" s="5">
        <v>7.43E-6</v>
      </c>
      <c r="U195" s="5">
        <v>7.43E-6</v>
      </c>
      <c r="V195" s="5">
        <v>0</v>
      </c>
      <c r="W195" s="5">
        <v>0</v>
      </c>
      <c r="X195" s="5">
        <v>1.93</v>
      </c>
      <c r="Y195" s="5">
        <v>4190</v>
      </c>
      <c r="Z195" s="5">
        <v>-1.1999999999999999E-3</v>
      </c>
      <c r="AA195" s="5">
        <v>-1E-3</v>
      </c>
      <c r="AB195" s="4">
        <v>2</v>
      </c>
    </row>
    <row r="196" spans="1:28" x14ac:dyDescent="0.25">
      <c r="C196" s="4">
        <v>2</v>
      </c>
      <c r="D196" s="5">
        <v>127480571108.78549</v>
      </c>
      <c r="E196" s="5">
        <v>127480571108.78549</v>
      </c>
      <c r="F196" s="5">
        <v>0.30038537068435578</v>
      </c>
      <c r="G196" s="5">
        <v>0</v>
      </c>
      <c r="H196" s="5">
        <v>46400000000</v>
      </c>
      <c r="I196" s="5">
        <v>41820000000</v>
      </c>
      <c r="J196" s="5">
        <v>41820000000</v>
      </c>
      <c r="K196" s="5">
        <v>7.98379408960915E-12</v>
      </c>
      <c r="L196" s="5">
        <v>7.98379408960915E-12</v>
      </c>
      <c r="M196" s="5">
        <v>0</v>
      </c>
      <c r="N196" s="5">
        <v>2.0000000000000001E-4</v>
      </c>
      <c r="O196" s="5">
        <v>124.59740259740258</v>
      </c>
      <c r="P196" s="5">
        <v>124.59740259740258</v>
      </c>
      <c r="Q196" s="5">
        <v>-1.3898555555555557E-9</v>
      </c>
      <c r="R196" s="5">
        <v>0</v>
      </c>
      <c r="S196" s="5">
        <v>1.403E-4</v>
      </c>
      <c r="T196" s="5">
        <v>7.43E-6</v>
      </c>
      <c r="U196" s="5">
        <v>7.43E-6</v>
      </c>
      <c r="V196" s="5">
        <v>0</v>
      </c>
      <c r="W196" s="5">
        <v>0</v>
      </c>
      <c r="X196" s="5">
        <v>1.93</v>
      </c>
      <c r="Y196" s="5">
        <v>4190</v>
      </c>
      <c r="Z196" s="5">
        <f t="shared" ref="Z196:AA196" si="41">Z195+0.0002</f>
        <v>-9.999999999999998E-4</v>
      </c>
      <c r="AA196" s="5">
        <f t="shared" si="41"/>
        <v>-8.0000000000000004E-4</v>
      </c>
      <c r="AB196" s="4">
        <v>2</v>
      </c>
    </row>
    <row r="197" spans="1:28" x14ac:dyDescent="0.25">
      <c r="C197" s="4">
        <v>3</v>
      </c>
      <c r="D197" s="5">
        <v>127480571108.78549</v>
      </c>
      <c r="E197" s="5">
        <v>127480571108.78549</v>
      </c>
      <c r="F197" s="5">
        <v>0.30038537068435578</v>
      </c>
      <c r="G197" s="5">
        <v>0</v>
      </c>
      <c r="H197" s="5">
        <v>46400000000</v>
      </c>
      <c r="I197" s="5">
        <v>41820000000</v>
      </c>
      <c r="J197" s="5">
        <v>41820000000</v>
      </c>
      <c r="K197" s="5">
        <v>7.98379408960915E-12</v>
      </c>
      <c r="L197" s="5">
        <v>7.98379408960915E-12</v>
      </c>
      <c r="M197" s="5">
        <v>0</v>
      </c>
      <c r="N197" s="5">
        <v>2.0000000000000001E-4</v>
      </c>
      <c r="O197" s="5">
        <v>124.59740259740258</v>
      </c>
      <c r="P197" s="5">
        <v>124.59740259740258</v>
      </c>
      <c r="Q197" s="5">
        <v>-1.3898555555555557E-9</v>
      </c>
      <c r="R197" s="5">
        <v>0</v>
      </c>
      <c r="S197" s="5">
        <v>1.403E-4</v>
      </c>
      <c r="T197" s="5">
        <v>7.43E-6</v>
      </c>
      <c r="U197" s="5">
        <v>7.43E-6</v>
      </c>
      <c r="V197" s="5">
        <v>0</v>
      </c>
      <c r="W197" s="5">
        <v>0</v>
      </c>
      <c r="X197" s="5">
        <v>1.93</v>
      </c>
      <c r="Y197" s="5">
        <v>4190</v>
      </c>
      <c r="Z197" s="5">
        <f t="shared" ref="Z197:AA197" si="42">Z196+0.0002</f>
        <v>-7.9999999999999982E-4</v>
      </c>
      <c r="AA197" s="5">
        <f t="shared" si="42"/>
        <v>-6.0000000000000006E-4</v>
      </c>
      <c r="AB197" s="4">
        <v>2</v>
      </c>
    </row>
    <row r="198" spans="1:28" x14ac:dyDescent="0.25">
      <c r="C198" s="4">
        <v>4</v>
      </c>
      <c r="D198" s="5">
        <v>127480571108.78549</v>
      </c>
      <c r="E198" s="5">
        <v>127480571108.78549</v>
      </c>
      <c r="F198" s="5">
        <v>0.30038537068435578</v>
      </c>
      <c r="G198" s="5">
        <v>0</v>
      </c>
      <c r="H198" s="5">
        <v>46400000000</v>
      </c>
      <c r="I198" s="5">
        <v>41820000000</v>
      </c>
      <c r="J198" s="5">
        <v>41820000000</v>
      </c>
      <c r="K198" s="5">
        <v>7.98379408960915E-12</v>
      </c>
      <c r="L198" s="5">
        <v>7.98379408960915E-12</v>
      </c>
      <c r="M198" s="5">
        <v>0</v>
      </c>
      <c r="N198" s="5">
        <v>2.0000000000000001E-4</v>
      </c>
      <c r="O198" s="5">
        <v>124.59740259740258</v>
      </c>
      <c r="P198" s="5">
        <v>124.59740259740258</v>
      </c>
      <c r="Q198" s="5">
        <v>-1.3898555555555557E-9</v>
      </c>
      <c r="R198" s="5">
        <v>0</v>
      </c>
      <c r="S198" s="5">
        <v>1.403E-4</v>
      </c>
      <c r="T198" s="5">
        <v>7.43E-6</v>
      </c>
      <c r="U198" s="5">
        <v>7.43E-6</v>
      </c>
      <c r="V198" s="5">
        <v>0</v>
      </c>
      <c r="W198" s="5">
        <v>0</v>
      </c>
      <c r="X198" s="5">
        <v>1.93</v>
      </c>
      <c r="Y198" s="5">
        <v>4190</v>
      </c>
      <c r="Z198" s="5">
        <f t="shared" ref="Z198:AA198" si="43">Z197+0.0002</f>
        <v>-5.9999999999999984E-4</v>
      </c>
      <c r="AA198" s="5">
        <f t="shared" si="43"/>
        <v>-4.0000000000000007E-4</v>
      </c>
      <c r="AB198" s="4">
        <v>2</v>
      </c>
    </row>
    <row r="199" spans="1:28" x14ac:dyDescent="0.25">
      <c r="C199" s="4">
        <v>5</v>
      </c>
      <c r="D199" s="5">
        <v>127480571108.78549</v>
      </c>
      <c r="E199" s="5">
        <v>127480571108.78549</v>
      </c>
      <c r="F199" s="5">
        <v>0.30038537068435578</v>
      </c>
      <c r="G199" s="5">
        <v>0</v>
      </c>
      <c r="H199" s="5">
        <v>46400000000</v>
      </c>
      <c r="I199" s="5">
        <v>41820000000</v>
      </c>
      <c r="J199" s="5">
        <v>41820000000</v>
      </c>
      <c r="K199" s="5">
        <v>7.98379408960915E-12</v>
      </c>
      <c r="L199" s="5">
        <v>7.98379408960915E-12</v>
      </c>
      <c r="M199" s="5">
        <v>0</v>
      </c>
      <c r="N199" s="5">
        <v>2.0000000000000001E-4</v>
      </c>
      <c r="O199" s="5">
        <v>124.59740259740258</v>
      </c>
      <c r="P199" s="5">
        <v>124.59740259740258</v>
      </c>
      <c r="Q199" s="5">
        <v>-1.3898555555555557E-9</v>
      </c>
      <c r="R199" s="5">
        <v>0</v>
      </c>
      <c r="S199" s="5">
        <v>1.403E-4</v>
      </c>
      <c r="T199" s="5">
        <v>7.43E-6</v>
      </c>
      <c r="U199" s="5">
        <v>7.43E-6</v>
      </c>
      <c r="V199" s="5">
        <v>0</v>
      </c>
      <c r="W199" s="5">
        <v>0</v>
      </c>
      <c r="X199" s="5">
        <v>1.93</v>
      </c>
      <c r="Y199" s="5">
        <v>4190</v>
      </c>
      <c r="Z199" s="5">
        <f t="shared" ref="Z199:AA199" si="44">Z198+0.0002</f>
        <v>-3.9999999999999986E-4</v>
      </c>
      <c r="AA199" s="5">
        <f t="shared" si="44"/>
        <v>-2.0000000000000006E-4</v>
      </c>
      <c r="AB199" s="4">
        <v>2</v>
      </c>
    </row>
    <row r="200" spans="1:28" x14ac:dyDescent="0.25">
      <c r="C200" s="4">
        <v>6</v>
      </c>
      <c r="D200" s="5">
        <v>127480571108.78549</v>
      </c>
      <c r="E200" s="5">
        <v>127480571108.78549</v>
      </c>
      <c r="F200" s="5">
        <v>0.30038537068435578</v>
      </c>
      <c r="G200" s="5">
        <v>0</v>
      </c>
      <c r="H200" s="5">
        <v>46400000000</v>
      </c>
      <c r="I200" s="5">
        <v>41820000000</v>
      </c>
      <c r="J200" s="5">
        <v>41820000000</v>
      </c>
      <c r="K200" s="5">
        <v>7.98379408960915E-12</v>
      </c>
      <c r="L200" s="5">
        <v>7.98379408960915E-12</v>
      </c>
      <c r="M200" s="5">
        <v>0</v>
      </c>
      <c r="N200" s="5">
        <v>2.0000000000000001E-4</v>
      </c>
      <c r="O200" s="5">
        <v>124.59740259740258</v>
      </c>
      <c r="P200" s="5">
        <v>124.59740259740258</v>
      </c>
      <c r="Q200" s="5">
        <v>-1.3898555555555557E-9</v>
      </c>
      <c r="R200" s="5">
        <v>0</v>
      </c>
      <c r="S200" s="5">
        <v>1.403E-4</v>
      </c>
      <c r="T200" s="5">
        <v>7.43E-6</v>
      </c>
      <c r="U200" s="5">
        <v>7.43E-6</v>
      </c>
      <c r="V200" s="5">
        <v>0</v>
      </c>
      <c r="W200" s="5">
        <v>0</v>
      </c>
      <c r="X200" s="5">
        <v>1.93</v>
      </c>
      <c r="Y200" s="5">
        <v>4190</v>
      </c>
      <c r="Z200" s="5">
        <f t="shared" ref="Z200:AA200" si="45">Z199+0.0002</f>
        <v>-1.9999999999999985E-4</v>
      </c>
      <c r="AA200" s="5">
        <f t="shared" si="45"/>
        <v>0</v>
      </c>
      <c r="AB200" s="4">
        <v>2</v>
      </c>
    </row>
    <row r="201" spans="1:28" x14ac:dyDescent="0.25">
      <c r="C201" s="4">
        <v>7</v>
      </c>
      <c r="D201" s="5">
        <v>127480571108.78549</v>
      </c>
      <c r="E201" s="5">
        <v>127480571108.78549</v>
      </c>
      <c r="F201" s="5">
        <v>0.30038537068435578</v>
      </c>
      <c r="G201" s="5">
        <v>0</v>
      </c>
      <c r="H201" s="5">
        <v>46400000000</v>
      </c>
      <c r="I201" s="5">
        <v>41820000000</v>
      </c>
      <c r="J201" s="5">
        <v>41820000000</v>
      </c>
      <c r="K201" s="5">
        <v>7.98379408960915E-12</v>
      </c>
      <c r="L201" s="5">
        <v>7.98379408960915E-12</v>
      </c>
      <c r="M201" s="5">
        <v>0</v>
      </c>
      <c r="N201" s="5">
        <v>2.0000000000000001E-4</v>
      </c>
      <c r="O201" s="5">
        <v>124.59740259740258</v>
      </c>
      <c r="P201" s="5">
        <v>124.59740259740258</v>
      </c>
      <c r="Q201" s="5">
        <v>-1.3898555555555557E-9</v>
      </c>
      <c r="R201" s="5">
        <v>0</v>
      </c>
      <c r="S201" s="5">
        <v>1.403E-4</v>
      </c>
      <c r="T201" s="5">
        <v>7.43E-6</v>
      </c>
      <c r="U201" s="5">
        <v>7.43E-6</v>
      </c>
      <c r="V201" s="5">
        <v>0</v>
      </c>
      <c r="W201" s="5">
        <v>0</v>
      </c>
      <c r="X201" s="5">
        <v>1.93</v>
      </c>
      <c r="Y201" s="5">
        <v>4190</v>
      </c>
      <c r="Z201" s="5">
        <f t="shared" ref="Z201:AA201" si="46">Z200+0.0002</f>
        <v>0</v>
      </c>
      <c r="AA201" s="5">
        <f t="shared" si="46"/>
        <v>2.0000000000000001E-4</v>
      </c>
      <c r="AB201" s="4">
        <v>2</v>
      </c>
    </row>
    <row r="202" spans="1:28" x14ac:dyDescent="0.25">
      <c r="C202" s="4">
        <v>8</v>
      </c>
      <c r="D202" s="5">
        <v>127480571108.78549</v>
      </c>
      <c r="E202" s="5">
        <v>127480571108.78549</v>
      </c>
      <c r="F202" s="5">
        <v>0.30038537068435578</v>
      </c>
      <c r="G202" s="5">
        <v>0</v>
      </c>
      <c r="H202" s="5">
        <v>46400000000</v>
      </c>
      <c r="I202" s="5">
        <v>41820000000</v>
      </c>
      <c r="J202" s="5">
        <v>41820000000</v>
      </c>
      <c r="K202" s="5">
        <v>7.98379408960915E-12</v>
      </c>
      <c r="L202" s="5">
        <v>7.98379408960915E-12</v>
      </c>
      <c r="M202" s="5">
        <v>0</v>
      </c>
      <c r="N202" s="5">
        <v>2.0000000000000001E-4</v>
      </c>
      <c r="O202" s="5">
        <v>124.59740259740258</v>
      </c>
      <c r="P202" s="5">
        <v>124.59740259740258</v>
      </c>
      <c r="Q202" s="5">
        <v>-1.3898555555555557E-9</v>
      </c>
      <c r="R202" s="5">
        <v>0</v>
      </c>
      <c r="S202" s="5">
        <v>1.403E-4</v>
      </c>
      <c r="T202" s="5">
        <v>7.43E-6</v>
      </c>
      <c r="U202" s="5">
        <v>7.43E-6</v>
      </c>
      <c r="V202" s="5">
        <v>0</v>
      </c>
      <c r="W202" s="5">
        <v>0</v>
      </c>
      <c r="X202" s="5">
        <v>1.93</v>
      </c>
      <c r="Y202" s="5">
        <v>4190</v>
      </c>
      <c r="Z202" s="5">
        <f t="shared" ref="Z202:AA202" si="47">Z201+0.0002</f>
        <v>2.0000000000000001E-4</v>
      </c>
      <c r="AA202" s="5">
        <f t="shared" si="47"/>
        <v>4.0000000000000002E-4</v>
      </c>
      <c r="AB202" s="4">
        <v>2</v>
      </c>
    </row>
    <row r="203" spans="1:28" x14ac:dyDescent="0.25">
      <c r="C203" s="4">
        <v>9</v>
      </c>
      <c r="D203" s="5">
        <v>127480571108.78549</v>
      </c>
      <c r="E203" s="5">
        <v>127480571108.78549</v>
      </c>
      <c r="F203" s="5">
        <v>0.30038537068435578</v>
      </c>
      <c r="G203" s="5">
        <v>0</v>
      </c>
      <c r="H203" s="5">
        <v>46400000000</v>
      </c>
      <c r="I203" s="5">
        <v>41820000000</v>
      </c>
      <c r="J203" s="5">
        <v>41820000000</v>
      </c>
      <c r="K203" s="5">
        <v>7.98379408960915E-12</v>
      </c>
      <c r="L203" s="5">
        <v>7.98379408960915E-12</v>
      </c>
      <c r="M203" s="5">
        <v>0</v>
      </c>
      <c r="N203" s="5">
        <v>2.0000000000000001E-4</v>
      </c>
      <c r="O203" s="5">
        <v>124.59740259740258</v>
      </c>
      <c r="P203" s="5">
        <v>124.59740259740258</v>
      </c>
      <c r="Q203" s="5">
        <v>-1.3898555555555557E-9</v>
      </c>
      <c r="R203" s="5">
        <v>0</v>
      </c>
      <c r="S203" s="5">
        <v>1.403E-4</v>
      </c>
      <c r="T203" s="5">
        <v>7.43E-6</v>
      </c>
      <c r="U203" s="5">
        <v>7.43E-6</v>
      </c>
      <c r="V203" s="5">
        <v>0</v>
      </c>
      <c r="W203" s="5">
        <v>0</v>
      </c>
      <c r="X203" s="5">
        <v>1.93</v>
      </c>
      <c r="Y203" s="5">
        <v>4190</v>
      </c>
      <c r="Z203" s="5">
        <f t="shared" ref="Z203:AA203" si="48">Z202+0.0002</f>
        <v>4.0000000000000002E-4</v>
      </c>
      <c r="AA203" s="5">
        <f t="shared" si="48"/>
        <v>6.0000000000000006E-4</v>
      </c>
      <c r="AB203" s="4">
        <v>2</v>
      </c>
    </row>
    <row r="204" spans="1:28" x14ac:dyDescent="0.25">
      <c r="C204" s="4">
        <v>10</v>
      </c>
      <c r="D204" s="5">
        <v>127480571108.78549</v>
      </c>
      <c r="E204" s="5">
        <v>127480571108.78549</v>
      </c>
      <c r="F204" s="5">
        <v>0.30038537068435578</v>
      </c>
      <c r="G204" s="5">
        <v>0</v>
      </c>
      <c r="H204" s="5">
        <v>46400000000</v>
      </c>
      <c r="I204" s="5">
        <v>41820000000</v>
      </c>
      <c r="J204" s="5">
        <v>41820000000</v>
      </c>
      <c r="K204" s="5">
        <v>7.98379408960915E-12</v>
      </c>
      <c r="L204" s="5">
        <v>7.98379408960915E-12</v>
      </c>
      <c r="M204" s="5">
        <v>0</v>
      </c>
      <c r="N204" s="5">
        <v>2.0000000000000001E-4</v>
      </c>
      <c r="O204" s="5">
        <v>124.59740259740258</v>
      </c>
      <c r="P204" s="5">
        <v>124.59740259740258</v>
      </c>
      <c r="Q204" s="5">
        <v>-1.3898555555555557E-9</v>
      </c>
      <c r="R204" s="5">
        <v>0</v>
      </c>
      <c r="S204" s="5">
        <v>1.403E-4</v>
      </c>
      <c r="T204" s="5">
        <v>7.43E-6</v>
      </c>
      <c r="U204" s="5">
        <v>7.43E-6</v>
      </c>
      <c r="V204" s="5">
        <v>0</v>
      </c>
      <c r="W204" s="5">
        <v>0</v>
      </c>
      <c r="X204" s="5">
        <v>1.93</v>
      </c>
      <c r="Y204" s="5">
        <v>4190</v>
      </c>
      <c r="Z204" s="5">
        <f t="shared" ref="Z204:AA204" si="49">Z203+0.0002</f>
        <v>6.0000000000000006E-4</v>
      </c>
      <c r="AA204" s="5">
        <f t="shared" si="49"/>
        <v>8.0000000000000004E-4</v>
      </c>
      <c r="AB204" s="4">
        <v>2</v>
      </c>
    </row>
    <row r="205" spans="1:28" x14ac:dyDescent="0.25">
      <c r="C205" s="4">
        <v>11</v>
      </c>
      <c r="D205" s="5">
        <v>127480571108.78549</v>
      </c>
      <c r="E205" s="5">
        <v>127480571108.78549</v>
      </c>
      <c r="F205" s="5">
        <v>0.30038537068435578</v>
      </c>
      <c r="G205" s="5">
        <v>0</v>
      </c>
      <c r="H205" s="5">
        <v>46400000000</v>
      </c>
      <c r="I205" s="5">
        <v>41820000000</v>
      </c>
      <c r="J205" s="5">
        <v>41820000000</v>
      </c>
      <c r="K205" s="5">
        <v>7.98379408960915E-12</v>
      </c>
      <c r="L205" s="5">
        <v>7.98379408960915E-12</v>
      </c>
      <c r="M205" s="5">
        <v>0</v>
      </c>
      <c r="N205" s="5">
        <v>2.0000000000000001E-4</v>
      </c>
      <c r="O205" s="5">
        <v>124.59740259740258</v>
      </c>
      <c r="P205" s="5">
        <v>124.59740259740258</v>
      </c>
      <c r="Q205" s="5">
        <v>-1.3898555555555557E-9</v>
      </c>
      <c r="R205" s="5">
        <v>0</v>
      </c>
      <c r="S205" s="5">
        <v>1.403E-4</v>
      </c>
      <c r="T205" s="5">
        <v>7.43E-6</v>
      </c>
      <c r="U205" s="5">
        <v>7.43E-6</v>
      </c>
      <c r="V205" s="5">
        <v>0</v>
      </c>
      <c r="W205" s="5">
        <v>0</v>
      </c>
      <c r="X205" s="5">
        <v>1.93</v>
      </c>
      <c r="Y205" s="5">
        <v>4190</v>
      </c>
      <c r="Z205" s="5">
        <f t="shared" ref="Z205:AA205" si="50">Z204+0.0002</f>
        <v>8.0000000000000004E-4</v>
      </c>
      <c r="AA205" s="5">
        <f t="shared" si="50"/>
        <v>1E-3</v>
      </c>
      <c r="AB205" s="4">
        <v>2</v>
      </c>
    </row>
    <row r="206" spans="1:28" x14ac:dyDescent="0.25">
      <c r="B206" t="s">
        <v>14</v>
      </c>
      <c r="C206" s="11">
        <v>12</v>
      </c>
      <c r="D206" s="5">
        <v>127480571108.78551</v>
      </c>
      <c r="E206" s="5">
        <v>127480571108.78551</v>
      </c>
      <c r="F206" s="5">
        <v>0.30038537068435578</v>
      </c>
      <c r="G206" s="5">
        <v>0</v>
      </c>
      <c r="H206" s="5">
        <v>46400000000</v>
      </c>
      <c r="I206" s="5">
        <v>41820000000</v>
      </c>
      <c r="J206" s="5">
        <v>41820000000</v>
      </c>
      <c r="K206" s="5">
        <v>7.98379408960915E-12</v>
      </c>
      <c r="L206" s="5">
        <v>7.98379408960915E-12</v>
      </c>
      <c r="M206" s="5">
        <v>0</v>
      </c>
      <c r="N206" s="5">
        <v>2.0000000000000001E-4</v>
      </c>
      <c r="O206" s="5">
        <v>124.59740259740258</v>
      </c>
      <c r="P206" s="5">
        <v>124.59740259740258</v>
      </c>
      <c r="Q206" s="5">
        <v>-1.3898555555555557E-9</v>
      </c>
      <c r="R206" s="5">
        <v>0</v>
      </c>
      <c r="S206" s="5">
        <v>1.403E-4</v>
      </c>
      <c r="T206" s="5">
        <v>7.43E-6</v>
      </c>
      <c r="U206" s="5">
        <v>7.43E-6</v>
      </c>
      <c r="V206" s="5">
        <v>0</v>
      </c>
      <c r="W206" s="5">
        <v>0</v>
      </c>
      <c r="X206" s="5">
        <v>1.93</v>
      </c>
      <c r="Y206" s="5">
        <v>4190</v>
      </c>
      <c r="Z206" s="5">
        <f t="shared" ref="Z206:AA206" si="51">Z205+0.0002</f>
        <v>1E-3</v>
      </c>
      <c r="AA206" s="5">
        <f t="shared" si="51"/>
        <v>1.2000000000000001E-3</v>
      </c>
      <c r="AB206" s="4">
        <v>2</v>
      </c>
    </row>
    <row r="207" spans="1:28" x14ac:dyDescent="0.25">
      <c r="A207" t="s">
        <v>254</v>
      </c>
      <c r="G207" t="s">
        <v>254</v>
      </c>
      <c r="J207" s="1"/>
      <c r="N207" t="s">
        <v>254</v>
      </c>
      <c r="U207" t="s">
        <v>254</v>
      </c>
      <c r="AB207" s="4"/>
    </row>
    <row r="208" spans="1:28" x14ac:dyDescent="0.25">
      <c r="A208" s="15" t="s">
        <v>74</v>
      </c>
      <c r="C208" s="10" t="s">
        <v>27</v>
      </c>
      <c r="D208" s="10" t="s">
        <v>28</v>
      </c>
      <c r="E208" s="10" t="s">
        <v>29</v>
      </c>
      <c r="F208" s="10" t="s">
        <v>30</v>
      </c>
      <c r="G208" s="10" t="s">
        <v>31</v>
      </c>
      <c r="H208" s="10" t="s">
        <v>75</v>
      </c>
      <c r="I208" s="10" t="s">
        <v>32</v>
      </c>
      <c r="J208" s="10" t="s">
        <v>33</v>
      </c>
      <c r="K208" s="10" t="s">
        <v>34</v>
      </c>
      <c r="L208" s="10" t="s">
        <v>35</v>
      </c>
      <c r="M208" s="10" t="s">
        <v>36</v>
      </c>
      <c r="N208" s="10" t="s">
        <v>37</v>
      </c>
      <c r="O208" s="10" t="s">
        <v>38</v>
      </c>
      <c r="P208" s="10" t="s">
        <v>39</v>
      </c>
      <c r="Q208" s="10" t="s">
        <v>40</v>
      </c>
      <c r="R208" s="10" t="s">
        <v>41</v>
      </c>
      <c r="S208" s="10" t="s">
        <v>42</v>
      </c>
      <c r="T208" s="10" t="s">
        <v>76</v>
      </c>
      <c r="U208" s="10" t="s">
        <v>77</v>
      </c>
      <c r="V208" s="10" t="s">
        <v>78</v>
      </c>
      <c r="W208" s="10" t="s">
        <v>79</v>
      </c>
      <c r="X208" s="10" t="s">
        <v>80</v>
      </c>
      <c r="Y208" s="10" t="s">
        <v>43</v>
      </c>
      <c r="Z208" s="10" t="s">
        <v>44</v>
      </c>
      <c r="AA208" s="10" t="s">
        <v>45</v>
      </c>
      <c r="AB208" s="10" t="s">
        <v>46</v>
      </c>
    </row>
    <row r="209" spans="1:28" x14ac:dyDescent="0.25">
      <c r="A209" s="12" t="s">
        <v>81</v>
      </c>
      <c r="B209" t="s">
        <v>183</v>
      </c>
      <c r="C209" s="11">
        <v>1</v>
      </c>
      <c r="D209" s="5">
        <v>134318703749.23846</v>
      </c>
      <c r="E209" s="5">
        <v>134318703749.23846</v>
      </c>
      <c r="F209" s="5">
        <v>0.33568812367958406</v>
      </c>
      <c r="G209" s="5">
        <v>0</v>
      </c>
      <c r="H209" s="5">
        <v>50144656953.70713</v>
      </c>
      <c r="I209" s="5">
        <v>51882232847.685356</v>
      </c>
      <c r="J209" s="5">
        <v>51882232847.685356</v>
      </c>
      <c r="K209" s="5">
        <v>-4.2283125208693025E-11</v>
      </c>
      <c r="L209" s="5">
        <v>-4.2283125208693025E-11</v>
      </c>
      <c r="M209" s="5">
        <v>0</v>
      </c>
      <c r="N209" s="5">
        <v>2.0000000000000001E-4</v>
      </c>
      <c r="O209" s="5">
        <v>65.121258794932885</v>
      </c>
      <c r="P209" s="5">
        <v>65.121258794932885</v>
      </c>
      <c r="Q209" s="5">
        <v>7.8478719691630864E-9</v>
      </c>
      <c r="R209" s="5">
        <v>0</v>
      </c>
      <c r="S209" s="5">
        <v>7.914704768291234E-5</v>
      </c>
      <c r="T209" s="5">
        <v>1.3018787946989112E-5</v>
      </c>
      <c r="U209" s="5">
        <v>1.3018787946989112E-5</v>
      </c>
      <c r="V209" s="5">
        <v>0</v>
      </c>
      <c r="W209" s="5">
        <v>0</v>
      </c>
      <c r="X209" s="5">
        <v>2.8707283443670844</v>
      </c>
      <c r="Y209" s="5">
        <v>5564.8059602622034</v>
      </c>
      <c r="Z209" s="5">
        <v>-1.1999999999999999E-3</v>
      </c>
      <c r="AA209" s="5">
        <v>-1E-3</v>
      </c>
      <c r="AB209" s="4">
        <v>2</v>
      </c>
    </row>
    <row r="210" spans="1:28" x14ac:dyDescent="0.25">
      <c r="C210" s="4">
        <v>2</v>
      </c>
      <c r="D210" s="5">
        <v>129342141860.06099</v>
      </c>
      <c r="E210" s="5">
        <v>129342141860.06099</v>
      </c>
      <c r="F210" s="5">
        <v>0.3277768428542473</v>
      </c>
      <c r="G210" s="5">
        <v>0</v>
      </c>
      <c r="H210" s="5">
        <v>48582952535.362633</v>
      </c>
      <c r="I210" s="5">
        <v>51804147626.768135</v>
      </c>
      <c r="J210" s="5">
        <v>51804147626.768135</v>
      </c>
      <c r="K210" s="5">
        <v>-5.2673397296105747E-11</v>
      </c>
      <c r="L210" s="5">
        <v>-5.2673397296105747E-11</v>
      </c>
      <c r="M210" s="5">
        <v>0</v>
      </c>
      <c r="N210" s="5">
        <v>2.0000000000000001E-4</v>
      </c>
      <c r="O210" s="5">
        <v>47.104192669876269</v>
      </c>
      <c r="P210" s="5">
        <v>47.104192669876269</v>
      </c>
      <c r="Q210" s="5">
        <v>9.7534839447435742E-9</v>
      </c>
      <c r="R210" s="5">
        <v>0</v>
      </c>
      <c r="S210" s="5">
        <v>6.0016168558192268E-5</v>
      </c>
      <c r="T210" s="5">
        <v>1.3760597545702748E-5</v>
      </c>
      <c r="U210" s="5">
        <v>1.3760597545702748E-5</v>
      </c>
      <c r="V210" s="5">
        <v>0</v>
      </c>
      <c r="W210" s="5">
        <v>0</v>
      </c>
      <c r="X210" s="5">
        <v>2.961827768770513</v>
      </c>
      <c r="Y210" s="5">
        <v>5629.8769776932231</v>
      </c>
      <c r="Z210" s="5">
        <f t="shared" ref="Z210:AA210" si="52">Z209+0.0002</f>
        <v>-9.999999999999998E-4</v>
      </c>
      <c r="AA210" s="5">
        <f t="shared" si="52"/>
        <v>-8.0000000000000004E-4</v>
      </c>
      <c r="AB210" s="4">
        <v>2</v>
      </c>
    </row>
    <row r="211" spans="1:28" x14ac:dyDescent="0.25">
      <c r="C211" s="4">
        <v>3</v>
      </c>
      <c r="D211" s="5">
        <v>126628389438.89993</v>
      </c>
      <c r="E211" s="5">
        <v>126628389438.89993</v>
      </c>
      <c r="F211" s="5">
        <v>0.32346276860533019</v>
      </c>
      <c r="G211" s="5">
        <v>0</v>
      </c>
      <c r="H211" s="5">
        <v>47731344690.268448</v>
      </c>
      <c r="I211" s="5">
        <v>51761567234.51342</v>
      </c>
      <c r="J211" s="5">
        <v>51761567234.51342</v>
      </c>
      <c r="K211" s="5">
        <v>-5.8339282029712213E-11</v>
      </c>
      <c r="L211" s="5">
        <v>-5.8339282029712213E-11</v>
      </c>
      <c r="M211" s="5">
        <v>0</v>
      </c>
      <c r="N211" s="5">
        <v>2.0000000000000001E-4</v>
      </c>
      <c r="O211" s="5">
        <v>37.279366231884893</v>
      </c>
      <c r="P211" s="5">
        <v>37.279366231884893</v>
      </c>
      <c r="Q211" s="5">
        <v>1.0792626876688457E-8</v>
      </c>
      <c r="R211" s="5">
        <v>0</v>
      </c>
      <c r="S211" s="5">
        <v>4.9583972455788478E-5</v>
      </c>
      <c r="T211" s="5">
        <v>1.4165111272122486E-5</v>
      </c>
      <c r="U211" s="5">
        <v>1.4165111272122486E-5</v>
      </c>
      <c r="V211" s="5">
        <v>0</v>
      </c>
      <c r="W211" s="5">
        <v>0</v>
      </c>
      <c r="X211" s="5">
        <v>3.011504893067674</v>
      </c>
      <c r="Y211" s="5">
        <v>5665.3606379054818</v>
      </c>
      <c r="Z211" s="5">
        <f t="shared" ref="Z211:AA211" si="53">Z210+0.0002</f>
        <v>-7.9999999999999982E-4</v>
      </c>
      <c r="AA211" s="5">
        <f t="shared" si="53"/>
        <v>-6.0000000000000006E-4</v>
      </c>
      <c r="AB211" s="4">
        <v>2</v>
      </c>
    </row>
    <row r="212" spans="1:28" x14ac:dyDescent="0.25">
      <c r="C212" s="4">
        <v>4</v>
      </c>
      <c r="D212" s="5">
        <v>124683309087.13542</v>
      </c>
      <c r="E212" s="5">
        <v>124683309087.13542</v>
      </c>
      <c r="F212" s="5">
        <v>0.32037065858372704</v>
      </c>
      <c r="G212" s="5">
        <v>0</v>
      </c>
      <c r="H212" s="5">
        <v>47120955299.554413</v>
      </c>
      <c r="I212" s="5">
        <v>51731047764.977722</v>
      </c>
      <c r="J212" s="5">
        <v>51731047764.977722</v>
      </c>
      <c r="K212" s="5">
        <v>-6.2400301371331224E-11</v>
      </c>
      <c r="L212" s="5">
        <v>-6.2400301371331224E-11</v>
      </c>
      <c r="M212" s="5">
        <v>0</v>
      </c>
      <c r="N212" s="5">
        <v>2.0000000000000001E-4</v>
      </c>
      <c r="O212" s="5">
        <v>30.237428022997904</v>
      </c>
      <c r="P212" s="5">
        <v>30.237428022997904</v>
      </c>
      <c r="Q212" s="5">
        <v>1.1537431923692783E-8</v>
      </c>
      <c r="R212" s="5">
        <v>0</v>
      </c>
      <c r="S212" s="5">
        <v>4.2106702419541592E-5</v>
      </c>
      <c r="T212" s="5">
        <v>1.4455046232711652E-5</v>
      </c>
      <c r="U212" s="5">
        <v>1.4455046232711652E-5</v>
      </c>
      <c r="V212" s="5">
        <v>0</v>
      </c>
      <c r="W212" s="5">
        <v>0</v>
      </c>
      <c r="X212" s="5">
        <v>3.047110940859326</v>
      </c>
      <c r="Y212" s="5">
        <v>5690.7935291852327</v>
      </c>
      <c r="Z212" s="5">
        <f t="shared" ref="Z212:AA212" si="54">Z211+0.0002</f>
        <v>-5.9999999999999984E-4</v>
      </c>
      <c r="AA212" s="5">
        <f t="shared" si="54"/>
        <v>-4.0000000000000007E-4</v>
      </c>
      <c r="AB212" s="4">
        <v>2</v>
      </c>
    </row>
    <row r="213" spans="1:28" x14ac:dyDescent="0.25">
      <c r="C213" s="4">
        <v>5</v>
      </c>
      <c r="D213" s="5">
        <v>123142684741.80118</v>
      </c>
      <c r="E213" s="5">
        <v>123142684741.80118</v>
      </c>
      <c r="F213" s="5">
        <v>0.3179215155581383</v>
      </c>
      <c r="G213" s="5">
        <v>0</v>
      </c>
      <c r="H213" s="5">
        <v>46637489022.896645</v>
      </c>
      <c r="I213" s="5">
        <v>51706874451.144829</v>
      </c>
      <c r="J213" s="5">
        <v>51706874451.144829</v>
      </c>
      <c r="K213" s="5">
        <v>-6.5616880706419272E-11</v>
      </c>
      <c r="L213" s="5">
        <v>-6.5616880706419272E-11</v>
      </c>
      <c r="M213" s="5">
        <v>0</v>
      </c>
      <c r="N213" s="5">
        <v>2.0000000000000001E-4</v>
      </c>
      <c r="O213" s="5">
        <v>24.659775956794633</v>
      </c>
      <c r="P213" s="5">
        <v>24.659775956794633</v>
      </c>
      <c r="Q213" s="5">
        <v>1.2127363741626033E-8</v>
      </c>
      <c r="R213" s="5">
        <v>0</v>
      </c>
      <c r="S213" s="5">
        <v>3.6184240530483908E-5</v>
      </c>
      <c r="T213" s="5">
        <v>1.4684692714124093E-5</v>
      </c>
      <c r="U213" s="5">
        <v>1.4684692714124093E-5</v>
      </c>
      <c r="V213" s="5">
        <v>0</v>
      </c>
      <c r="W213" s="5">
        <v>0</v>
      </c>
      <c r="X213" s="5">
        <v>3.075313140331029</v>
      </c>
      <c r="Y213" s="5">
        <v>5710.9379573793067</v>
      </c>
      <c r="Z213" s="5">
        <f t="shared" ref="Z213:AA213" si="55">Z212+0.0002</f>
        <v>-3.9999999999999986E-4</v>
      </c>
      <c r="AA213" s="5">
        <f t="shared" si="55"/>
        <v>-2.0000000000000006E-4</v>
      </c>
      <c r="AB213" s="4">
        <v>2</v>
      </c>
    </row>
    <row r="214" spans="1:28" x14ac:dyDescent="0.25">
      <c r="C214" s="4">
        <v>6</v>
      </c>
      <c r="D214" s="5">
        <v>121855691737.84134</v>
      </c>
      <c r="E214" s="5">
        <v>121855691737.84134</v>
      </c>
      <c r="F214" s="5">
        <v>0.31587557233442148</v>
      </c>
      <c r="G214" s="5">
        <v>0</v>
      </c>
      <c r="H214" s="5">
        <v>46233615283.270607</v>
      </c>
      <c r="I214" s="5">
        <v>51686680764.163528</v>
      </c>
      <c r="J214" s="5">
        <v>51686680764.163528</v>
      </c>
      <c r="K214" s="5">
        <v>-6.8303918019231522E-11</v>
      </c>
      <c r="L214" s="5">
        <v>-6.8303918019231522E-11</v>
      </c>
      <c r="M214" s="5">
        <v>0</v>
      </c>
      <c r="N214" s="5">
        <v>2.0000000000000001E-4</v>
      </c>
      <c r="O214" s="5">
        <v>20.000366796173907</v>
      </c>
      <c r="P214" s="5">
        <v>20.000366796173907</v>
      </c>
      <c r="Q214" s="5">
        <v>1.262017571411805E-8</v>
      </c>
      <c r="R214" s="5">
        <v>0</v>
      </c>
      <c r="S214" s="5">
        <v>3.1236787220064957E-5</v>
      </c>
      <c r="T214" s="5">
        <v>1.487653274044646E-5</v>
      </c>
      <c r="U214" s="5">
        <v>1.487653274044646E-5</v>
      </c>
      <c r="V214" s="5">
        <v>0</v>
      </c>
      <c r="W214" s="5">
        <v>0</v>
      </c>
      <c r="X214" s="5">
        <v>3.0988724418092146</v>
      </c>
      <c r="Y214" s="5">
        <v>5727.7660298637247</v>
      </c>
      <c r="Z214" s="5">
        <f t="shared" ref="Z214:AA214" si="56">Z213+0.0002</f>
        <v>-1.9999999999999985E-4</v>
      </c>
      <c r="AA214" s="5">
        <f t="shared" si="56"/>
        <v>0</v>
      </c>
      <c r="AB214" s="4">
        <v>2</v>
      </c>
    </row>
    <row r="215" spans="1:28" x14ac:dyDescent="0.25">
      <c r="C215" s="4">
        <v>7</v>
      </c>
      <c r="D215" s="5">
        <v>120744189180.59714</v>
      </c>
      <c r="E215" s="5">
        <v>120744189180.59714</v>
      </c>
      <c r="F215" s="5">
        <v>0.31410860769814075</v>
      </c>
      <c r="G215" s="5">
        <v>0</v>
      </c>
      <c r="H215" s="5">
        <v>45884812536.855576</v>
      </c>
      <c r="I215" s="5">
        <v>51669240626.842781</v>
      </c>
      <c r="J215" s="5">
        <v>51669240626.842781</v>
      </c>
      <c r="K215" s="5">
        <v>-7.0624559106954659E-11</v>
      </c>
      <c r="L215" s="5">
        <v>-7.0624559106954659E-11</v>
      </c>
      <c r="M215" s="5">
        <v>0</v>
      </c>
      <c r="N215" s="5">
        <v>2.0000000000000001E-4</v>
      </c>
      <c r="O215" s="5">
        <v>15.976300479307838</v>
      </c>
      <c r="P215" s="5">
        <v>15.976300479307838</v>
      </c>
      <c r="Q215" s="5">
        <v>1.3045789346810755E-8</v>
      </c>
      <c r="R215" s="5">
        <v>0</v>
      </c>
      <c r="S215" s="5">
        <v>2.6963953576480818E-5</v>
      </c>
      <c r="T215" s="5">
        <v>1.5042214044993599E-5</v>
      </c>
      <c r="U215" s="5">
        <v>1.5042214044993599E-5</v>
      </c>
      <c r="V215" s="5">
        <v>0</v>
      </c>
      <c r="W215" s="5">
        <v>0</v>
      </c>
      <c r="X215" s="5">
        <v>3.119219268683425</v>
      </c>
      <c r="Y215" s="5">
        <v>5742.2994776310179</v>
      </c>
      <c r="Z215" s="5">
        <f t="shared" ref="Z215:AA215" si="57">Z214+0.0002</f>
        <v>0</v>
      </c>
      <c r="AA215" s="5">
        <f t="shared" si="57"/>
        <v>2.0000000000000001E-4</v>
      </c>
      <c r="AB215" s="4">
        <v>2</v>
      </c>
    </row>
    <row r="216" spans="1:28" x14ac:dyDescent="0.25">
      <c r="C216" s="4">
        <v>8</v>
      </c>
      <c r="D216" s="5">
        <v>119762079388.30434</v>
      </c>
      <c r="E216" s="5">
        <v>119762079388.30434</v>
      </c>
      <c r="F216" s="5">
        <v>0.31254733979046367</v>
      </c>
      <c r="G216" s="5">
        <v>0</v>
      </c>
      <c r="H216" s="5">
        <v>45576614781.843521</v>
      </c>
      <c r="I216" s="5">
        <v>51653830739.092178</v>
      </c>
      <c r="J216" s="5">
        <v>51653830739.092178</v>
      </c>
      <c r="K216" s="5">
        <v>-7.2675048619368052E-11</v>
      </c>
      <c r="L216" s="5">
        <v>-7.2675048619368052E-11</v>
      </c>
      <c r="M216" s="5">
        <v>0</v>
      </c>
      <c r="N216" s="5">
        <v>2.0000000000000001E-4</v>
      </c>
      <c r="O216" s="5">
        <v>12.420685686636261</v>
      </c>
      <c r="P216" s="5">
        <v>12.420685686636261</v>
      </c>
      <c r="Q216" s="5">
        <v>1.3421856242632553E-8</v>
      </c>
      <c r="R216" s="5">
        <v>0</v>
      </c>
      <c r="S216" s="5">
        <v>2.318853107758311E-5</v>
      </c>
      <c r="T216" s="5">
        <v>1.5188607978624328E-5</v>
      </c>
      <c r="U216" s="5">
        <v>1.5188607978624328E-5</v>
      </c>
      <c r="V216" s="5">
        <v>0</v>
      </c>
      <c r="W216" s="5">
        <v>0</v>
      </c>
      <c r="X216" s="5">
        <v>3.1371974710591282</v>
      </c>
      <c r="Y216" s="5">
        <v>5755.1410507565197</v>
      </c>
      <c r="Z216" s="5">
        <f t="shared" ref="Z216:AA216" si="58">Z215+0.0002</f>
        <v>2.0000000000000001E-4</v>
      </c>
      <c r="AA216" s="5">
        <f t="shared" si="58"/>
        <v>4.0000000000000002E-4</v>
      </c>
      <c r="AB216" s="4">
        <v>2</v>
      </c>
    </row>
    <row r="217" spans="1:28" x14ac:dyDescent="0.25">
      <c r="C217" s="4">
        <v>9</v>
      </c>
      <c r="D217" s="5">
        <v>118879728390.496</v>
      </c>
      <c r="E217" s="5">
        <v>118879728390.496</v>
      </c>
      <c r="F217" s="5">
        <v>0.3111446592480277</v>
      </c>
      <c r="G217" s="5">
        <v>0</v>
      </c>
      <c r="H217" s="5">
        <v>45299722525.202522</v>
      </c>
      <c r="I217" s="5">
        <v>51639986126.260124</v>
      </c>
      <c r="J217" s="5">
        <v>51639986126.260124</v>
      </c>
      <c r="K217" s="5">
        <v>-7.4517257587725517E-11</v>
      </c>
      <c r="L217" s="5">
        <v>-7.4517257587725517E-11</v>
      </c>
      <c r="M217" s="5">
        <v>0</v>
      </c>
      <c r="N217" s="5">
        <v>2.0000000000000001E-4</v>
      </c>
      <c r="O217" s="5">
        <v>9.2262360591546155</v>
      </c>
      <c r="P217" s="5">
        <v>9.2262360591546155</v>
      </c>
      <c r="Q217" s="5">
        <v>1.3759723763529968E-8</v>
      </c>
      <c r="R217" s="5">
        <v>0</v>
      </c>
      <c r="S217" s="5">
        <v>1.9796600933730875E-5</v>
      </c>
      <c r="T217" s="5">
        <v>1.5320131800528803E-5</v>
      </c>
      <c r="U217" s="5">
        <v>1.5320131800528803E-5</v>
      </c>
      <c r="V217" s="5">
        <v>0</v>
      </c>
      <c r="W217" s="5">
        <v>0</v>
      </c>
      <c r="X217" s="5">
        <v>3.1533495193631866</v>
      </c>
      <c r="Y217" s="5">
        <v>5766.6782281165615</v>
      </c>
      <c r="Z217" s="5">
        <f t="shared" ref="Z217:AA217" si="59">Z216+0.0002</f>
        <v>4.0000000000000002E-4</v>
      </c>
      <c r="AA217" s="5">
        <f t="shared" si="59"/>
        <v>6.0000000000000006E-4</v>
      </c>
      <c r="AB217" s="4">
        <v>2</v>
      </c>
    </row>
    <row r="218" spans="1:28" x14ac:dyDescent="0.25">
      <c r="C218" s="4">
        <v>10</v>
      </c>
      <c r="D218" s="5">
        <v>118076879771.29515</v>
      </c>
      <c r="E218" s="5">
        <v>118076879771.29515</v>
      </c>
      <c r="F218" s="5">
        <v>0.30986836428211062</v>
      </c>
      <c r="G218" s="5">
        <v>0</v>
      </c>
      <c r="H218" s="5">
        <v>45047779062.267914</v>
      </c>
      <c r="I218" s="5">
        <v>51627388953.113396</v>
      </c>
      <c r="J218" s="5">
        <v>51627388953.113396</v>
      </c>
      <c r="K218" s="5">
        <v>-7.6193478196302989E-11</v>
      </c>
      <c r="L218" s="5">
        <v>-7.6193478196302989E-11</v>
      </c>
      <c r="M218" s="5">
        <v>0</v>
      </c>
      <c r="N218" s="5">
        <v>2.0000000000000001E-4</v>
      </c>
      <c r="O218" s="5">
        <v>6.3196155885021312</v>
      </c>
      <c r="P218" s="5">
        <v>6.3196155885021312</v>
      </c>
      <c r="Q218" s="5">
        <v>1.4067148442936552E-8</v>
      </c>
      <c r="R218" s="5">
        <v>0</v>
      </c>
      <c r="S218" s="5">
        <v>1.6710293512781944E-5</v>
      </c>
      <c r="T218" s="5">
        <v>1.5439804945422741E-5</v>
      </c>
      <c r="U218" s="5">
        <v>1.5439804945422741E-5</v>
      </c>
      <c r="V218" s="5">
        <v>0</v>
      </c>
      <c r="W218" s="5">
        <v>0</v>
      </c>
      <c r="X218" s="5">
        <v>3.168046221367705</v>
      </c>
      <c r="Y218" s="5">
        <v>5777.1758724055035</v>
      </c>
      <c r="Z218" s="5">
        <f t="shared" ref="Z218:AA218" si="60">Z217+0.0002</f>
        <v>6.0000000000000006E-4</v>
      </c>
      <c r="AA218" s="5">
        <f t="shared" si="60"/>
        <v>8.0000000000000004E-4</v>
      </c>
      <c r="AB218" s="4">
        <v>2</v>
      </c>
    </row>
    <row r="219" spans="1:28" x14ac:dyDescent="0.25">
      <c r="C219" s="4">
        <v>11</v>
      </c>
      <c r="D219" s="5">
        <v>117339032614.07304</v>
      </c>
      <c r="E219" s="5">
        <v>117339032614.07304</v>
      </c>
      <c r="F219" s="5">
        <v>0.30869540266785744</v>
      </c>
      <c r="G219" s="5">
        <v>0</v>
      </c>
      <c r="H219" s="5">
        <v>44816233832.617981</v>
      </c>
      <c r="I219" s="5">
        <v>51615811691.630898</v>
      </c>
      <c r="J219" s="5">
        <v>51615811691.630898</v>
      </c>
      <c r="K219" s="5">
        <v>-7.7733986059599914E-11</v>
      </c>
      <c r="L219" s="5">
        <v>-7.7733986059599914E-11</v>
      </c>
      <c r="M219" s="5">
        <v>0</v>
      </c>
      <c r="N219" s="5">
        <v>2.0000000000000001E-4</v>
      </c>
      <c r="O219" s="5">
        <v>3.6483253849650339</v>
      </c>
      <c r="P219" s="5">
        <v>3.6483253849650339</v>
      </c>
      <c r="Q219" s="5">
        <v>1.4349682933667635E-8</v>
      </c>
      <c r="R219" s="5">
        <v>0</v>
      </c>
      <c r="S219" s="5">
        <v>1.3873864449570297E-5</v>
      </c>
      <c r="T219" s="5">
        <v>1.5549788929506457E-5</v>
      </c>
      <c r="U219" s="5">
        <v>1.5549788929506457E-5</v>
      </c>
      <c r="V219" s="5">
        <v>0</v>
      </c>
      <c r="W219" s="5">
        <v>0</v>
      </c>
      <c r="X219" s="5">
        <v>3.1815530264306178</v>
      </c>
      <c r="Y219" s="5">
        <v>5786.8235903075838</v>
      </c>
      <c r="Z219" s="5">
        <f t="shared" ref="Z219:AA219" si="61">Z218+0.0002</f>
        <v>8.0000000000000004E-4</v>
      </c>
      <c r="AA219" s="5">
        <f t="shared" si="61"/>
        <v>1E-3</v>
      </c>
      <c r="AB219" s="4">
        <v>2</v>
      </c>
    </row>
    <row r="220" spans="1:28" x14ac:dyDescent="0.25">
      <c r="B220" t="s">
        <v>187</v>
      </c>
      <c r="C220" s="11">
        <v>12</v>
      </c>
      <c r="D220" s="5">
        <v>116655424906.09589</v>
      </c>
      <c r="E220" s="5">
        <v>116655424906.09589</v>
      </c>
      <c r="F220" s="5">
        <v>0.30760866594627995</v>
      </c>
      <c r="G220" s="5">
        <v>0</v>
      </c>
      <c r="H220" s="5">
        <v>44601709588.423615</v>
      </c>
      <c r="I220" s="5">
        <v>51605085479.421181</v>
      </c>
      <c r="J220" s="5">
        <v>51605085479.421181</v>
      </c>
      <c r="K220" s="5">
        <v>-7.9161250553663972E-11</v>
      </c>
      <c r="L220" s="5">
        <v>-7.9161250553663972E-11</v>
      </c>
      <c r="M220" s="5">
        <v>0</v>
      </c>
      <c r="N220" s="5">
        <v>2.0000000000000001E-4</v>
      </c>
      <c r="O220" s="5">
        <v>1.1734028274845514</v>
      </c>
      <c r="P220" s="5">
        <v>1.1734028274845514</v>
      </c>
      <c r="Q220" s="5">
        <v>1.4611448197303436E-8</v>
      </c>
      <c r="R220" s="5">
        <v>0</v>
      </c>
      <c r="S220" s="5">
        <v>1.1245942458189268E-5</v>
      </c>
      <c r="T220" s="5">
        <v>1.5651687945498781E-5</v>
      </c>
      <c r="U220" s="5">
        <v>1.5651687945498781E-5</v>
      </c>
      <c r="V220" s="5">
        <v>0</v>
      </c>
      <c r="W220" s="5">
        <v>0</v>
      </c>
      <c r="X220" s="5">
        <v>3.1940669406752895</v>
      </c>
      <c r="Y220" s="5">
        <v>5795.7621004823495</v>
      </c>
      <c r="Z220" s="5">
        <f t="shared" ref="Z220:AA220" si="62">Z219+0.0002</f>
        <v>1E-3</v>
      </c>
      <c r="AA220" s="5">
        <f t="shared" si="62"/>
        <v>1.2000000000000001E-3</v>
      </c>
      <c r="AB220" s="4">
        <v>2</v>
      </c>
    </row>
    <row r="224" spans="1:28" x14ac:dyDescent="0.25">
      <c r="A224" s="15" t="s">
        <v>82</v>
      </c>
      <c r="C224" s="10" t="s">
        <v>27</v>
      </c>
      <c r="D224" s="10" t="s">
        <v>28</v>
      </c>
      <c r="E224" s="10" t="s">
        <v>29</v>
      </c>
      <c r="F224" s="10" t="s">
        <v>30</v>
      </c>
      <c r="G224" s="10" t="s">
        <v>31</v>
      </c>
      <c r="H224" s="10" t="s">
        <v>75</v>
      </c>
      <c r="I224" s="10" t="s">
        <v>32</v>
      </c>
      <c r="J224" s="10" t="s">
        <v>33</v>
      </c>
      <c r="K224" s="10" t="s">
        <v>34</v>
      </c>
      <c r="L224" s="10" t="s">
        <v>35</v>
      </c>
      <c r="M224" s="10" t="s">
        <v>36</v>
      </c>
      <c r="N224" s="10" t="s">
        <v>37</v>
      </c>
      <c r="O224" s="10" t="s">
        <v>38</v>
      </c>
      <c r="P224" s="10" t="s">
        <v>39</v>
      </c>
      <c r="Q224" s="10" t="s">
        <v>40</v>
      </c>
      <c r="R224" s="10" t="s">
        <v>41</v>
      </c>
      <c r="S224" s="10" t="s">
        <v>42</v>
      </c>
      <c r="T224" s="10" t="s">
        <v>76</v>
      </c>
      <c r="U224" s="10" t="s">
        <v>77</v>
      </c>
      <c r="V224" s="10" t="s">
        <v>78</v>
      </c>
      <c r="W224" s="10" t="s">
        <v>79</v>
      </c>
      <c r="X224" s="10" t="s">
        <v>80</v>
      </c>
      <c r="Y224" s="10" t="s">
        <v>43</v>
      </c>
      <c r="Z224" s="10" t="s">
        <v>44</v>
      </c>
      <c r="AA224" s="10" t="s">
        <v>45</v>
      </c>
      <c r="AB224" s="10" t="s">
        <v>46</v>
      </c>
    </row>
    <row r="225" spans="1:28" x14ac:dyDescent="0.25">
      <c r="A225" s="12" t="s">
        <v>81</v>
      </c>
      <c r="B225" t="s">
        <v>183</v>
      </c>
      <c r="C225" s="11">
        <v>1</v>
      </c>
      <c r="D225" s="5">
        <v>107228494195.052</v>
      </c>
      <c r="E225" s="5">
        <v>107228494195.052</v>
      </c>
      <c r="F225" s="5">
        <v>0.2681904796473738</v>
      </c>
      <c r="G225" s="5">
        <v>0</v>
      </c>
      <c r="H225" s="5">
        <v>40044656953.70713</v>
      </c>
      <c r="I225" s="5">
        <v>41502232847.685356</v>
      </c>
      <c r="J225" s="5">
        <v>41502232847.685356</v>
      </c>
      <c r="K225" s="5">
        <v>-3.4299331119083876E-11</v>
      </c>
      <c r="L225" s="5">
        <v>-3.4299331119083876E-11</v>
      </c>
      <c r="M225" s="5">
        <v>0</v>
      </c>
      <c r="N225" s="5">
        <v>2.0000000000000001E-4</v>
      </c>
      <c r="O225" s="5">
        <v>51.277102950777042</v>
      </c>
      <c r="P225" s="5">
        <v>51.277102950777042</v>
      </c>
      <c r="Q225" s="5">
        <v>6.365016413607531E-9</v>
      </c>
      <c r="R225" s="5">
        <v>0</v>
      </c>
      <c r="S225" s="5">
        <v>6.244704768291234E-5</v>
      </c>
      <c r="T225" s="5">
        <v>1.0448787946989112E-5</v>
      </c>
      <c r="U225" s="5">
        <v>1.0448787946989112E-5</v>
      </c>
      <c r="V225" s="5">
        <v>0</v>
      </c>
      <c r="W225" s="5">
        <v>0</v>
      </c>
      <c r="X225" s="5">
        <v>2.3007283443670845</v>
      </c>
      <c r="Y225" s="5">
        <v>4454.8059602622034</v>
      </c>
      <c r="Z225" s="5">
        <v>-1.1999999999999999E-3</v>
      </c>
      <c r="AA225" s="5">
        <v>-1E-3</v>
      </c>
      <c r="AB225" s="4">
        <v>2</v>
      </c>
    </row>
    <row r="226" spans="1:28" x14ac:dyDescent="0.25">
      <c r="C226" s="4">
        <v>2</v>
      </c>
      <c r="D226" s="5">
        <v>102251932305.87451</v>
      </c>
      <c r="E226" s="5">
        <v>102251932305.87451</v>
      </c>
      <c r="F226" s="5">
        <v>0.26027919882203704</v>
      </c>
      <c r="G226" s="5">
        <v>0</v>
      </c>
      <c r="H226" s="5">
        <v>38482952535.362633</v>
      </c>
      <c r="I226" s="5">
        <v>41424147626.768135</v>
      </c>
      <c r="J226" s="5">
        <v>41424147626.768135</v>
      </c>
      <c r="K226" s="5">
        <v>-4.4689603206496599E-11</v>
      </c>
      <c r="L226" s="5">
        <v>-4.4689603206496599E-11</v>
      </c>
      <c r="M226" s="5">
        <v>0</v>
      </c>
      <c r="N226" s="5">
        <v>2.0000000000000001E-4</v>
      </c>
      <c r="O226" s="5">
        <v>33.260036825720427</v>
      </c>
      <c r="P226" s="5">
        <v>33.260036825720427</v>
      </c>
      <c r="Q226" s="5">
        <v>8.2706283891880189E-9</v>
      </c>
      <c r="R226" s="5">
        <v>0</v>
      </c>
      <c r="S226" s="5">
        <v>4.3316168558192269E-5</v>
      </c>
      <c r="T226" s="5">
        <v>1.1190597545702748E-5</v>
      </c>
      <c r="U226" s="5">
        <v>1.1190597545702748E-5</v>
      </c>
      <c r="V226" s="5">
        <v>0</v>
      </c>
      <c r="W226" s="5">
        <v>0</v>
      </c>
      <c r="X226" s="5">
        <v>2.3918277687705132</v>
      </c>
      <c r="Y226" s="5">
        <v>4519.8769776932231</v>
      </c>
      <c r="Z226" s="5">
        <f t="shared" ref="Z226:AA226" si="63">Z225+0.0002</f>
        <v>-9.999999999999998E-4</v>
      </c>
      <c r="AA226" s="5">
        <f t="shared" si="63"/>
        <v>-8.0000000000000004E-4</v>
      </c>
      <c r="AB226" s="4">
        <v>2</v>
      </c>
    </row>
    <row r="227" spans="1:28" x14ac:dyDescent="0.25">
      <c r="C227" s="4">
        <v>3</v>
      </c>
      <c r="D227" s="5">
        <v>99538179884.71347</v>
      </c>
      <c r="E227" s="5">
        <v>99538179884.71347</v>
      </c>
      <c r="F227" s="5">
        <v>0.25596512457311993</v>
      </c>
      <c r="G227" s="5">
        <v>0</v>
      </c>
      <c r="H227" s="5">
        <v>37631344690.268448</v>
      </c>
      <c r="I227" s="5">
        <v>41381567234.51342</v>
      </c>
      <c r="J227" s="5">
        <v>41381567234.51342</v>
      </c>
      <c r="K227" s="5">
        <v>-5.0355487940103064E-11</v>
      </c>
      <c r="L227" s="5">
        <v>-5.0355487940103064E-11</v>
      </c>
      <c r="M227" s="5">
        <v>0</v>
      </c>
      <c r="N227" s="5">
        <v>2.0000000000000001E-4</v>
      </c>
      <c r="O227" s="5">
        <v>23.43521038772905</v>
      </c>
      <c r="P227" s="5">
        <v>23.43521038772905</v>
      </c>
      <c r="Q227" s="5">
        <v>9.3097713211329015E-9</v>
      </c>
      <c r="R227" s="5">
        <v>0</v>
      </c>
      <c r="S227" s="5">
        <v>3.2883972455788479E-5</v>
      </c>
      <c r="T227" s="5">
        <v>1.1595111272122486E-5</v>
      </c>
      <c r="U227" s="5">
        <v>1.1595111272122486E-5</v>
      </c>
      <c r="V227" s="5">
        <v>0</v>
      </c>
      <c r="W227" s="5">
        <v>0</v>
      </c>
      <c r="X227" s="5">
        <v>2.4415048930676742</v>
      </c>
      <c r="Y227" s="5">
        <v>4555.3606379054818</v>
      </c>
      <c r="Z227" s="5">
        <f t="shared" ref="Z227:AA227" si="64">Z226+0.0002</f>
        <v>-7.9999999999999982E-4</v>
      </c>
      <c r="AA227" s="5">
        <f t="shared" si="64"/>
        <v>-6.0000000000000006E-4</v>
      </c>
      <c r="AB227" s="4">
        <v>2</v>
      </c>
    </row>
    <row r="228" spans="1:28" x14ac:dyDescent="0.25">
      <c r="C228" s="4">
        <v>4</v>
      </c>
      <c r="D228" s="5">
        <v>97593099532.948944</v>
      </c>
      <c r="E228" s="5">
        <v>97593099532.948944</v>
      </c>
      <c r="F228" s="5">
        <v>0.25287301455151678</v>
      </c>
      <c r="G228" s="5">
        <v>0</v>
      </c>
      <c r="H228" s="5">
        <v>37020955299.554413</v>
      </c>
      <c r="I228" s="5">
        <v>41351047764.977722</v>
      </c>
      <c r="J228" s="5">
        <v>41351047764.977722</v>
      </c>
      <c r="K228" s="5">
        <v>-5.4416507281722076E-11</v>
      </c>
      <c r="L228" s="5">
        <v>-5.4416507281722076E-11</v>
      </c>
      <c r="M228" s="5">
        <v>0</v>
      </c>
      <c r="N228" s="5">
        <v>2.0000000000000001E-4</v>
      </c>
      <c r="O228" s="5">
        <v>16.393272178842061</v>
      </c>
      <c r="P228" s="5">
        <v>16.393272178842061</v>
      </c>
      <c r="Q228" s="5">
        <v>1.0054576368137228E-8</v>
      </c>
      <c r="R228" s="5">
        <v>0</v>
      </c>
      <c r="S228" s="5">
        <v>2.5406702419541593E-5</v>
      </c>
      <c r="T228" s="5">
        <v>1.1885046232711651E-5</v>
      </c>
      <c r="U228" s="5">
        <v>1.1885046232711651E-5</v>
      </c>
      <c r="V228" s="5">
        <v>0</v>
      </c>
      <c r="W228" s="5">
        <v>0</v>
      </c>
      <c r="X228" s="5">
        <v>2.4771109408593261</v>
      </c>
      <c r="Y228" s="5">
        <v>4580.7935291852327</v>
      </c>
      <c r="Z228" s="5">
        <f t="shared" ref="Z228:AA228" si="65">Z227+0.0002</f>
        <v>-5.9999999999999984E-4</v>
      </c>
      <c r="AA228" s="5">
        <f t="shared" si="65"/>
        <v>-4.0000000000000007E-4</v>
      </c>
      <c r="AB228" s="4">
        <v>2</v>
      </c>
    </row>
    <row r="229" spans="1:28" x14ac:dyDescent="0.25">
      <c r="C229" s="4">
        <v>5</v>
      </c>
      <c r="D229" s="5">
        <v>96052475187.614716</v>
      </c>
      <c r="E229" s="5">
        <v>96052475187.614716</v>
      </c>
      <c r="F229" s="5">
        <v>0.25042387152592804</v>
      </c>
      <c r="G229" s="5">
        <v>0</v>
      </c>
      <c r="H229" s="5">
        <v>36537489022.896645</v>
      </c>
      <c r="I229" s="5">
        <v>41326874451.144829</v>
      </c>
      <c r="J229" s="5">
        <v>41326874451.144829</v>
      </c>
      <c r="K229" s="5">
        <v>-5.7633086616810123E-11</v>
      </c>
      <c r="L229" s="5">
        <v>-5.7633086616810123E-11</v>
      </c>
      <c r="M229" s="5">
        <v>0</v>
      </c>
      <c r="N229" s="5">
        <v>2.0000000000000001E-4</v>
      </c>
      <c r="O229" s="5">
        <v>10.81562011263879</v>
      </c>
      <c r="P229" s="5">
        <v>10.81562011263879</v>
      </c>
      <c r="Q229" s="5">
        <v>1.0644508186070478E-8</v>
      </c>
      <c r="R229" s="5">
        <v>0</v>
      </c>
      <c r="S229" s="5">
        <v>1.9484240530483909E-5</v>
      </c>
      <c r="T229" s="5">
        <v>1.2114692714124092E-5</v>
      </c>
      <c r="U229" s="5">
        <v>1.2114692714124092E-5</v>
      </c>
      <c r="V229" s="5">
        <v>0</v>
      </c>
      <c r="W229" s="5">
        <v>0</v>
      </c>
      <c r="X229" s="5">
        <v>2.5053131403310287</v>
      </c>
      <c r="Y229" s="5">
        <v>4600.9379573793067</v>
      </c>
      <c r="Z229" s="5">
        <f t="shared" ref="Z229:AA229" si="66">Z228+0.0002</f>
        <v>-3.9999999999999986E-4</v>
      </c>
      <c r="AA229" s="5">
        <f t="shared" si="66"/>
        <v>-2.0000000000000006E-4</v>
      </c>
      <c r="AB229" s="4">
        <v>2</v>
      </c>
    </row>
    <row r="230" spans="1:28" x14ac:dyDescent="0.25">
      <c r="C230" s="4">
        <v>6</v>
      </c>
      <c r="D230" s="5">
        <v>94765482183.654877</v>
      </c>
      <c r="E230" s="5">
        <v>94765482183.654877</v>
      </c>
      <c r="F230" s="5">
        <v>0.24837792830221123</v>
      </c>
      <c r="G230" s="5">
        <v>0</v>
      </c>
      <c r="H230" s="5">
        <v>36133615283.270607</v>
      </c>
      <c r="I230" s="5">
        <v>41306680764.163528</v>
      </c>
      <c r="J230" s="5">
        <v>41306680764.163528</v>
      </c>
      <c r="K230" s="5">
        <v>-6.0320123929622374E-11</v>
      </c>
      <c r="L230" s="5">
        <v>-6.0320123929622374E-11</v>
      </c>
      <c r="M230" s="5">
        <v>0</v>
      </c>
      <c r="N230" s="5">
        <v>2.0000000000000001E-4</v>
      </c>
      <c r="O230" s="5">
        <v>6.1562109520180641</v>
      </c>
      <c r="P230" s="5">
        <v>6.1562109520180641</v>
      </c>
      <c r="Q230" s="5">
        <v>1.1137320158562495E-8</v>
      </c>
      <c r="R230" s="5">
        <v>0</v>
      </c>
      <c r="S230" s="5">
        <v>1.4536787220064957E-5</v>
      </c>
      <c r="T230" s="5">
        <v>1.2306532740446459E-5</v>
      </c>
      <c r="U230" s="5">
        <v>1.2306532740446459E-5</v>
      </c>
      <c r="V230" s="5">
        <v>0</v>
      </c>
      <c r="W230" s="5">
        <v>0</v>
      </c>
      <c r="X230" s="5">
        <v>2.5288724418092148</v>
      </c>
      <c r="Y230" s="5">
        <v>4617.7660298637247</v>
      </c>
      <c r="Z230" s="5">
        <f t="shared" ref="Z230:AA230" si="67">Z229+0.0002</f>
        <v>-1.9999999999999985E-4</v>
      </c>
      <c r="AA230" s="5">
        <f t="shared" si="67"/>
        <v>0</v>
      </c>
      <c r="AB230" s="4">
        <v>2</v>
      </c>
    </row>
    <row r="231" spans="1:28" x14ac:dyDescent="0.25">
      <c r="C231" s="4">
        <v>7</v>
      </c>
      <c r="D231" s="5">
        <v>93653979626.410675</v>
      </c>
      <c r="E231" s="5">
        <v>93653979626.410675</v>
      </c>
      <c r="F231" s="5">
        <v>0.24661096366593049</v>
      </c>
      <c r="G231" s="5">
        <v>0</v>
      </c>
      <c r="H231" s="5">
        <v>35784812536.855576</v>
      </c>
      <c r="I231" s="5">
        <v>41289240626.842781</v>
      </c>
      <c r="J231" s="5">
        <v>41289240626.842781</v>
      </c>
      <c r="K231" s="5">
        <v>-6.2640765017345511E-11</v>
      </c>
      <c r="L231" s="5">
        <v>-6.2640765017345511E-11</v>
      </c>
      <c r="M231" s="5">
        <v>0</v>
      </c>
      <c r="N231" s="5">
        <v>2.0000000000000001E-4</v>
      </c>
      <c r="O231" s="5">
        <v>2.1321446351519953</v>
      </c>
      <c r="P231" s="5">
        <v>2.1321446351519953</v>
      </c>
      <c r="Q231" s="5">
        <v>1.15629337912552E-8</v>
      </c>
      <c r="R231" s="5">
        <v>0</v>
      </c>
      <c r="S231" s="5">
        <v>1.0263953576480819E-5</v>
      </c>
      <c r="T231" s="5">
        <v>1.2472214044993598E-5</v>
      </c>
      <c r="U231" s="5">
        <v>1.2472214044993598E-5</v>
      </c>
      <c r="V231" s="5">
        <v>0</v>
      </c>
      <c r="W231" s="5">
        <v>0</v>
      </c>
      <c r="X231" s="5">
        <v>2.5492192686834247</v>
      </c>
      <c r="Y231" s="5">
        <v>4632.2994776310179</v>
      </c>
      <c r="Z231" s="5">
        <f t="shared" ref="Z231:AA231" si="68">Z230+0.0002</f>
        <v>0</v>
      </c>
      <c r="AA231" s="5">
        <f t="shared" si="68"/>
        <v>2.0000000000000001E-4</v>
      </c>
      <c r="AB231" s="4">
        <v>2</v>
      </c>
    </row>
    <row r="232" spans="1:28" x14ac:dyDescent="0.25">
      <c r="C232" s="4">
        <v>8</v>
      </c>
      <c r="D232" s="5">
        <v>92671869834.117859</v>
      </c>
      <c r="E232" s="5">
        <v>92671869834.117859</v>
      </c>
      <c r="F232" s="5">
        <v>0.24504969575825342</v>
      </c>
      <c r="G232" s="5">
        <v>0</v>
      </c>
      <c r="H232" s="5">
        <v>35476614781.843521</v>
      </c>
      <c r="I232" s="5">
        <v>41273830739.092178</v>
      </c>
      <c r="J232" s="5">
        <v>41273830739.092178</v>
      </c>
      <c r="K232" s="5">
        <v>-6.4691254529758904E-11</v>
      </c>
      <c r="L232" s="5">
        <v>-6.4691254529758904E-11</v>
      </c>
      <c r="M232" s="5">
        <v>0</v>
      </c>
      <c r="N232" s="5">
        <v>2.0000000000000001E-4</v>
      </c>
      <c r="O232" s="5">
        <v>-1.4234701575195814</v>
      </c>
      <c r="P232" s="5">
        <v>-1.4234701575195814</v>
      </c>
      <c r="Q232" s="5">
        <v>1.1939000687076997E-8</v>
      </c>
      <c r="R232" s="5">
        <v>0</v>
      </c>
      <c r="S232" s="5">
        <v>6.4885310775831108E-6</v>
      </c>
      <c r="T232" s="5">
        <v>1.2618607978624327E-5</v>
      </c>
      <c r="U232" s="5">
        <v>1.2618607978624327E-5</v>
      </c>
      <c r="V232" s="5">
        <v>0</v>
      </c>
      <c r="W232" s="5">
        <v>0</v>
      </c>
      <c r="X232" s="5">
        <v>2.5671974710591279</v>
      </c>
      <c r="Y232" s="5">
        <v>4645.1410507565197</v>
      </c>
      <c r="Z232" s="5">
        <f t="shared" ref="Z232:AA232" si="69">Z231+0.0002</f>
        <v>2.0000000000000001E-4</v>
      </c>
      <c r="AA232" s="5">
        <f t="shared" si="69"/>
        <v>4.0000000000000002E-4</v>
      </c>
      <c r="AB232" s="4">
        <v>2</v>
      </c>
    </row>
    <row r="233" spans="1:28" x14ac:dyDescent="0.25">
      <c r="C233" s="4">
        <v>9</v>
      </c>
      <c r="D233" s="5">
        <v>91789518836.30954</v>
      </c>
      <c r="E233" s="5">
        <v>91789518836.30954</v>
      </c>
      <c r="F233" s="5">
        <v>0.24364701521581744</v>
      </c>
      <c r="G233" s="5">
        <v>0</v>
      </c>
      <c r="H233" s="5">
        <v>35199722525.202522</v>
      </c>
      <c r="I233" s="5">
        <v>41259986126.260124</v>
      </c>
      <c r="J233" s="5">
        <v>41259986126.260124</v>
      </c>
      <c r="K233" s="5">
        <v>-6.6533463498116369E-11</v>
      </c>
      <c r="L233" s="5">
        <v>-6.6533463498116369E-11</v>
      </c>
      <c r="M233" s="5">
        <v>0</v>
      </c>
      <c r="N233" s="5">
        <v>2.0000000000000001E-4</v>
      </c>
      <c r="O233" s="5">
        <v>-4.6179197850012272</v>
      </c>
      <c r="P233" s="5">
        <v>-4.6179197850012272</v>
      </c>
      <c r="Q233" s="5">
        <v>1.2276868207974412E-8</v>
      </c>
      <c r="R233" s="5">
        <v>0</v>
      </c>
      <c r="S233" s="5">
        <v>3.096600933730876E-6</v>
      </c>
      <c r="T233" s="5">
        <v>1.2750131800528802E-5</v>
      </c>
      <c r="U233" s="5">
        <v>1.2750131800528802E-5</v>
      </c>
      <c r="V233" s="5">
        <v>0</v>
      </c>
      <c r="W233" s="5">
        <v>0</v>
      </c>
      <c r="X233" s="5">
        <v>2.5833495193631864</v>
      </c>
      <c r="Y233" s="5">
        <v>4656.6782281165615</v>
      </c>
      <c r="Z233" s="5">
        <f t="shared" ref="Z233:AA233" si="70">Z232+0.0002</f>
        <v>4.0000000000000002E-4</v>
      </c>
      <c r="AA233" s="5">
        <f t="shared" si="70"/>
        <v>6.0000000000000006E-4</v>
      </c>
      <c r="AB233" s="4">
        <v>2</v>
      </c>
    </row>
    <row r="234" spans="1:28" x14ac:dyDescent="0.25">
      <c r="C234" s="4">
        <v>10</v>
      </c>
      <c r="D234" s="5">
        <v>90986670217.108673</v>
      </c>
      <c r="E234" s="5">
        <v>90986670217.108673</v>
      </c>
      <c r="F234" s="5">
        <v>0.24237072024990036</v>
      </c>
      <c r="G234" s="5">
        <v>0</v>
      </c>
      <c r="H234" s="5">
        <v>34947779062.267914</v>
      </c>
      <c r="I234" s="5">
        <v>41247388953.113396</v>
      </c>
      <c r="J234" s="5">
        <v>41247388953.113396</v>
      </c>
      <c r="K234" s="5">
        <v>-6.8209684106693841E-11</v>
      </c>
      <c r="L234" s="5">
        <v>-6.8209684106693841E-11</v>
      </c>
      <c r="M234" s="5">
        <v>0</v>
      </c>
      <c r="N234" s="5">
        <v>2.0000000000000001E-4</v>
      </c>
      <c r="O234" s="5">
        <v>-7.5245402556537115</v>
      </c>
      <c r="P234" s="5">
        <v>-7.5245402556537115</v>
      </c>
      <c r="Q234" s="5">
        <v>1.2584292887380997E-8</v>
      </c>
      <c r="R234" s="5">
        <v>0</v>
      </c>
      <c r="S234" s="5">
        <v>1.0293512781945138E-8</v>
      </c>
      <c r="T234" s="5">
        <v>1.286980494542274E-5</v>
      </c>
      <c r="U234" s="5">
        <v>1.286980494542274E-5</v>
      </c>
      <c r="V234" s="5">
        <v>0</v>
      </c>
      <c r="W234" s="5">
        <v>0</v>
      </c>
      <c r="X234" s="5">
        <v>2.5980462213677047</v>
      </c>
      <c r="Y234" s="5">
        <v>4667.1758724055035</v>
      </c>
      <c r="Z234" s="5">
        <f t="shared" ref="Z234:AA234" si="71">Z233+0.0002</f>
        <v>6.0000000000000006E-4</v>
      </c>
      <c r="AA234" s="5">
        <f t="shared" si="71"/>
        <v>8.0000000000000004E-4</v>
      </c>
      <c r="AB234" s="4">
        <v>2</v>
      </c>
    </row>
    <row r="235" spans="1:28" x14ac:dyDescent="0.25">
      <c r="C235" s="4">
        <v>11</v>
      </c>
      <c r="D235" s="5">
        <v>90248823059.886566</v>
      </c>
      <c r="E235" s="5">
        <v>90248823059.886566</v>
      </c>
      <c r="F235" s="5">
        <v>0.24119775863564719</v>
      </c>
      <c r="G235" s="5">
        <v>0</v>
      </c>
      <c r="H235" s="5">
        <v>34716233832.617981</v>
      </c>
      <c r="I235" s="5">
        <v>41235811691.630898</v>
      </c>
      <c r="J235" s="5">
        <v>41235811691.630898</v>
      </c>
      <c r="K235" s="5">
        <v>-6.9750191969990765E-11</v>
      </c>
      <c r="L235" s="5">
        <v>-6.9750191969990765E-11</v>
      </c>
      <c r="M235" s="5">
        <v>0</v>
      </c>
      <c r="N235" s="5">
        <v>2.0000000000000001E-4</v>
      </c>
      <c r="O235" s="5">
        <v>-10.195830459190809</v>
      </c>
      <c r="P235" s="5">
        <v>-10.195830459190809</v>
      </c>
      <c r="Q235" s="5">
        <v>1.286682737811208E-8</v>
      </c>
      <c r="R235" s="5">
        <v>0</v>
      </c>
      <c r="S235" s="5">
        <v>-2.8261355504297027E-6</v>
      </c>
      <c r="T235" s="5">
        <v>1.2979788929506456E-5</v>
      </c>
      <c r="U235" s="5">
        <v>1.2979788929506456E-5</v>
      </c>
      <c r="V235" s="5">
        <v>0</v>
      </c>
      <c r="W235" s="5">
        <v>0</v>
      </c>
      <c r="X235" s="5">
        <v>2.6115530264306175</v>
      </c>
      <c r="Y235" s="5">
        <v>4676.8235903075838</v>
      </c>
      <c r="Z235" s="5">
        <f t="shared" ref="Z235:AA235" si="72">Z234+0.0002</f>
        <v>8.0000000000000004E-4</v>
      </c>
      <c r="AA235" s="5">
        <f t="shared" si="72"/>
        <v>1E-3</v>
      </c>
      <c r="AB235" s="4">
        <v>2</v>
      </c>
    </row>
    <row r="236" spans="1:28" x14ac:dyDescent="0.25">
      <c r="B236" t="s">
        <v>187</v>
      </c>
      <c r="C236" s="11">
        <v>12</v>
      </c>
      <c r="D236" s="5">
        <v>89565215351.909409</v>
      </c>
      <c r="E236" s="5">
        <v>89565215351.909409</v>
      </c>
      <c r="F236" s="5">
        <v>0.24011102191406969</v>
      </c>
      <c r="G236" s="5">
        <v>0</v>
      </c>
      <c r="H236" s="5">
        <v>34501709588.423615</v>
      </c>
      <c r="I236" s="5">
        <v>41225085479.421181</v>
      </c>
      <c r="J236" s="5">
        <v>41225085479.421181</v>
      </c>
      <c r="K236" s="5">
        <v>-7.1177456464054823E-11</v>
      </c>
      <c r="L236" s="5">
        <v>-7.1177456464054823E-11</v>
      </c>
      <c r="M236" s="5">
        <v>0</v>
      </c>
      <c r="N236" s="5">
        <v>2.0000000000000001E-4</v>
      </c>
      <c r="O236" s="5">
        <v>-12.670753016671291</v>
      </c>
      <c r="P236" s="5">
        <v>-12.670753016671291</v>
      </c>
      <c r="Q236" s="5">
        <v>1.312859264174788E-8</v>
      </c>
      <c r="R236" s="5">
        <v>0</v>
      </c>
      <c r="S236" s="5">
        <v>-5.4540575418107317E-6</v>
      </c>
      <c r="T236" s="5">
        <v>1.3081687945498781E-5</v>
      </c>
      <c r="U236" s="5">
        <v>1.3081687945498781E-5</v>
      </c>
      <c r="V236" s="5">
        <v>0</v>
      </c>
      <c r="W236" s="5">
        <v>0</v>
      </c>
      <c r="X236" s="5">
        <v>2.6240669406752897</v>
      </c>
      <c r="Y236" s="5">
        <v>4685.7621004823495</v>
      </c>
      <c r="Z236" s="5">
        <f t="shared" ref="Z236:AA236" si="73">Z235+0.0002</f>
        <v>1E-3</v>
      </c>
      <c r="AA236" s="5">
        <f t="shared" si="73"/>
        <v>1.2000000000000001E-3</v>
      </c>
      <c r="AB236" s="4">
        <v>2</v>
      </c>
    </row>
    <row r="240" spans="1:28" x14ac:dyDescent="0.25">
      <c r="A240" s="15" t="s">
        <v>252</v>
      </c>
      <c r="C240" s="10" t="s">
        <v>27</v>
      </c>
      <c r="D240" s="10" t="s">
        <v>28</v>
      </c>
      <c r="E240" s="10" t="s">
        <v>29</v>
      </c>
      <c r="F240" s="10" t="s">
        <v>30</v>
      </c>
      <c r="G240" s="10" t="s">
        <v>31</v>
      </c>
      <c r="H240" s="10" t="s">
        <v>75</v>
      </c>
      <c r="I240" s="10" t="s">
        <v>32</v>
      </c>
      <c r="J240" s="10" t="s">
        <v>33</v>
      </c>
      <c r="K240" s="10" t="s">
        <v>34</v>
      </c>
      <c r="L240" s="10" t="s">
        <v>35</v>
      </c>
      <c r="M240" s="10" t="s">
        <v>36</v>
      </c>
      <c r="N240" s="10" t="s">
        <v>37</v>
      </c>
      <c r="O240" s="10" t="s">
        <v>38</v>
      </c>
      <c r="P240" s="10" t="s">
        <v>39</v>
      </c>
      <c r="Q240" s="10" t="s">
        <v>40</v>
      </c>
      <c r="R240" s="10" t="s">
        <v>41</v>
      </c>
      <c r="S240" s="10" t="s">
        <v>42</v>
      </c>
      <c r="T240" s="10" t="s">
        <v>76</v>
      </c>
      <c r="U240" s="10" t="s">
        <v>77</v>
      </c>
      <c r="V240" s="10" t="s">
        <v>78</v>
      </c>
      <c r="W240" s="10" t="s">
        <v>79</v>
      </c>
      <c r="X240" s="10" t="s">
        <v>80</v>
      </c>
      <c r="Y240" s="10" t="s">
        <v>43</v>
      </c>
      <c r="Z240" s="10" t="s">
        <v>44</v>
      </c>
      <c r="AA240" s="10" t="s">
        <v>45</v>
      </c>
      <c r="AB240" s="10" t="s">
        <v>46</v>
      </c>
    </row>
    <row r="241" spans="1:28" x14ac:dyDescent="0.25">
      <c r="A241" s="12" t="s">
        <v>251</v>
      </c>
      <c r="B241" t="s">
        <v>183</v>
      </c>
      <c r="C241" s="11">
        <v>1</v>
      </c>
      <c r="D241" s="5">
        <v>93683389417.958771</v>
      </c>
      <c r="E241" s="5">
        <v>93683389417.958771</v>
      </c>
      <c r="F241" s="5">
        <v>0.23444165763126873</v>
      </c>
      <c r="G241" s="5">
        <v>0</v>
      </c>
      <c r="H241" s="5">
        <v>34994656953.70713</v>
      </c>
      <c r="I241" s="5">
        <v>36312232847.685356</v>
      </c>
      <c r="J241" s="5">
        <v>36312232847.685356</v>
      </c>
      <c r="K241" s="5">
        <v>-3.0307434074279302E-11</v>
      </c>
      <c r="L241" s="5">
        <v>-3.0307434074279302E-11</v>
      </c>
      <c r="M241" s="5">
        <v>0</v>
      </c>
      <c r="N241" s="5">
        <v>2.0000000000000001E-4</v>
      </c>
      <c r="O241" s="5">
        <v>44.355025028699124</v>
      </c>
      <c r="P241" s="5">
        <v>44.355025028699124</v>
      </c>
      <c r="Q241" s="5">
        <v>5.6235886358297526E-9</v>
      </c>
      <c r="R241" s="5">
        <v>0</v>
      </c>
      <c r="S241" s="5">
        <v>5.4097047682912341E-5</v>
      </c>
      <c r="T241" s="5">
        <v>9.1637879469891129E-6</v>
      </c>
      <c r="U241" s="5">
        <v>9.1637879469891129E-6</v>
      </c>
      <c r="V241" s="5">
        <v>0</v>
      </c>
      <c r="W241" s="5">
        <v>0</v>
      </c>
      <c r="X241" s="5">
        <v>2.0157283443670844</v>
      </c>
      <c r="Y241" s="5">
        <v>3899.8059602622034</v>
      </c>
      <c r="Z241" s="5">
        <v>-1.1999999999999999E-3</v>
      </c>
      <c r="AA241" s="5">
        <v>-1E-3</v>
      </c>
      <c r="AB241" s="4">
        <v>2</v>
      </c>
    </row>
    <row r="242" spans="1:28" x14ac:dyDescent="0.25">
      <c r="C242" s="4">
        <v>2</v>
      </c>
      <c r="D242" s="5">
        <v>88706827528.781281</v>
      </c>
      <c r="E242" s="5">
        <v>88706827528.781281</v>
      </c>
      <c r="F242" s="5">
        <v>0.22653037680593197</v>
      </c>
      <c r="G242" s="5">
        <v>0</v>
      </c>
      <c r="H242" s="5">
        <v>33432952535.362633</v>
      </c>
      <c r="I242" s="5">
        <v>36234147626.768135</v>
      </c>
      <c r="J242" s="5">
        <v>36234147626.768135</v>
      </c>
      <c r="K242" s="5">
        <v>-4.0697706161692025E-11</v>
      </c>
      <c r="L242" s="5">
        <v>-4.0697706161692025E-11</v>
      </c>
      <c r="M242" s="5">
        <v>0</v>
      </c>
      <c r="N242" s="5">
        <v>2.0000000000000001E-4</v>
      </c>
      <c r="O242" s="5">
        <v>26.337958903642509</v>
      </c>
      <c r="P242" s="5">
        <v>26.337958903642509</v>
      </c>
      <c r="Q242" s="5">
        <v>7.5292006114102404E-9</v>
      </c>
      <c r="R242" s="5">
        <v>0</v>
      </c>
      <c r="S242" s="5">
        <v>3.4966168558192269E-5</v>
      </c>
      <c r="T242" s="5">
        <v>9.9055975457027489E-6</v>
      </c>
      <c r="U242" s="5">
        <v>9.9055975457027489E-6</v>
      </c>
      <c r="V242" s="5">
        <v>0</v>
      </c>
      <c r="W242" s="5">
        <v>0</v>
      </c>
      <c r="X242" s="5">
        <v>2.106827768770513</v>
      </c>
      <c r="Y242" s="5">
        <v>3964.8769776932231</v>
      </c>
      <c r="Z242" s="5">
        <f t="shared" ref="Z242:AA242" si="74">Z241+0.0002</f>
        <v>-9.999999999999998E-4</v>
      </c>
      <c r="AA242" s="5">
        <f t="shared" si="74"/>
        <v>-8.0000000000000004E-4</v>
      </c>
      <c r="AB242" s="4">
        <v>2</v>
      </c>
    </row>
    <row r="243" spans="1:28" x14ac:dyDescent="0.25">
      <c r="C243" s="4">
        <v>3</v>
      </c>
      <c r="D243" s="5">
        <v>85993075107.620239</v>
      </c>
      <c r="E243" s="5">
        <v>85993075107.620239</v>
      </c>
      <c r="F243" s="5">
        <v>0.22221630255701486</v>
      </c>
      <c r="G243" s="5">
        <v>0</v>
      </c>
      <c r="H243" s="5">
        <v>32581344690.268448</v>
      </c>
      <c r="I243" s="5">
        <v>36191567234.51342</v>
      </c>
      <c r="J243" s="5">
        <v>36191567234.51342</v>
      </c>
      <c r="K243" s="5">
        <v>-4.636359089529849E-11</v>
      </c>
      <c r="L243" s="5">
        <v>-4.636359089529849E-11</v>
      </c>
      <c r="M243" s="5">
        <v>0</v>
      </c>
      <c r="N243" s="5">
        <v>2.0000000000000001E-4</v>
      </c>
      <c r="O243" s="5">
        <v>16.513132465651132</v>
      </c>
      <c r="P243" s="5">
        <v>16.513132465651132</v>
      </c>
      <c r="Q243" s="5">
        <v>8.568343543355123E-9</v>
      </c>
      <c r="R243" s="5">
        <v>0</v>
      </c>
      <c r="S243" s="5">
        <v>2.4533972455788479E-5</v>
      </c>
      <c r="T243" s="5">
        <v>1.0310111272122485E-5</v>
      </c>
      <c r="U243" s="5">
        <v>1.0310111272122485E-5</v>
      </c>
      <c r="V243" s="5">
        <v>0</v>
      </c>
      <c r="W243" s="5">
        <v>0</v>
      </c>
      <c r="X243" s="5">
        <v>2.156504893067674</v>
      </c>
      <c r="Y243" s="5">
        <v>4000.3606379054818</v>
      </c>
      <c r="Z243" s="5">
        <f t="shared" ref="Z243:AA243" si="75">Z242+0.0002</f>
        <v>-7.9999999999999982E-4</v>
      </c>
      <c r="AA243" s="5">
        <f t="shared" si="75"/>
        <v>-6.0000000000000006E-4</v>
      </c>
      <c r="AB243" s="4">
        <v>2</v>
      </c>
    </row>
    <row r="244" spans="1:28" x14ac:dyDescent="0.25">
      <c r="C244" s="4">
        <v>4</v>
      </c>
      <c r="D244" s="5">
        <v>84047994755.855713</v>
      </c>
      <c r="E244" s="5">
        <v>84047994755.855713</v>
      </c>
      <c r="F244" s="5">
        <v>0.21912419253541171</v>
      </c>
      <c r="G244" s="5">
        <v>0</v>
      </c>
      <c r="H244" s="5">
        <v>31970955299.554413</v>
      </c>
      <c r="I244" s="5">
        <v>36161047764.977722</v>
      </c>
      <c r="J244" s="5">
        <v>36161047764.977722</v>
      </c>
      <c r="K244" s="5">
        <v>-5.0424610236917501E-11</v>
      </c>
      <c r="L244" s="5">
        <v>-5.0424610236917501E-11</v>
      </c>
      <c r="M244" s="5">
        <v>0</v>
      </c>
      <c r="N244" s="5">
        <v>2.0000000000000001E-4</v>
      </c>
      <c r="O244" s="5">
        <v>9.4711942567641429</v>
      </c>
      <c r="P244" s="5">
        <v>9.4711942567641429</v>
      </c>
      <c r="Q244" s="5">
        <v>9.3131485903594496E-9</v>
      </c>
      <c r="R244" s="5">
        <v>0</v>
      </c>
      <c r="S244" s="5">
        <v>1.7056702419541593E-5</v>
      </c>
      <c r="T244" s="5">
        <v>1.0600046232711653E-5</v>
      </c>
      <c r="U244" s="5">
        <v>1.0600046232711653E-5</v>
      </c>
      <c r="V244" s="5">
        <v>0</v>
      </c>
      <c r="W244" s="5">
        <v>0</v>
      </c>
      <c r="X244" s="5">
        <v>2.192110940859326</v>
      </c>
      <c r="Y244" s="5">
        <v>4025.7935291852327</v>
      </c>
      <c r="Z244" s="5">
        <f t="shared" ref="Z244:AA244" si="76">Z243+0.0002</f>
        <v>-5.9999999999999984E-4</v>
      </c>
      <c r="AA244" s="5">
        <f t="shared" si="76"/>
        <v>-4.0000000000000007E-4</v>
      </c>
      <c r="AB244" s="4">
        <v>2</v>
      </c>
    </row>
    <row r="245" spans="1:28" x14ac:dyDescent="0.25">
      <c r="C245" s="4">
        <v>5</v>
      </c>
      <c r="D245" s="5">
        <v>82507370410.521484</v>
      </c>
      <c r="E245" s="5">
        <v>82507370410.521484</v>
      </c>
      <c r="F245" s="5">
        <v>0.21667504950982297</v>
      </c>
      <c r="G245" s="5">
        <v>0</v>
      </c>
      <c r="H245" s="5">
        <v>31487489022.896645</v>
      </c>
      <c r="I245" s="5">
        <v>36136874451.144829</v>
      </c>
      <c r="J245" s="5">
        <v>36136874451.144829</v>
      </c>
      <c r="K245" s="5">
        <v>-5.3641189572005549E-11</v>
      </c>
      <c r="L245" s="5">
        <v>-5.3641189572005549E-11</v>
      </c>
      <c r="M245" s="5">
        <v>0</v>
      </c>
      <c r="N245" s="5">
        <v>2.0000000000000001E-4</v>
      </c>
      <c r="O245" s="5">
        <v>3.893542190560872</v>
      </c>
      <c r="P245" s="5">
        <v>3.893542190560872</v>
      </c>
      <c r="Q245" s="5">
        <v>9.9030804082926993E-9</v>
      </c>
      <c r="R245" s="5">
        <v>0</v>
      </c>
      <c r="S245" s="5">
        <v>1.1134240530483909E-5</v>
      </c>
      <c r="T245" s="5">
        <v>1.0829692714124093E-5</v>
      </c>
      <c r="U245" s="5">
        <v>1.0829692714124093E-5</v>
      </c>
      <c r="V245" s="5">
        <v>0</v>
      </c>
      <c r="W245" s="5">
        <v>0</v>
      </c>
      <c r="X245" s="5">
        <v>2.220313140331029</v>
      </c>
      <c r="Y245" s="5">
        <v>4045.9379573793067</v>
      </c>
      <c r="Z245" s="5">
        <f t="shared" ref="Z245:AA245" si="77">Z244+0.0002</f>
        <v>-3.9999999999999986E-4</v>
      </c>
      <c r="AA245" s="5">
        <f t="shared" si="77"/>
        <v>-2.0000000000000006E-4</v>
      </c>
      <c r="AB245" s="4">
        <v>2</v>
      </c>
    </row>
    <row r="246" spans="1:28" x14ac:dyDescent="0.25">
      <c r="C246" s="4">
        <v>6</v>
      </c>
      <c r="D246" s="5">
        <v>81220377406.561646</v>
      </c>
      <c r="E246" s="5">
        <v>81220377406.561646</v>
      </c>
      <c r="F246" s="5">
        <v>0.21462910628610615</v>
      </c>
      <c r="G246" s="5">
        <v>0</v>
      </c>
      <c r="H246" s="5">
        <v>31083615283.270607</v>
      </c>
      <c r="I246" s="5">
        <v>36116680764.163528</v>
      </c>
      <c r="J246" s="5">
        <v>36116680764.163528</v>
      </c>
      <c r="K246" s="5">
        <v>-5.6328226884817799E-11</v>
      </c>
      <c r="L246" s="5">
        <v>-5.6328226884817799E-11</v>
      </c>
      <c r="M246" s="5">
        <v>0</v>
      </c>
      <c r="N246" s="5">
        <v>2.0000000000000001E-4</v>
      </c>
      <c r="O246" s="5">
        <v>-0.76586697005985371</v>
      </c>
      <c r="P246" s="5">
        <v>-0.76586697005985371</v>
      </c>
      <c r="Q246" s="5">
        <v>1.0395892380784716E-8</v>
      </c>
      <c r="R246" s="5">
        <v>0</v>
      </c>
      <c r="S246" s="5">
        <v>6.1867872200649577E-6</v>
      </c>
      <c r="T246" s="5">
        <v>1.1021532740446458E-5</v>
      </c>
      <c r="U246" s="5">
        <v>1.1021532740446458E-5</v>
      </c>
      <c r="V246" s="5">
        <v>0</v>
      </c>
      <c r="W246" s="5">
        <v>0</v>
      </c>
      <c r="X246" s="5">
        <v>2.2438724418092146</v>
      </c>
      <c r="Y246" s="5">
        <v>4062.7660298637247</v>
      </c>
      <c r="Z246" s="5">
        <f t="shared" ref="Z246:AA246" si="78">Z245+0.0002</f>
        <v>-1.9999999999999985E-4</v>
      </c>
      <c r="AA246" s="5">
        <f t="shared" si="78"/>
        <v>0</v>
      </c>
      <c r="AB246" s="4">
        <v>2</v>
      </c>
    </row>
    <row r="247" spans="1:28" x14ac:dyDescent="0.25">
      <c r="C247" s="4">
        <v>7</v>
      </c>
      <c r="D247" s="5">
        <v>80108874849.317444</v>
      </c>
      <c r="E247" s="5">
        <v>80108874849.317444</v>
      </c>
      <c r="F247" s="5">
        <v>0.21286214164982542</v>
      </c>
      <c r="G247" s="5">
        <v>0</v>
      </c>
      <c r="H247" s="5">
        <v>30734812536.855576</v>
      </c>
      <c r="I247" s="5">
        <v>36099240626.842781</v>
      </c>
      <c r="J247" s="5">
        <v>36099240626.842781</v>
      </c>
      <c r="K247" s="5">
        <v>-5.864886797254093E-11</v>
      </c>
      <c r="L247" s="5">
        <v>-5.864886797254093E-11</v>
      </c>
      <c r="M247" s="5">
        <v>0</v>
      </c>
      <c r="N247" s="5">
        <v>2.0000000000000001E-4</v>
      </c>
      <c r="O247" s="5">
        <v>-4.7899332869259226</v>
      </c>
      <c r="P247" s="5">
        <v>-4.7899332869259226</v>
      </c>
      <c r="Q247" s="5">
        <v>1.0821506013477421E-8</v>
      </c>
      <c r="R247" s="5">
        <v>0</v>
      </c>
      <c r="S247" s="5">
        <v>1.9139535764808191E-6</v>
      </c>
      <c r="T247" s="5">
        <v>1.1187214044993599E-5</v>
      </c>
      <c r="U247" s="5">
        <v>1.1187214044993599E-5</v>
      </c>
      <c r="V247" s="5">
        <v>0</v>
      </c>
      <c r="W247" s="5">
        <v>0</v>
      </c>
      <c r="X247" s="5">
        <v>2.264219268683425</v>
      </c>
      <c r="Y247" s="5">
        <v>4077.2994776310179</v>
      </c>
      <c r="Z247" s="5">
        <f t="shared" ref="Z247:AA247" si="79">Z246+0.0002</f>
        <v>0</v>
      </c>
      <c r="AA247" s="5">
        <f t="shared" si="79"/>
        <v>2.0000000000000001E-4</v>
      </c>
      <c r="AB247" s="4">
        <v>2</v>
      </c>
    </row>
    <row r="248" spans="1:28" x14ac:dyDescent="0.25">
      <c r="C248" s="4">
        <v>8</v>
      </c>
      <c r="D248" s="5">
        <v>79126765057.024628</v>
      </c>
      <c r="E248" s="5">
        <v>79126765057.024628</v>
      </c>
      <c r="F248" s="5">
        <v>0.21130087374214834</v>
      </c>
      <c r="G248" s="5">
        <v>0</v>
      </c>
      <c r="H248" s="5">
        <v>30426614781.843521</v>
      </c>
      <c r="I248" s="5">
        <v>36083830739.092178</v>
      </c>
      <c r="J248" s="5">
        <v>36083830739.092178</v>
      </c>
      <c r="K248" s="5">
        <v>-6.0699357484954323E-11</v>
      </c>
      <c r="L248" s="5">
        <v>-6.0699357484954323E-11</v>
      </c>
      <c r="M248" s="5">
        <v>0</v>
      </c>
      <c r="N248" s="5">
        <v>2.0000000000000001E-4</v>
      </c>
      <c r="O248" s="5">
        <v>-8.3455480795974992</v>
      </c>
      <c r="P248" s="5">
        <v>-8.3455480795974992</v>
      </c>
      <c r="Q248" s="5">
        <v>1.1197572909299219E-8</v>
      </c>
      <c r="R248" s="5">
        <v>0</v>
      </c>
      <c r="S248" s="5">
        <v>-1.8614689224168889E-6</v>
      </c>
      <c r="T248" s="5">
        <v>1.1333607978624329E-5</v>
      </c>
      <c r="U248" s="5">
        <v>1.1333607978624329E-5</v>
      </c>
      <c r="V248" s="5">
        <v>0</v>
      </c>
      <c r="W248" s="5">
        <v>0</v>
      </c>
      <c r="X248" s="5">
        <v>2.2821974710591282</v>
      </c>
      <c r="Y248" s="5">
        <v>4090.1410507565197</v>
      </c>
      <c r="Z248" s="5">
        <f t="shared" ref="Z248:AA248" si="80">Z247+0.0002</f>
        <v>2.0000000000000001E-4</v>
      </c>
      <c r="AA248" s="5">
        <f t="shared" si="80"/>
        <v>4.0000000000000002E-4</v>
      </c>
      <c r="AB248" s="4">
        <v>2</v>
      </c>
    </row>
    <row r="249" spans="1:28" x14ac:dyDescent="0.25">
      <c r="C249" s="4">
        <v>9</v>
      </c>
      <c r="D249" s="5">
        <v>78244414059.216309</v>
      </c>
      <c r="E249" s="5">
        <v>78244414059.216309</v>
      </c>
      <c r="F249" s="5">
        <v>0.20989819319971237</v>
      </c>
      <c r="G249" s="5">
        <v>0</v>
      </c>
      <c r="H249" s="5">
        <v>30149722525.202522</v>
      </c>
      <c r="I249" s="5">
        <v>36069986126.260124</v>
      </c>
      <c r="J249" s="5">
        <v>36069986126.260124</v>
      </c>
      <c r="K249" s="5">
        <v>-6.2541566453311788E-11</v>
      </c>
      <c r="L249" s="5">
        <v>-6.2541566453311788E-11</v>
      </c>
      <c r="M249" s="5">
        <v>0</v>
      </c>
      <c r="N249" s="5">
        <v>2.0000000000000001E-4</v>
      </c>
      <c r="O249" s="5">
        <v>-11.539997707079145</v>
      </c>
      <c r="P249" s="5">
        <v>-11.539997707079145</v>
      </c>
      <c r="Q249" s="5">
        <v>1.1535440430196634E-8</v>
      </c>
      <c r="R249" s="5">
        <v>0</v>
      </c>
      <c r="S249" s="5">
        <v>-5.2533990662691237E-6</v>
      </c>
      <c r="T249" s="5">
        <v>1.1465131800528803E-5</v>
      </c>
      <c r="U249" s="5">
        <v>1.1465131800528803E-5</v>
      </c>
      <c r="V249" s="5">
        <v>0</v>
      </c>
      <c r="W249" s="5">
        <v>0</v>
      </c>
      <c r="X249" s="5">
        <v>2.2983495193631867</v>
      </c>
      <c r="Y249" s="5">
        <v>4101.6782281165615</v>
      </c>
      <c r="Z249" s="5">
        <f t="shared" ref="Z249:AA249" si="81">Z248+0.0002</f>
        <v>4.0000000000000002E-4</v>
      </c>
      <c r="AA249" s="5">
        <f t="shared" si="81"/>
        <v>6.0000000000000006E-4</v>
      </c>
      <c r="AB249" s="4">
        <v>2</v>
      </c>
    </row>
    <row r="250" spans="1:28" x14ac:dyDescent="0.25">
      <c r="C250" s="4">
        <v>10</v>
      </c>
      <c r="D250" s="5">
        <v>77441565440.015442</v>
      </c>
      <c r="E250" s="5">
        <v>77441565440.015442</v>
      </c>
      <c r="F250" s="5">
        <v>0.20862189823379529</v>
      </c>
      <c r="G250" s="5">
        <v>0</v>
      </c>
      <c r="H250" s="5">
        <v>29897779062.267914</v>
      </c>
      <c r="I250" s="5">
        <v>36057388953.113396</v>
      </c>
      <c r="J250" s="5">
        <v>36057388953.113396</v>
      </c>
      <c r="K250" s="5">
        <v>-6.421778706188926E-11</v>
      </c>
      <c r="L250" s="5">
        <v>-6.421778706188926E-11</v>
      </c>
      <c r="M250" s="5">
        <v>0</v>
      </c>
      <c r="N250" s="5">
        <v>2.0000000000000001E-4</v>
      </c>
      <c r="O250" s="5">
        <v>-14.446618177731629</v>
      </c>
      <c r="P250" s="5">
        <v>-14.446618177731629</v>
      </c>
      <c r="Q250" s="5">
        <v>1.1842865109603218E-8</v>
      </c>
      <c r="R250" s="5">
        <v>0</v>
      </c>
      <c r="S250" s="5">
        <v>-8.3397064872180545E-6</v>
      </c>
      <c r="T250" s="5">
        <v>1.1584804945422742E-5</v>
      </c>
      <c r="U250" s="5">
        <v>1.1584804945422742E-5</v>
      </c>
      <c r="V250" s="5">
        <v>0</v>
      </c>
      <c r="W250" s="5">
        <v>0</v>
      </c>
      <c r="X250" s="5">
        <v>2.313046221367705</v>
      </c>
      <c r="Y250" s="5">
        <v>4112.1758724055035</v>
      </c>
      <c r="Z250" s="5">
        <f t="shared" ref="Z250:AA250" si="82">Z249+0.0002</f>
        <v>6.0000000000000006E-4</v>
      </c>
      <c r="AA250" s="5">
        <f t="shared" si="82"/>
        <v>8.0000000000000004E-4</v>
      </c>
      <c r="AB250" s="4">
        <v>2</v>
      </c>
    </row>
    <row r="251" spans="1:28" x14ac:dyDescent="0.25">
      <c r="C251" s="4">
        <v>11</v>
      </c>
      <c r="D251" s="5">
        <v>76703718282.793335</v>
      </c>
      <c r="E251" s="5">
        <v>76703718282.793335</v>
      </c>
      <c r="F251" s="5">
        <v>0.20744893661954211</v>
      </c>
      <c r="G251" s="5">
        <v>0</v>
      </c>
      <c r="H251" s="5">
        <v>29666233832.617981</v>
      </c>
      <c r="I251" s="5">
        <v>36045811691.630898</v>
      </c>
      <c r="J251" s="5">
        <v>36045811691.630898</v>
      </c>
      <c r="K251" s="5">
        <v>-6.5758294925186185E-11</v>
      </c>
      <c r="L251" s="5">
        <v>-6.5758294925186185E-11</v>
      </c>
      <c r="M251" s="5">
        <v>0</v>
      </c>
      <c r="N251" s="5">
        <v>2.0000000000000001E-4</v>
      </c>
      <c r="O251" s="5">
        <v>-17.117908381268727</v>
      </c>
      <c r="P251" s="5">
        <v>-17.117908381268727</v>
      </c>
      <c r="Q251" s="5">
        <v>1.2125399600334301E-8</v>
      </c>
      <c r="R251" s="5">
        <v>0</v>
      </c>
      <c r="S251" s="5">
        <v>-1.1176135550429702E-5</v>
      </c>
      <c r="T251" s="5">
        <v>1.1694788929506457E-5</v>
      </c>
      <c r="U251" s="5">
        <v>1.1694788929506457E-5</v>
      </c>
      <c r="V251" s="5">
        <v>0</v>
      </c>
      <c r="W251" s="5">
        <v>0</v>
      </c>
      <c r="X251" s="5">
        <v>2.3265530264306178</v>
      </c>
      <c r="Y251" s="5">
        <v>4121.8235903075838</v>
      </c>
      <c r="Z251" s="5">
        <f t="shared" ref="Z251:AA251" si="83">Z250+0.0002</f>
        <v>8.0000000000000004E-4</v>
      </c>
      <c r="AA251" s="5">
        <f t="shared" si="83"/>
        <v>1E-3</v>
      </c>
      <c r="AB251" s="4">
        <v>2</v>
      </c>
    </row>
    <row r="252" spans="1:28" x14ac:dyDescent="0.25">
      <c r="B252" t="s">
        <v>187</v>
      </c>
      <c r="C252" s="11">
        <v>12</v>
      </c>
      <c r="D252" s="5">
        <v>76020110574.816177</v>
      </c>
      <c r="E252" s="5">
        <v>76020110574.816177</v>
      </c>
      <c r="F252" s="5">
        <v>0.20636219989796462</v>
      </c>
      <c r="G252" s="5">
        <v>0</v>
      </c>
      <c r="H252" s="5">
        <v>29451709588.423615</v>
      </c>
      <c r="I252" s="5">
        <v>36035085479.421181</v>
      </c>
      <c r="J252" s="5">
        <v>36035085479.421181</v>
      </c>
      <c r="K252" s="5">
        <v>-6.7185559419250243E-11</v>
      </c>
      <c r="L252" s="5">
        <v>-6.7185559419250243E-11</v>
      </c>
      <c r="M252" s="5">
        <v>0</v>
      </c>
      <c r="N252" s="5">
        <v>2.0000000000000001E-4</v>
      </c>
      <c r="O252" s="5">
        <v>-19.592830938749209</v>
      </c>
      <c r="P252" s="5">
        <v>-19.592830938749209</v>
      </c>
      <c r="Q252" s="5">
        <v>1.2387164863970102E-8</v>
      </c>
      <c r="R252" s="5">
        <v>0</v>
      </c>
      <c r="S252" s="5">
        <v>-1.3804057541810731E-5</v>
      </c>
      <c r="T252" s="5">
        <v>1.1796687945498782E-5</v>
      </c>
      <c r="U252" s="5">
        <v>1.1796687945498782E-5</v>
      </c>
      <c r="V252" s="5">
        <v>0</v>
      </c>
      <c r="W252" s="5">
        <v>0</v>
      </c>
      <c r="X252" s="5">
        <v>2.3390669406752895</v>
      </c>
      <c r="Y252" s="5">
        <v>4130.7621004823495</v>
      </c>
      <c r="Z252" s="5">
        <f t="shared" ref="Z252:AA252" si="84">Z251+0.0002</f>
        <v>1E-3</v>
      </c>
      <c r="AA252" s="5">
        <f t="shared" si="84"/>
        <v>1.2000000000000001E-3</v>
      </c>
      <c r="AB252" s="4">
        <v>2</v>
      </c>
    </row>
    <row r="253" spans="1:28" x14ac:dyDescent="0.25">
      <c r="C253" s="11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8" x14ac:dyDescent="0.25">
      <c r="C254" s="11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8" x14ac:dyDescent="0.25">
      <c r="A255" s="15" t="s">
        <v>253</v>
      </c>
      <c r="C255" s="10" t="s">
        <v>27</v>
      </c>
      <c r="D255" s="10" t="s">
        <v>28</v>
      </c>
      <c r="E255" s="10" t="s">
        <v>29</v>
      </c>
      <c r="F255" s="10" t="s">
        <v>30</v>
      </c>
      <c r="G255" s="10" t="s">
        <v>31</v>
      </c>
      <c r="H255" s="10" t="s">
        <v>47</v>
      </c>
      <c r="I255" s="10" t="s">
        <v>32</v>
      </c>
      <c r="J255" s="10" t="s">
        <v>33</v>
      </c>
      <c r="K255" s="10" t="s">
        <v>34</v>
      </c>
      <c r="L255" s="10" t="s">
        <v>35</v>
      </c>
      <c r="M255" s="10" t="s">
        <v>36</v>
      </c>
      <c r="N255" s="10" t="s">
        <v>37</v>
      </c>
      <c r="O255" s="10" t="s">
        <v>38</v>
      </c>
      <c r="P255" s="10" t="s">
        <v>39</v>
      </c>
      <c r="Q255" s="10" t="s">
        <v>40</v>
      </c>
      <c r="R255" s="10" t="s">
        <v>41</v>
      </c>
      <c r="S255" s="10" t="s">
        <v>42</v>
      </c>
      <c r="T255" s="10" t="s">
        <v>48</v>
      </c>
      <c r="U255" s="10" t="s">
        <v>77</v>
      </c>
      <c r="V255" s="10" t="s">
        <v>78</v>
      </c>
      <c r="W255" s="10" t="s">
        <v>79</v>
      </c>
      <c r="X255" s="10" t="s">
        <v>49</v>
      </c>
      <c r="Y255" s="10" t="s">
        <v>43</v>
      </c>
      <c r="Z255" s="10" t="s">
        <v>44</v>
      </c>
      <c r="AA255" s="10" t="s">
        <v>45</v>
      </c>
      <c r="AB255" s="10" t="s">
        <v>46</v>
      </c>
    </row>
    <row r="256" spans="1:28" x14ac:dyDescent="0.25">
      <c r="A256" s="12" t="s">
        <v>81</v>
      </c>
      <c r="B256" t="s">
        <v>183</v>
      </c>
      <c r="C256" s="11">
        <v>1</v>
      </c>
      <c r="D256" s="5">
        <v>80138284640.865524</v>
      </c>
      <c r="E256" s="5">
        <v>80138284640.865524</v>
      </c>
      <c r="F256" s="5">
        <v>0.20069283561516357</v>
      </c>
      <c r="G256" s="5">
        <v>0</v>
      </c>
      <c r="H256" s="5">
        <v>29944656953.70713</v>
      </c>
      <c r="I256" s="5">
        <v>31122232847.685356</v>
      </c>
      <c r="J256" s="5">
        <v>31122232847.685356</v>
      </c>
      <c r="K256" s="5">
        <v>-2.6315537029474725E-11</v>
      </c>
      <c r="L256" s="5">
        <v>-2.6315537029474725E-11</v>
      </c>
      <c r="M256" s="5">
        <v>0</v>
      </c>
      <c r="N256" s="5">
        <v>2.0000000000000001E-4</v>
      </c>
      <c r="O256" s="5">
        <v>37.432947106621199</v>
      </c>
      <c r="P256" s="5">
        <v>37.432947106621199</v>
      </c>
      <c r="Q256" s="5">
        <v>4.8821608580519749E-9</v>
      </c>
      <c r="R256" s="5">
        <v>0</v>
      </c>
      <c r="S256" s="5">
        <v>4.5747047682912341E-5</v>
      </c>
      <c r="T256" s="5">
        <v>7.8787879469891108E-6</v>
      </c>
      <c r="U256" s="5">
        <v>7.8787879469891108E-6</v>
      </c>
      <c r="V256" s="5">
        <v>0</v>
      </c>
      <c r="W256" s="5">
        <v>0</v>
      </c>
      <c r="X256" s="5">
        <v>1.7307283443670842</v>
      </c>
      <c r="Y256" s="5">
        <v>3344.8059602622034</v>
      </c>
      <c r="Z256" s="5">
        <v>-1.1999999999999999E-3</v>
      </c>
      <c r="AA256" s="5">
        <v>-1E-3</v>
      </c>
      <c r="AB256" s="4">
        <v>2</v>
      </c>
    </row>
    <row r="257" spans="1:28" x14ac:dyDescent="0.25">
      <c r="C257" s="4">
        <v>2</v>
      </c>
      <c r="D257" s="5">
        <v>75161722751.688049</v>
      </c>
      <c r="E257" s="5">
        <v>75161722751.688049</v>
      </c>
      <c r="F257" s="5">
        <v>0.19278155478982681</v>
      </c>
      <c r="G257" s="5">
        <v>0</v>
      </c>
      <c r="H257" s="5">
        <v>28382952535.362633</v>
      </c>
      <c r="I257" s="5">
        <v>31044147626.768135</v>
      </c>
      <c r="J257" s="5">
        <v>31044147626.768135</v>
      </c>
      <c r="K257" s="5">
        <v>-3.6705809116887444E-11</v>
      </c>
      <c r="L257" s="5">
        <v>-3.6705809116887444E-11</v>
      </c>
      <c r="M257" s="5">
        <v>0</v>
      </c>
      <c r="N257" s="5">
        <v>2.0000000000000001E-4</v>
      </c>
      <c r="O257" s="5">
        <v>19.415880981564584</v>
      </c>
      <c r="P257" s="5">
        <v>19.415880981564584</v>
      </c>
      <c r="Q257" s="5">
        <v>6.7877728336324628E-9</v>
      </c>
      <c r="R257" s="5">
        <v>0</v>
      </c>
      <c r="S257" s="5">
        <v>2.661616855819227E-5</v>
      </c>
      <c r="T257" s="5">
        <v>8.6205975457027468E-6</v>
      </c>
      <c r="U257" s="5">
        <v>8.6205975457027468E-6</v>
      </c>
      <c r="V257" s="5">
        <v>0</v>
      </c>
      <c r="W257" s="5">
        <v>0</v>
      </c>
      <c r="X257" s="5">
        <v>1.8218277687705129</v>
      </c>
      <c r="Y257" s="5">
        <v>3409.8769776932231</v>
      </c>
      <c r="Z257" s="5">
        <f t="shared" ref="Z257:AA257" si="85">Z256+0.0002</f>
        <v>-9.999999999999998E-4</v>
      </c>
      <c r="AA257" s="5">
        <f t="shared" si="85"/>
        <v>-8.0000000000000004E-4</v>
      </c>
      <c r="AB257" s="4">
        <v>2</v>
      </c>
    </row>
    <row r="258" spans="1:28" x14ac:dyDescent="0.25">
      <c r="C258" s="4">
        <v>3</v>
      </c>
      <c r="D258" s="5">
        <v>72447970330.526993</v>
      </c>
      <c r="E258" s="5">
        <v>72447970330.526993</v>
      </c>
      <c r="F258" s="5">
        <v>0.1884674805409097</v>
      </c>
      <c r="G258" s="5">
        <v>0</v>
      </c>
      <c r="H258" s="5">
        <v>27531344690.268448</v>
      </c>
      <c r="I258" s="5">
        <v>31001567234.51342</v>
      </c>
      <c r="J258" s="5">
        <v>31001567234.51342</v>
      </c>
      <c r="K258" s="5">
        <v>-4.2371693850493916E-11</v>
      </c>
      <c r="L258" s="5">
        <v>-4.2371693850493916E-11</v>
      </c>
      <c r="M258" s="5">
        <v>0</v>
      </c>
      <c r="N258" s="5">
        <v>2.0000000000000001E-4</v>
      </c>
      <c r="O258" s="5">
        <v>9.5910545435732075</v>
      </c>
      <c r="P258" s="5">
        <v>9.5910545435732075</v>
      </c>
      <c r="Q258" s="5">
        <v>7.8269157655773462E-9</v>
      </c>
      <c r="R258" s="5">
        <v>0</v>
      </c>
      <c r="S258" s="5">
        <v>1.6183972455788479E-5</v>
      </c>
      <c r="T258" s="5">
        <v>9.0251112721224865E-6</v>
      </c>
      <c r="U258" s="5">
        <v>9.0251112721224865E-6</v>
      </c>
      <c r="V258" s="5">
        <v>0</v>
      </c>
      <c r="W258" s="5">
        <v>0</v>
      </c>
      <c r="X258" s="5">
        <v>1.8715048930676739</v>
      </c>
      <c r="Y258" s="5">
        <v>3445.3606379054818</v>
      </c>
      <c r="Z258" s="5">
        <f t="shared" ref="Z258:AA258" si="86">Z257+0.0002</f>
        <v>-7.9999999999999982E-4</v>
      </c>
      <c r="AA258" s="5">
        <f t="shared" si="86"/>
        <v>-6.0000000000000006E-4</v>
      </c>
      <c r="AB258" s="4">
        <v>2</v>
      </c>
    </row>
    <row r="259" spans="1:28" x14ac:dyDescent="0.25">
      <c r="C259" s="4">
        <v>4</v>
      </c>
      <c r="D259" s="5">
        <v>70502889978.762482</v>
      </c>
      <c r="E259" s="5">
        <v>70502889978.762482</v>
      </c>
      <c r="F259" s="5">
        <v>0.18537537051930655</v>
      </c>
      <c r="G259" s="5">
        <v>0</v>
      </c>
      <c r="H259" s="5">
        <v>26920955299.554413</v>
      </c>
      <c r="I259" s="5">
        <v>30971047764.977722</v>
      </c>
      <c r="J259" s="5">
        <v>30971047764.977722</v>
      </c>
      <c r="K259" s="5">
        <v>-4.6432713192112927E-11</v>
      </c>
      <c r="L259" s="5">
        <v>-4.6432713192112927E-11</v>
      </c>
      <c r="M259" s="5">
        <v>0</v>
      </c>
      <c r="N259" s="5">
        <v>2.0000000000000001E-4</v>
      </c>
      <c r="O259" s="5">
        <v>2.549116334686218</v>
      </c>
      <c r="P259" s="5">
        <v>2.549116334686218</v>
      </c>
      <c r="Q259" s="5">
        <v>8.5717208125816712E-9</v>
      </c>
      <c r="R259" s="5">
        <v>0</v>
      </c>
      <c r="S259" s="5">
        <v>8.7067024195415933E-6</v>
      </c>
      <c r="T259" s="5">
        <v>9.3150462327116506E-6</v>
      </c>
      <c r="U259" s="5">
        <v>9.3150462327116506E-6</v>
      </c>
      <c r="V259" s="5">
        <v>0</v>
      </c>
      <c r="W259" s="5">
        <v>0</v>
      </c>
      <c r="X259" s="5">
        <v>1.9071109408593259</v>
      </c>
      <c r="Y259" s="5">
        <v>3470.7935291852327</v>
      </c>
      <c r="Z259" s="5">
        <f t="shared" ref="Z259:AA259" si="87">Z258+0.0002</f>
        <v>-5.9999999999999984E-4</v>
      </c>
      <c r="AA259" s="5">
        <f t="shared" si="87"/>
        <v>-4.0000000000000007E-4</v>
      </c>
      <c r="AB259" s="4">
        <v>2</v>
      </c>
    </row>
    <row r="260" spans="1:28" x14ac:dyDescent="0.25">
      <c r="C260" s="4">
        <v>5</v>
      </c>
      <c r="D260" s="5">
        <v>68962265633.428238</v>
      </c>
      <c r="E260" s="5">
        <v>68962265633.428238</v>
      </c>
      <c r="F260" s="5">
        <v>0.18292622749371781</v>
      </c>
      <c r="G260" s="5">
        <v>0</v>
      </c>
      <c r="H260" s="5">
        <v>26437489022.896645</v>
      </c>
      <c r="I260" s="5">
        <v>30946874451.144829</v>
      </c>
      <c r="J260" s="5">
        <v>30946874451.144829</v>
      </c>
      <c r="K260" s="5">
        <v>-4.9649292527200975E-11</v>
      </c>
      <c r="L260" s="5">
        <v>-4.9649292527200975E-11</v>
      </c>
      <c r="M260" s="5">
        <v>0</v>
      </c>
      <c r="N260" s="5">
        <v>2.0000000000000001E-4</v>
      </c>
      <c r="O260" s="5">
        <v>-3.0285357315170529</v>
      </c>
      <c r="P260" s="5">
        <v>-3.0285357315170529</v>
      </c>
      <c r="Q260" s="5">
        <v>9.1616526305149224E-9</v>
      </c>
      <c r="R260" s="5">
        <v>0</v>
      </c>
      <c r="S260" s="5">
        <v>2.7842405304839097E-6</v>
      </c>
      <c r="T260" s="5">
        <v>9.5446927141240911E-6</v>
      </c>
      <c r="U260" s="5">
        <v>9.5446927141240911E-6</v>
      </c>
      <c r="V260" s="5">
        <v>0</v>
      </c>
      <c r="W260" s="5">
        <v>0</v>
      </c>
      <c r="X260" s="5">
        <v>1.9353131403310289</v>
      </c>
      <c r="Y260" s="5">
        <v>3490.9379573793067</v>
      </c>
      <c r="Z260" s="5">
        <f t="shared" ref="Z260:AA260" si="88">Z259+0.0002</f>
        <v>-3.9999999999999986E-4</v>
      </c>
      <c r="AA260" s="5">
        <f t="shared" si="88"/>
        <v>-2.0000000000000006E-4</v>
      </c>
      <c r="AB260" s="4">
        <v>2</v>
      </c>
    </row>
    <row r="261" spans="1:28" x14ac:dyDescent="0.25">
      <c r="C261" s="4">
        <v>6</v>
      </c>
      <c r="D261" s="5">
        <v>67675272629.468399</v>
      </c>
      <c r="E261" s="5">
        <v>67675272629.468399</v>
      </c>
      <c r="F261" s="5">
        <v>0.180880284270001</v>
      </c>
      <c r="G261" s="5">
        <v>0</v>
      </c>
      <c r="H261" s="5">
        <v>26033615283.270607</v>
      </c>
      <c r="I261" s="5">
        <v>30926680764.163528</v>
      </c>
      <c r="J261" s="5">
        <v>30926680764.163528</v>
      </c>
      <c r="K261" s="5">
        <v>-5.2336329840013225E-11</v>
      </c>
      <c r="L261" s="5">
        <v>-5.2336329840013225E-11</v>
      </c>
      <c r="M261" s="5">
        <v>0</v>
      </c>
      <c r="N261" s="5">
        <v>2.0000000000000001E-4</v>
      </c>
      <c r="O261" s="5">
        <v>-7.6879448921377787</v>
      </c>
      <c r="P261" s="5">
        <v>-7.6879448921377787</v>
      </c>
      <c r="Q261" s="5">
        <v>9.654464603006938E-9</v>
      </c>
      <c r="R261" s="5">
        <v>0</v>
      </c>
      <c r="S261" s="5">
        <v>-2.163212779935042E-6</v>
      </c>
      <c r="T261" s="5">
        <v>9.7365327404464597E-6</v>
      </c>
      <c r="U261" s="5">
        <v>9.7365327404464597E-6</v>
      </c>
      <c r="V261" s="5">
        <v>0</v>
      </c>
      <c r="W261" s="5">
        <v>0</v>
      </c>
      <c r="X261" s="5">
        <v>1.9588724418092145</v>
      </c>
      <c r="Y261" s="5">
        <v>3507.7660298637247</v>
      </c>
      <c r="Z261" s="5">
        <f t="shared" ref="Z261:AA261" si="89">Z260+0.0002</f>
        <v>-1.9999999999999985E-4</v>
      </c>
      <c r="AA261" s="5">
        <f t="shared" si="89"/>
        <v>0</v>
      </c>
      <c r="AB261" s="4">
        <v>2</v>
      </c>
    </row>
    <row r="262" spans="1:28" x14ac:dyDescent="0.25">
      <c r="C262" s="4">
        <v>7</v>
      </c>
      <c r="D262" s="5">
        <v>66563770072.224197</v>
      </c>
      <c r="E262" s="5">
        <v>66563770072.224197</v>
      </c>
      <c r="F262" s="5">
        <v>0.17911331963372026</v>
      </c>
      <c r="G262" s="5">
        <v>0</v>
      </c>
      <c r="H262" s="5">
        <v>25684812536.855576</v>
      </c>
      <c r="I262" s="5">
        <v>30909240626.842781</v>
      </c>
      <c r="J262" s="5">
        <v>30909240626.842781</v>
      </c>
      <c r="K262" s="5">
        <v>-5.4656970927736362E-11</v>
      </c>
      <c r="L262" s="5">
        <v>-5.4656970927736362E-11</v>
      </c>
      <c r="M262" s="5">
        <v>0</v>
      </c>
      <c r="N262" s="5">
        <v>2.0000000000000001E-4</v>
      </c>
      <c r="O262" s="5">
        <v>-11.712011209003848</v>
      </c>
      <c r="P262" s="5">
        <v>-11.712011209003848</v>
      </c>
      <c r="Q262" s="5">
        <v>1.0080078235699643E-8</v>
      </c>
      <c r="R262" s="5">
        <v>0</v>
      </c>
      <c r="S262" s="5">
        <v>-6.4360464235191806E-6</v>
      </c>
      <c r="T262" s="5">
        <v>9.9022140449935971E-6</v>
      </c>
      <c r="U262" s="5">
        <v>9.9022140449935971E-6</v>
      </c>
      <c r="V262" s="5">
        <v>0</v>
      </c>
      <c r="W262" s="5">
        <v>0</v>
      </c>
      <c r="X262" s="5">
        <v>1.9792192686834249</v>
      </c>
      <c r="Y262" s="5">
        <v>3522.2994776310179</v>
      </c>
      <c r="Z262" s="5">
        <f t="shared" ref="Z262:AA262" si="90">Z261+0.0002</f>
        <v>0</v>
      </c>
      <c r="AA262" s="5">
        <f t="shared" si="90"/>
        <v>2.0000000000000001E-4</v>
      </c>
      <c r="AB262" s="4">
        <v>2</v>
      </c>
    </row>
    <row r="263" spans="1:28" x14ac:dyDescent="0.25">
      <c r="C263" s="4">
        <v>8</v>
      </c>
      <c r="D263" s="5">
        <v>65581660279.931396</v>
      </c>
      <c r="E263" s="5">
        <v>65581660279.931396</v>
      </c>
      <c r="F263" s="5">
        <v>0.17755205172604319</v>
      </c>
      <c r="G263" s="5">
        <v>0</v>
      </c>
      <c r="H263" s="5">
        <v>25376614781.843521</v>
      </c>
      <c r="I263" s="5">
        <v>30893830739.092178</v>
      </c>
      <c r="J263" s="5">
        <v>30893830739.092178</v>
      </c>
      <c r="K263" s="5">
        <v>-5.6707460440149755E-11</v>
      </c>
      <c r="L263" s="5">
        <v>-5.6707460440149755E-11</v>
      </c>
      <c r="M263" s="5">
        <v>0</v>
      </c>
      <c r="N263" s="5">
        <v>2.0000000000000001E-4</v>
      </c>
      <c r="O263" s="5">
        <v>-15.267626001675424</v>
      </c>
      <c r="P263" s="5">
        <v>-15.267626001675424</v>
      </c>
      <c r="Q263" s="5">
        <v>1.045614513152144E-8</v>
      </c>
      <c r="R263" s="5">
        <v>0</v>
      </c>
      <c r="S263" s="5">
        <v>-1.0211468922416889E-5</v>
      </c>
      <c r="T263" s="5">
        <v>1.0048607978624327E-5</v>
      </c>
      <c r="U263" s="5">
        <v>1.0048607978624327E-5</v>
      </c>
      <c r="V263" s="5">
        <v>0</v>
      </c>
      <c r="W263" s="5">
        <v>0</v>
      </c>
      <c r="X263" s="5">
        <v>1.997197471059128</v>
      </c>
      <c r="Y263" s="5">
        <v>3535.1410507565197</v>
      </c>
      <c r="Z263" s="5">
        <f t="shared" ref="Z263:AA263" si="91">Z262+0.0002</f>
        <v>2.0000000000000001E-4</v>
      </c>
      <c r="AA263" s="5">
        <f t="shared" si="91"/>
        <v>4.0000000000000002E-4</v>
      </c>
      <c r="AB263" s="4">
        <v>2</v>
      </c>
    </row>
    <row r="264" spans="1:28" x14ac:dyDescent="0.25">
      <c r="C264" s="4">
        <v>9</v>
      </c>
      <c r="D264" s="5">
        <v>64699309282.123062</v>
      </c>
      <c r="E264" s="5">
        <v>64699309282.123062</v>
      </c>
      <c r="F264" s="5">
        <v>0.17614937118360721</v>
      </c>
      <c r="G264" s="5">
        <v>0</v>
      </c>
      <c r="H264" s="5">
        <v>25099722525.202522</v>
      </c>
      <c r="I264" s="5">
        <v>30879986126.260124</v>
      </c>
      <c r="J264" s="5">
        <v>30879986126.260124</v>
      </c>
      <c r="K264" s="5">
        <v>-5.854966940850722E-11</v>
      </c>
      <c r="L264" s="5">
        <v>-5.854966940850722E-11</v>
      </c>
      <c r="M264" s="5">
        <v>0</v>
      </c>
      <c r="N264" s="5">
        <v>2.0000000000000001E-4</v>
      </c>
      <c r="O264" s="5">
        <v>-18.46207562915707</v>
      </c>
      <c r="P264" s="5">
        <v>-18.46207562915707</v>
      </c>
      <c r="Q264" s="5">
        <v>1.0794012652418857E-8</v>
      </c>
      <c r="R264" s="5">
        <v>0</v>
      </c>
      <c r="S264" s="5">
        <v>-1.3603399066269123E-5</v>
      </c>
      <c r="T264" s="5">
        <v>1.0180131800528801E-5</v>
      </c>
      <c r="U264" s="5">
        <v>1.0180131800528801E-5</v>
      </c>
      <c r="V264" s="5">
        <v>0</v>
      </c>
      <c r="W264" s="5">
        <v>0</v>
      </c>
      <c r="X264" s="5">
        <v>2.0133495193631865</v>
      </c>
      <c r="Y264" s="5">
        <v>3546.6782281165615</v>
      </c>
      <c r="Z264" s="5">
        <f t="shared" ref="Z264:AA264" si="92">Z263+0.0002</f>
        <v>4.0000000000000002E-4</v>
      </c>
      <c r="AA264" s="5">
        <f t="shared" si="92"/>
        <v>6.0000000000000006E-4</v>
      </c>
      <c r="AB264" s="4">
        <v>2</v>
      </c>
    </row>
    <row r="265" spans="1:28" x14ac:dyDescent="0.25">
      <c r="C265" s="4">
        <v>10</v>
      </c>
      <c r="D265" s="5">
        <v>63896460662.922211</v>
      </c>
      <c r="E265" s="5">
        <v>63896460662.922211</v>
      </c>
      <c r="F265" s="5">
        <v>0.17487307621769013</v>
      </c>
      <c r="G265" s="5">
        <v>0</v>
      </c>
      <c r="H265" s="5">
        <v>24847779062.267914</v>
      </c>
      <c r="I265" s="5">
        <v>30867388953.113396</v>
      </c>
      <c r="J265" s="5">
        <v>30867388953.113396</v>
      </c>
      <c r="K265" s="5">
        <v>-6.0225890017084693E-11</v>
      </c>
      <c r="L265" s="5">
        <v>-6.0225890017084693E-11</v>
      </c>
      <c r="M265" s="5">
        <v>0</v>
      </c>
      <c r="N265" s="5">
        <v>2.0000000000000001E-4</v>
      </c>
      <c r="O265" s="5">
        <v>-21.368696099809554</v>
      </c>
      <c r="P265" s="5">
        <v>-21.368696099809554</v>
      </c>
      <c r="Q265" s="5">
        <v>1.110143733182544E-8</v>
      </c>
      <c r="R265" s="5">
        <v>0</v>
      </c>
      <c r="S265" s="5">
        <v>-1.6689706487218054E-5</v>
      </c>
      <c r="T265" s="5">
        <v>1.0299804945422739E-5</v>
      </c>
      <c r="U265" s="5">
        <v>1.0299804945422739E-5</v>
      </c>
      <c r="V265" s="5">
        <v>0</v>
      </c>
      <c r="W265" s="5">
        <v>0</v>
      </c>
      <c r="X265" s="5">
        <v>2.0280462213677048</v>
      </c>
      <c r="Y265" s="5">
        <v>3557.1758724055035</v>
      </c>
      <c r="Z265" s="5">
        <f t="shared" ref="Z265:AA265" si="93">Z264+0.0002</f>
        <v>6.0000000000000006E-4</v>
      </c>
      <c r="AA265" s="5">
        <f t="shared" si="93"/>
        <v>8.0000000000000004E-4</v>
      </c>
      <c r="AB265" s="4">
        <v>2</v>
      </c>
    </row>
    <row r="266" spans="1:28" x14ac:dyDescent="0.25">
      <c r="C266" s="4">
        <v>11</v>
      </c>
      <c r="D266" s="5">
        <v>63158613505.700104</v>
      </c>
      <c r="E266" s="5">
        <v>63158613505.700104</v>
      </c>
      <c r="F266" s="5">
        <v>0.17370011460343696</v>
      </c>
      <c r="G266" s="5">
        <v>0</v>
      </c>
      <c r="H266" s="5">
        <v>24616233832.617981</v>
      </c>
      <c r="I266" s="5">
        <v>30855811691.630898</v>
      </c>
      <c r="J266" s="5">
        <v>30855811691.630898</v>
      </c>
      <c r="K266" s="5">
        <v>-6.1766397880381617E-11</v>
      </c>
      <c r="L266" s="5">
        <v>-6.1766397880381617E-11</v>
      </c>
      <c r="M266" s="5">
        <v>0</v>
      </c>
      <c r="N266" s="5">
        <v>2.0000000000000001E-4</v>
      </c>
      <c r="O266" s="5">
        <v>-24.039986303346652</v>
      </c>
      <c r="P266" s="5">
        <v>-24.039986303346652</v>
      </c>
      <c r="Q266" s="5">
        <v>1.1383971822556523E-8</v>
      </c>
      <c r="R266" s="5">
        <v>0</v>
      </c>
      <c r="S266" s="5">
        <v>-1.9526135550429702E-5</v>
      </c>
      <c r="T266" s="5">
        <v>1.0409788929506455E-5</v>
      </c>
      <c r="U266" s="5">
        <v>1.0409788929506455E-5</v>
      </c>
      <c r="V266" s="5">
        <v>0</v>
      </c>
      <c r="W266" s="5">
        <v>0</v>
      </c>
      <c r="X266" s="5">
        <v>2.0415530264306176</v>
      </c>
      <c r="Y266" s="5">
        <v>3566.8235903075838</v>
      </c>
      <c r="Z266" s="5">
        <f t="shared" ref="Z266:AA266" si="94">Z265+0.0002</f>
        <v>8.0000000000000004E-4</v>
      </c>
      <c r="AA266" s="5">
        <f t="shared" si="94"/>
        <v>1E-3</v>
      </c>
      <c r="AB266" s="4">
        <v>2</v>
      </c>
    </row>
    <row r="267" spans="1:28" x14ac:dyDescent="0.25">
      <c r="B267" t="s">
        <v>187</v>
      </c>
      <c r="C267" s="11">
        <v>12</v>
      </c>
      <c r="D267" s="5">
        <v>62475005797.722931</v>
      </c>
      <c r="E267" s="5">
        <v>62475005797.722931</v>
      </c>
      <c r="F267" s="5">
        <v>0.17261337788185946</v>
      </c>
      <c r="G267" s="5">
        <v>0</v>
      </c>
      <c r="H267" s="5">
        <v>24401709588.423615</v>
      </c>
      <c r="I267" s="5">
        <v>30845085479.421181</v>
      </c>
      <c r="J267" s="5">
        <v>30845085479.421181</v>
      </c>
      <c r="K267" s="5">
        <v>-6.3193662374445675E-11</v>
      </c>
      <c r="L267" s="5">
        <v>-6.3193662374445675E-11</v>
      </c>
      <c r="M267" s="5">
        <v>0</v>
      </c>
      <c r="N267" s="5">
        <v>2.0000000000000001E-4</v>
      </c>
      <c r="O267" s="5">
        <v>-26.514908860827134</v>
      </c>
      <c r="P267" s="5">
        <v>-26.514908860827134</v>
      </c>
      <c r="Q267" s="5">
        <v>1.1645737086192325E-8</v>
      </c>
      <c r="R267" s="5">
        <v>0</v>
      </c>
      <c r="S267" s="5">
        <v>-2.2154057541810731E-5</v>
      </c>
      <c r="T267" s="5">
        <v>1.051168794549878E-5</v>
      </c>
      <c r="U267" s="5">
        <v>1.051168794549878E-5</v>
      </c>
      <c r="V267" s="5">
        <v>0</v>
      </c>
      <c r="W267" s="5">
        <v>0</v>
      </c>
      <c r="X267" s="5">
        <v>2.0540669406752894</v>
      </c>
      <c r="Y267" s="5">
        <v>3575.7621004823495</v>
      </c>
      <c r="Z267" s="5">
        <f t="shared" ref="Z267:AA267" si="95">Z266+0.0002</f>
        <v>1E-3</v>
      </c>
      <c r="AA267" s="5">
        <f t="shared" si="95"/>
        <v>1.2000000000000001E-3</v>
      </c>
      <c r="AB267" s="4">
        <v>2</v>
      </c>
    </row>
    <row r="269" spans="1:28" x14ac:dyDescent="0.25">
      <c r="A269" t="s">
        <v>83</v>
      </c>
    </row>
    <row r="270" spans="1:28" x14ac:dyDescent="0.25">
      <c r="A270" t="s">
        <v>83</v>
      </c>
    </row>
    <row r="271" spans="1:28" x14ac:dyDescent="0.25">
      <c r="A271" t="s">
        <v>83</v>
      </c>
    </row>
    <row r="273" spans="1:28" x14ac:dyDescent="0.25">
      <c r="A273" s="15" t="s">
        <v>74</v>
      </c>
      <c r="C273" s="10" t="s">
        <v>27</v>
      </c>
      <c r="D273" s="10" t="s">
        <v>28</v>
      </c>
      <c r="E273" s="10" t="s">
        <v>29</v>
      </c>
      <c r="F273" s="10" t="s">
        <v>30</v>
      </c>
      <c r="G273" s="10" t="s">
        <v>31</v>
      </c>
      <c r="H273" s="10" t="s">
        <v>75</v>
      </c>
      <c r="I273" s="10" t="s">
        <v>32</v>
      </c>
      <c r="J273" s="10" t="s">
        <v>33</v>
      </c>
      <c r="K273" s="10" t="s">
        <v>34</v>
      </c>
      <c r="L273" s="10" t="s">
        <v>35</v>
      </c>
      <c r="M273" s="10" t="s">
        <v>36</v>
      </c>
      <c r="N273" s="10" t="s">
        <v>37</v>
      </c>
      <c r="O273" s="10" t="s">
        <v>38</v>
      </c>
      <c r="P273" s="10" t="s">
        <v>39</v>
      </c>
      <c r="Q273" s="10" t="s">
        <v>40</v>
      </c>
      <c r="R273" s="10" t="s">
        <v>41</v>
      </c>
      <c r="S273" s="10" t="s">
        <v>42</v>
      </c>
      <c r="T273" s="10" t="s">
        <v>76</v>
      </c>
      <c r="U273" s="10" t="s">
        <v>77</v>
      </c>
      <c r="V273" s="10" t="s">
        <v>78</v>
      </c>
      <c r="W273" s="10" t="s">
        <v>79</v>
      </c>
      <c r="X273" s="10" t="s">
        <v>80</v>
      </c>
      <c r="Y273" s="10" t="s">
        <v>43</v>
      </c>
      <c r="Z273" s="10" t="s">
        <v>44</v>
      </c>
      <c r="AA273" s="10" t="s">
        <v>45</v>
      </c>
      <c r="AB273" s="10" t="s">
        <v>46</v>
      </c>
    </row>
    <row r="274" spans="1:28" x14ac:dyDescent="0.25">
      <c r="A274" s="12" t="s">
        <v>84</v>
      </c>
      <c r="B274" t="s">
        <v>183</v>
      </c>
      <c r="C274" s="11">
        <v>1</v>
      </c>
      <c r="D274" s="5">
        <v>146765182395.67111</v>
      </c>
      <c r="E274" s="5">
        <v>146765182395.67111</v>
      </c>
      <c r="F274" s="5">
        <v>0.35547439180027679</v>
      </c>
      <c r="G274" s="5">
        <v>0</v>
      </c>
      <c r="H274" s="5">
        <v>54050510257.216827</v>
      </c>
      <c r="I274" s="5">
        <v>52077525512.86084</v>
      </c>
      <c r="J274" s="5">
        <v>52077525512.86084</v>
      </c>
      <c r="K274" s="5">
        <v>-1.6296851442492125E-11</v>
      </c>
      <c r="L274" s="5">
        <v>-1.6296851442492125E-11</v>
      </c>
      <c r="M274" s="5">
        <v>0</v>
      </c>
      <c r="N274" s="5">
        <v>2.0000000000000001E-4</v>
      </c>
      <c r="O274" s="5">
        <v>110.18229366009885</v>
      </c>
      <c r="P274" s="5">
        <v>110.18229366009885</v>
      </c>
      <c r="Q274" s="5">
        <v>3.0818991367888449E-9</v>
      </c>
      <c r="R274" s="5">
        <v>0</v>
      </c>
      <c r="S274" s="5">
        <v>1.2699375065090609E-4</v>
      </c>
      <c r="T274" s="5">
        <v>1.1163507627822008E-5</v>
      </c>
      <c r="U274" s="5">
        <v>1.1163507627822008E-5</v>
      </c>
      <c r="V274" s="5">
        <v>0</v>
      </c>
      <c r="W274" s="5">
        <v>0</v>
      </c>
      <c r="X274" s="5">
        <v>2.6428869016623517</v>
      </c>
      <c r="Y274" s="5">
        <v>5402.0620726159659</v>
      </c>
      <c r="Z274" s="5">
        <v>-1.1999999999999999E-3</v>
      </c>
      <c r="AA274" s="5">
        <v>-1E-3</v>
      </c>
      <c r="AB274" s="4">
        <v>2</v>
      </c>
    </row>
    <row r="275" spans="1:28" x14ac:dyDescent="0.25">
      <c r="C275" s="4">
        <v>2</v>
      </c>
      <c r="D275" s="5">
        <v>141051087880.53528</v>
      </c>
      <c r="E275" s="5">
        <v>141051087880.53528</v>
      </c>
      <c r="F275" s="5">
        <v>0.34639064937358954</v>
      </c>
      <c r="G275" s="5">
        <v>0</v>
      </c>
      <c r="H275" s="5">
        <v>52257359312.880714</v>
      </c>
      <c r="I275" s="5">
        <v>51987867965.644035</v>
      </c>
      <c r="J275" s="5">
        <v>51987867965.644035</v>
      </c>
      <c r="K275" s="5">
        <v>-2.8226974701798543E-11</v>
      </c>
      <c r="L275" s="5">
        <v>-2.8226974701798543E-11</v>
      </c>
      <c r="M275" s="5">
        <v>0</v>
      </c>
      <c r="N275" s="5">
        <v>2.0000000000000001E-4</v>
      </c>
      <c r="O275" s="5">
        <v>89.495076055528571</v>
      </c>
      <c r="P275" s="5">
        <v>89.495076055528571</v>
      </c>
      <c r="Q275" s="5">
        <v>5.2699251636170451E-9</v>
      </c>
      <c r="R275" s="5">
        <v>0</v>
      </c>
      <c r="S275" s="5">
        <v>1.0502765158278875E-4</v>
      </c>
      <c r="T275" s="5">
        <v>1.201525432638166E-5</v>
      </c>
      <c r="U275" s="5">
        <v>1.201525432638166E-5</v>
      </c>
      <c r="V275" s="5">
        <v>0</v>
      </c>
      <c r="W275" s="5">
        <v>0</v>
      </c>
      <c r="X275" s="5">
        <v>2.7474873734152916</v>
      </c>
      <c r="Y275" s="5">
        <v>5476.7766952966367</v>
      </c>
      <c r="Z275" s="5">
        <f t="shared" ref="Z275:AA275" si="96">Z274+0.0002</f>
        <v>-9.999999999999998E-4</v>
      </c>
      <c r="AA275" s="5">
        <f t="shared" si="96"/>
        <v>-8.0000000000000004E-4</v>
      </c>
      <c r="AB275" s="4">
        <v>2</v>
      </c>
    </row>
    <row r="276" spans="1:28" x14ac:dyDescent="0.25">
      <c r="C276" s="4">
        <v>3</v>
      </c>
      <c r="D276" s="5">
        <v>137116932332.23267</v>
      </c>
      <c r="E276" s="5">
        <v>137116932332.23267</v>
      </c>
      <c r="F276" s="5">
        <v>0.34013649036858157</v>
      </c>
      <c r="G276" s="5">
        <v>0</v>
      </c>
      <c r="H276" s="5">
        <v>51022774424.948341</v>
      </c>
      <c r="I276" s="5">
        <v>51926138721.247414</v>
      </c>
      <c r="J276" s="5">
        <v>51926138721.247414</v>
      </c>
      <c r="K276" s="5">
        <v>-3.6440867644627941E-11</v>
      </c>
      <c r="L276" s="5">
        <v>-3.6440867644627941E-11</v>
      </c>
      <c r="M276" s="5">
        <v>0</v>
      </c>
      <c r="N276" s="5">
        <v>2.0000000000000001E-4</v>
      </c>
      <c r="O276" s="5">
        <v>75.251921396048999</v>
      </c>
      <c r="P276" s="5">
        <v>75.251921396048999</v>
      </c>
      <c r="Q276" s="5">
        <v>6.7763816477503068E-9</v>
      </c>
      <c r="R276" s="5">
        <v>0</v>
      </c>
      <c r="S276" s="5">
        <v>8.9903986705617151E-5</v>
      </c>
      <c r="T276" s="5">
        <v>1.2601682148149538E-5</v>
      </c>
      <c r="U276" s="5">
        <v>1.2601682148149538E-5</v>
      </c>
      <c r="V276" s="5">
        <v>0</v>
      </c>
      <c r="W276" s="5">
        <v>0</v>
      </c>
      <c r="X276" s="5">
        <v>2.819504825211347</v>
      </c>
      <c r="Y276" s="5">
        <v>5528.2177322938196</v>
      </c>
      <c r="Z276" s="5">
        <f t="shared" ref="Z276:AA276" si="97">Z275+0.0002</f>
        <v>-7.9999999999999982E-4</v>
      </c>
      <c r="AA276" s="5">
        <f t="shared" si="97"/>
        <v>-6.0000000000000006E-4</v>
      </c>
      <c r="AB276" s="4">
        <v>2</v>
      </c>
    </row>
    <row r="277" spans="1:28" x14ac:dyDescent="0.25">
      <c r="C277" s="4">
        <v>4</v>
      </c>
      <c r="D277" s="5">
        <v>133919108813.61722</v>
      </c>
      <c r="E277" s="5">
        <v>133919108813.61722</v>
      </c>
      <c r="F277" s="5">
        <v>0.33505288436728758</v>
      </c>
      <c r="G277" s="5">
        <v>0</v>
      </c>
      <c r="H277" s="5">
        <v>50019259301.59214</v>
      </c>
      <c r="I277" s="5">
        <v>51875962965.079605</v>
      </c>
      <c r="J277" s="5">
        <v>51875962965.079605</v>
      </c>
      <c r="K277" s="5">
        <v>-4.3117416070198453E-11</v>
      </c>
      <c r="L277" s="5">
        <v>-4.3117416070198453E-11</v>
      </c>
      <c r="M277" s="5">
        <v>0</v>
      </c>
      <c r="N277" s="5">
        <v>2.0000000000000001E-4</v>
      </c>
      <c r="O277" s="5">
        <v>63.674571596290264</v>
      </c>
      <c r="P277" s="5">
        <v>63.674571596290264</v>
      </c>
      <c r="Q277" s="5">
        <v>8.0008838097989165E-9</v>
      </c>
      <c r="R277" s="5">
        <v>0</v>
      </c>
      <c r="S277" s="5">
        <v>7.7610926444503724E-5</v>
      </c>
      <c r="T277" s="5">
        <v>1.3078351831743732E-5</v>
      </c>
      <c r="U277" s="5">
        <v>1.3078351831743732E-5</v>
      </c>
      <c r="V277" s="5">
        <v>0</v>
      </c>
      <c r="W277" s="5">
        <v>0</v>
      </c>
      <c r="X277" s="5">
        <v>2.8780432074071252</v>
      </c>
      <c r="Y277" s="5">
        <v>5570.0308624336612</v>
      </c>
      <c r="Z277" s="5">
        <f t="shared" ref="Z277:AA277" si="98">Z276+0.0002</f>
        <v>-5.9999999999999984E-4</v>
      </c>
      <c r="AA277" s="5">
        <f t="shared" si="98"/>
        <v>-4.0000000000000007E-4</v>
      </c>
      <c r="AB277" s="4">
        <v>2</v>
      </c>
    </row>
    <row r="278" spans="1:28" x14ac:dyDescent="0.25">
      <c r="C278" s="4">
        <v>5</v>
      </c>
      <c r="D278" s="5">
        <v>131153985861.06938</v>
      </c>
      <c r="E278" s="5">
        <v>131153985861.06938</v>
      </c>
      <c r="F278" s="5">
        <v>0.33065714596769824</v>
      </c>
      <c r="G278" s="5">
        <v>0</v>
      </c>
      <c r="H278" s="5">
        <v>49151530771.650467</v>
      </c>
      <c r="I278" s="5">
        <v>51832576538.58252</v>
      </c>
      <c r="J278" s="5">
        <v>51832576538.58252</v>
      </c>
      <c r="K278" s="5">
        <v>-4.8890554327476431E-11</v>
      </c>
      <c r="L278" s="5">
        <v>-4.8890554327476431E-11</v>
      </c>
      <c r="M278" s="5">
        <v>0</v>
      </c>
      <c r="N278" s="5">
        <v>2.0000000000000001E-4</v>
      </c>
      <c r="O278" s="5">
        <v>53.663764097179609</v>
      </c>
      <c r="P278" s="5">
        <v>53.663764097179609</v>
      </c>
      <c r="Q278" s="5">
        <v>9.0596974103665426E-9</v>
      </c>
      <c r="R278" s="5">
        <v>0</v>
      </c>
      <c r="S278" s="5">
        <v>6.6981251952718212E-5</v>
      </c>
      <c r="T278" s="5">
        <v>1.3490522883466029E-5</v>
      </c>
      <c r="U278" s="5">
        <v>1.3490522883466029E-5</v>
      </c>
      <c r="V278" s="5">
        <v>0</v>
      </c>
      <c r="W278" s="5">
        <v>0</v>
      </c>
      <c r="X278" s="5">
        <v>2.9286607049870561</v>
      </c>
      <c r="Y278" s="5">
        <v>5606.1862178478968</v>
      </c>
      <c r="Z278" s="5">
        <f t="shared" ref="Z278:AA278" si="99">Z277+0.0002</f>
        <v>-3.9999999999999986E-4</v>
      </c>
      <c r="AA278" s="5">
        <f t="shared" si="99"/>
        <v>-2.0000000000000006E-4</v>
      </c>
      <c r="AB278" s="4">
        <v>2</v>
      </c>
    </row>
    <row r="279" spans="1:28" x14ac:dyDescent="0.25">
      <c r="C279" s="4">
        <v>6</v>
      </c>
      <c r="D279" s="5">
        <v>128682539946.08676</v>
      </c>
      <c r="E279" s="5">
        <v>128682539946.08676</v>
      </c>
      <c r="F279" s="5">
        <v>0.32672826833822893</v>
      </c>
      <c r="G279" s="5">
        <v>0</v>
      </c>
      <c r="H279" s="5">
        <v>48375961595.364044</v>
      </c>
      <c r="I279" s="5">
        <v>51793798079.768204</v>
      </c>
      <c r="J279" s="5">
        <v>51793798079.768204</v>
      </c>
      <c r="K279" s="5">
        <v>-5.4050541498908602E-11</v>
      </c>
      <c r="L279" s="5">
        <v>-5.4050541498908602E-11</v>
      </c>
      <c r="M279" s="5">
        <v>0</v>
      </c>
      <c r="N279" s="5">
        <v>2.0000000000000001E-4</v>
      </c>
      <c r="O279" s="5">
        <v>44.716180310152225</v>
      </c>
      <c r="P279" s="5">
        <v>44.716180310152225</v>
      </c>
      <c r="Q279" s="5">
        <v>1.0006056972945748E-8</v>
      </c>
      <c r="R279" s="5">
        <v>0</v>
      </c>
      <c r="S279" s="5">
        <v>5.7480529543209492E-5</v>
      </c>
      <c r="T279" s="5">
        <v>1.3858918242202081E-5</v>
      </c>
      <c r="U279" s="5">
        <v>1.3858918242202081E-5</v>
      </c>
      <c r="V279" s="5">
        <v>0</v>
      </c>
      <c r="W279" s="5">
        <v>0</v>
      </c>
      <c r="X279" s="5">
        <v>2.9739022402704309</v>
      </c>
      <c r="Y279" s="5">
        <v>5638.5016001931654</v>
      </c>
      <c r="Z279" s="5">
        <f t="shared" ref="Z279:AA279" si="100">Z278+0.0002</f>
        <v>-1.9999999999999985E-4</v>
      </c>
      <c r="AA279" s="5">
        <f t="shared" si="100"/>
        <v>0</v>
      </c>
      <c r="AB279" s="4">
        <v>2</v>
      </c>
    </row>
    <row r="280" spans="1:28" x14ac:dyDescent="0.25">
      <c r="C280" s="4">
        <v>7</v>
      </c>
      <c r="D280" s="5">
        <v>126427295874.54584</v>
      </c>
      <c r="E280" s="5">
        <v>126427295874.54584</v>
      </c>
      <c r="F280" s="5">
        <v>0.32314308853398754</v>
      </c>
      <c r="G280" s="5">
        <v>0</v>
      </c>
      <c r="H280" s="5">
        <v>47668239133.67215</v>
      </c>
      <c r="I280" s="5">
        <v>51758411956.683609</v>
      </c>
      <c r="J280" s="5">
        <v>51758411956.683609</v>
      </c>
      <c r="K280" s="5">
        <v>-5.8759133504524697E-11</v>
      </c>
      <c r="L280" s="5">
        <v>-5.8759133504524697E-11</v>
      </c>
      <c r="M280" s="5">
        <v>0</v>
      </c>
      <c r="N280" s="5">
        <v>2.0000000000000001E-4</v>
      </c>
      <c r="O280" s="5">
        <v>36.551330265092147</v>
      </c>
      <c r="P280" s="5">
        <v>36.551330265092147</v>
      </c>
      <c r="Q280" s="5">
        <v>1.0869629094882247E-8</v>
      </c>
      <c r="R280" s="5">
        <v>0</v>
      </c>
      <c r="S280" s="5">
        <v>4.8810929387483885E-5</v>
      </c>
      <c r="T280" s="5">
        <v>1.4195086411505727E-5</v>
      </c>
      <c r="U280" s="5">
        <v>1.4195086411505727E-5</v>
      </c>
      <c r="V280" s="5">
        <v>0</v>
      </c>
      <c r="W280" s="5">
        <v>0</v>
      </c>
      <c r="X280" s="5">
        <v>3.015186050535791</v>
      </c>
      <c r="Y280" s="5">
        <v>5667.9900360969932</v>
      </c>
      <c r="Z280" s="5">
        <f t="shared" ref="Z280:AA280" si="101">Z279+0.0002</f>
        <v>0</v>
      </c>
      <c r="AA280" s="5">
        <f t="shared" si="101"/>
        <v>2.0000000000000001E-4</v>
      </c>
      <c r="AB280" s="4">
        <v>2</v>
      </c>
    </row>
    <row r="281" spans="1:28" x14ac:dyDescent="0.25">
      <c r="C281" s="4">
        <v>8</v>
      </c>
      <c r="D281" s="5">
        <v>124339828566.53026</v>
      </c>
      <c r="E281" s="5">
        <v>124339828566.53026</v>
      </c>
      <c r="F281" s="5">
        <v>0.31982462481240997</v>
      </c>
      <c r="G281" s="5">
        <v>0</v>
      </c>
      <c r="H281" s="5">
        <v>47013167019.494858</v>
      </c>
      <c r="I281" s="5">
        <v>51725658350.974747</v>
      </c>
      <c r="J281" s="5">
        <v>51725658350.974747</v>
      </c>
      <c r="K281" s="5">
        <v>-6.3117434232388395E-11</v>
      </c>
      <c r="L281" s="5">
        <v>-6.3117434232388395E-11</v>
      </c>
      <c r="M281" s="5">
        <v>0</v>
      </c>
      <c r="N281" s="5">
        <v>2.0000000000000001E-4</v>
      </c>
      <c r="O281" s="5">
        <v>28.993896566899579</v>
      </c>
      <c r="P281" s="5">
        <v>28.993896566899579</v>
      </c>
      <c r="Q281" s="5">
        <v>1.1668956580276933E-8</v>
      </c>
      <c r="R281" s="5">
        <v>0</v>
      </c>
      <c r="S281" s="5">
        <v>4.0786295988812045E-5</v>
      </c>
      <c r="T281" s="5">
        <v>1.4506245665739941E-5</v>
      </c>
      <c r="U281" s="5">
        <v>1.4506245665739941E-5</v>
      </c>
      <c r="V281" s="5">
        <v>0</v>
      </c>
      <c r="W281" s="5">
        <v>0</v>
      </c>
      <c r="X281" s="5">
        <v>3.0533985905294667</v>
      </c>
      <c r="Y281" s="5">
        <v>5695.2847075210475</v>
      </c>
      <c r="Z281" s="5">
        <f t="shared" ref="Z281:AA281" si="102">Z280+0.0002</f>
        <v>2.0000000000000001E-4</v>
      </c>
      <c r="AA281" s="5">
        <f t="shared" si="102"/>
        <v>4.0000000000000002E-4</v>
      </c>
      <c r="AB281" s="4">
        <v>2</v>
      </c>
    </row>
    <row r="282" spans="1:28" x14ac:dyDescent="0.25">
      <c r="C282" s="4">
        <v>9</v>
      </c>
      <c r="D282" s="5">
        <v>122387474535.75232</v>
      </c>
      <c r="E282" s="5">
        <v>122387474535.75232</v>
      </c>
      <c r="F282" s="5">
        <v>0.31672095176424553</v>
      </c>
      <c r="G282" s="5">
        <v>0</v>
      </c>
      <c r="H282" s="5">
        <v>46400495061.637924</v>
      </c>
      <c r="I282" s="5">
        <v>51695024753.081894</v>
      </c>
      <c r="J282" s="5">
        <v>51695024753.081894</v>
      </c>
      <c r="K282" s="5">
        <v>-6.7193639862394651E-11</v>
      </c>
      <c r="L282" s="5">
        <v>-6.7193639862394651E-11</v>
      </c>
      <c r="M282" s="5">
        <v>0</v>
      </c>
      <c r="N282" s="5">
        <v>2.0000000000000001E-4</v>
      </c>
      <c r="O282" s="5">
        <v>21.92562484530329</v>
      </c>
      <c r="P282" s="5">
        <v>21.92562484530329</v>
      </c>
      <c r="Q282" s="5">
        <v>1.241654684529787E-8</v>
      </c>
      <c r="R282" s="5">
        <v>0</v>
      </c>
      <c r="S282" s="5">
        <v>3.3281064505064534E-5</v>
      </c>
      <c r="T282" s="5">
        <v>1.4797264845721987E-5</v>
      </c>
      <c r="U282" s="5">
        <v>1.4797264845721987E-5</v>
      </c>
      <c r="V282" s="5">
        <v>0</v>
      </c>
      <c r="W282" s="5">
        <v>0</v>
      </c>
      <c r="X282" s="5">
        <v>3.0891377880711213</v>
      </c>
      <c r="Y282" s="5">
        <v>5720.8127057650863</v>
      </c>
      <c r="Z282" s="5">
        <f t="shared" ref="Z282:AA282" si="103">Z281+0.0002</f>
        <v>4.0000000000000002E-4</v>
      </c>
      <c r="AA282" s="5">
        <f t="shared" si="103"/>
        <v>6.0000000000000006E-4</v>
      </c>
      <c r="AB282" s="4">
        <v>2</v>
      </c>
    </row>
    <row r="283" spans="1:28" x14ac:dyDescent="0.25">
      <c r="C283" s="4">
        <v>10</v>
      </c>
      <c r="D283" s="5">
        <v>120546966621.93132</v>
      </c>
      <c r="E283" s="5">
        <v>120546966621.93132</v>
      </c>
      <c r="F283" s="5">
        <v>0.31379508139595813</v>
      </c>
      <c r="G283" s="5">
        <v>0</v>
      </c>
      <c r="H283" s="5">
        <v>45822921747.968689</v>
      </c>
      <c r="I283" s="5">
        <v>51666146087.398437</v>
      </c>
      <c r="J283" s="5">
        <v>51666146087.398437</v>
      </c>
      <c r="K283" s="5">
        <v>-7.103632853571831E-11</v>
      </c>
      <c r="L283" s="5">
        <v>-7.103632853571831E-11</v>
      </c>
      <c r="M283" s="5">
        <v>0</v>
      </c>
      <c r="N283" s="5">
        <v>2.0000000000000001E-4</v>
      </c>
      <c r="O283" s="5">
        <v>15.26227904041798</v>
      </c>
      <c r="P283" s="5">
        <v>15.26227904041798</v>
      </c>
      <c r="Q283" s="5">
        <v>1.3121309289698541E-8</v>
      </c>
      <c r="R283" s="5">
        <v>0</v>
      </c>
      <c r="S283" s="5">
        <v>2.6205791412616441E-5</v>
      </c>
      <c r="T283" s="5">
        <v>1.5071612169714871E-5</v>
      </c>
      <c r="U283" s="5">
        <v>1.5071612169714871E-5</v>
      </c>
      <c r="V283" s="5">
        <v>0</v>
      </c>
      <c r="W283" s="5">
        <v>0</v>
      </c>
      <c r="X283" s="5">
        <v>3.1228295647018265</v>
      </c>
      <c r="Y283" s="5">
        <v>5744.8782605013048</v>
      </c>
      <c r="Z283" s="5">
        <f t="shared" ref="Z283:AA283" si="104">Z282+0.0002</f>
        <v>6.0000000000000006E-4</v>
      </c>
      <c r="AA283" s="5">
        <f t="shared" si="104"/>
        <v>8.0000000000000004E-4</v>
      </c>
      <c r="AB283" s="4">
        <v>2</v>
      </c>
    </row>
    <row r="284" spans="1:28" x14ac:dyDescent="0.25">
      <c r="C284" s="4">
        <v>11</v>
      </c>
      <c r="D284" s="5">
        <v>118801035758.64961</v>
      </c>
      <c r="E284" s="5">
        <v>118801035758.64961</v>
      </c>
      <c r="F284" s="5">
        <v>0.31101956093250677</v>
      </c>
      <c r="G284" s="5">
        <v>0</v>
      </c>
      <c r="H284" s="5">
        <v>45275027839.678177</v>
      </c>
      <c r="I284" s="5">
        <v>51638751391.98391</v>
      </c>
      <c r="J284" s="5">
        <v>51638751391.98391</v>
      </c>
      <c r="K284" s="5">
        <v>-7.4681555324670517E-11</v>
      </c>
      <c r="L284" s="5">
        <v>-7.4681555324670517E-11</v>
      </c>
      <c r="M284" s="5">
        <v>0</v>
      </c>
      <c r="N284" s="5">
        <v>2.0000000000000001E-4</v>
      </c>
      <c r="O284" s="5">
        <v>8.9413384967200784</v>
      </c>
      <c r="P284" s="5">
        <v>8.9413384967200784</v>
      </c>
      <c r="Q284" s="5">
        <v>1.3789856538923065E-8</v>
      </c>
      <c r="R284" s="5">
        <v>0</v>
      </c>
      <c r="S284" s="5">
        <v>1.9494091036057653E-5</v>
      </c>
      <c r="T284" s="5">
        <v>1.5331861776152866E-5</v>
      </c>
      <c r="U284" s="5">
        <v>1.5331861776152866E-5</v>
      </c>
      <c r="V284" s="5">
        <v>0</v>
      </c>
      <c r="W284" s="5">
        <v>0</v>
      </c>
      <c r="X284" s="5">
        <v>3.1547900426854398</v>
      </c>
      <c r="Y284" s="5">
        <v>5767.7071733467428</v>
      </c>
      <c r="Z284" s="5">
        <f t="shared" ref="Z284:AA284" si="105">Z283+0.0002</f>
        <v>8.0000000000000004E-4</v>
      </c>
      <c r="AA284" s="5">
        <f t="shared" si="105"/>
        <v>1E-3</v>
      </c>
      <c r="AB284" s="4">
        <v>2</v>
      </c>
    </row>
    <row r="285" spans="1:28" x14ac:dyDescent="0.25">
      <c r="B285" t="s">
        <v>187</v>
      </c>
      <c r="C285" s="11">
        <v>12</v>
      </c>
      <c r="D285" s="5">
        <v>117136446434.33534</v>
      </c>
      <c r="E285" s="5">
        <v>117136446434.33534</v>
      </c>
      <c r="F285" s="5">
        <v>0.30837334977372532</v>
      </c>
      <c r="G285" s="5">
        <v>0</v>
      </c>
      <c r="H285" s="5">
        <v>44752659875.529266</v>
      </c>
      <c r="I285" s="5">
        <v>51612632993.776466</v>
      </c>
      <c r="J285" s="5">
        <v>51612632993.776466</v>
      </c>
      <c r="K285" s="5">
        <v>-7.8156953878648201E-11</v>
      </c>
      <c r="L285" s="5">
        <v>-7.8156953878648201E-11</v>
      </c>
      <c r="M285" s="5">
        <v>0</v>
      </c>
      <c r="N285" s="5">
        <v>2.0000000000000001E-4</v>
      </c>
      <c r="O285" s="5">
        <v>2.9148855769934983</v>
      </c>
      <c r="P285" s="5">
        <v>2.9148855769934983</v>
      </c>
      <c r="Q285" s="5">
        <v>1.4427256700214135E-8</v>
      </c>
      <c r="R285" s="5">
        <v>0</v>
      </c>
      <c r="S285" s="5">
        <v>1.309508347523353E-5</v>
      </c>
      <c r="T285" s="5">
        <v>1.5579986559123597E-5</v>
      </c>
      <c r="U285" s="5">
        <v>1.5579986559123597E-5</v>
      </c>
      <c r="V285" s="5">
        <v>0</v>
      </c>
      <c r="W285" s="5">
        <v>0</v>
      </c>
      <c r="X285" s="5">
        <v>3.185261507260793</v>
      </c>
      <c r="Y285" s="5">
        <v>5789.4725051862806</v>
      </c>
      <c r="Z285" s="5">
        <f t="shared" ref="Z285:AA285" si="106">Z284+0.0002</f>
        <v>1E-3</v>
      </c>
      <c r="AA285" s="5">
        <f t="shared" si="106"/>
        <v>1.2000000000000001E-3</v>
      </c>
      <c r="AB285" s="4">
        <v>2</v>
      </c>
    </row>
    <row r="289" spans="1:28" x14ac:dyDescent="0.25">
      <c r="A289" s="15" t="s">
        <v>82</v>
      </c>
      <c r="C289" s="10" t="s">
        <v>27</v>
      </c>
      <c r="D289" s="10" t="s">
        <v>28</v>
      </c>
      <c r="E289" s="10" t="s">
        <v>29</v>
      </c>
      <c r="F289" s="10" t="s">
        <v>30</v>
      </c>
      <c r="G289" s="10" t="s">
        <v>31</v>
      </c>
      <c r="H289" s="10" t="s">
        <v>75</v>
      </c>
      <c r="I289" s="10" t="s">
        <v>32</v>
      </c>
      <c r="J289" s="10" t="s">
        <v>33</v>
      </c>
      <c r="K289" s="10" t="s">
        <v>34</v>
      </c>
      <c r="L289" s="10" t="s">
        <v>35</v>
      </c>
      <c r="M289" s="10" t="s">
        <v>36</v>
      </c>
      <c r="N289" s="10" t="s">
        <v>37</v>
      </c>
      <c r="O289" s="10" t="s">
        <v>38</v>
      </c>
      <c r="P289" s="10" t="s">
        <v>39</v>
      </c>
      <c r="Q289" s="10" t="s">
        <v>40</v>
      </c>
      <c r="R289" s="10" t="s">
        <v>41</v>
      </c>
      <c r="S289" s="10" t="s">
        <v>42</v>
      </c>
      <c r="T289" s="10" t="s">
        <v>76</v>
      </c>
      <c r="U289" s="10" t="s">
        <v>77</v>
      </c>
      <c r="V289" s="10" t="s">
        <v>78</v>
      </c>
      <c r="W289" s="10" t="s">
        <v>79</v>
      </c>
      <c r="X289" s="10" t="s">
        <v>80</v>
      </c>
      <c r="Y289" s="10" t="s">
        <v>43</v>
      </c>
      <c r="Z289" s="10" t="s">
        <v>44</v>
      </c>
      <c r="AA289" s="10" t="s">
        <v>45</v>
      </c>
      <c r="AB289" s="10" t="s">
        <v>46</v>
      </c>
    </row>
    <row r="290" spans="1:28" x14ac:dyDescent="0.25">
      <c r="A290" s="12" t="s">
        <v>84</v>
      </c>
      <c r="B290" t="s">
        <v>183</v>
      </c>
      <c r="C290" s="11">
        <v>1</v>
      </c>
      <c r="D290" s="5">
        <v>119674972841.48465</v>
      </c>
      <c r="E290" s="5">
        <v>119674972841.48465</v>
      </c>
      <c r="F290" s="5">
        <v>0.28797674776806653</v>
      </c>
      <c r="G290" s="5">
        <v>0</v>
      </c>
      <c r="H290" s="5">
        <v>43950510257.216827</v>
      </c>
      <c r="I290" s="5">
        <v>41697525512.86084</v>
      </c>
      <c r="J290" s="5">
        <v>41697525512.86084</v>
      </c>
      <c r="K290" s="5">
        <v>-8.3130573528829755E-12</v>
      </c>
      <c r="L290" s="5">
        <v>-8.3130573528829755E-12</v>
      </c>
      <c r="M290" s="5">
        <v>0</v>
      </c>
      <c r="N290" s="5">
        <v>2.0000000000000001E-4</v>
      </c>
      <c r="O290" s="5">
        <v>96.338137815943014</v>
      </c>
      <c r="P290" s="5">
        <v>96.338137815943014</v>
      </c>
      <c r="Q290" s="5">
        <v>1.5990435812332892E-9</v>
      </c>
      <c r="R290" s="5">
        <v>0</v>
      </c>
      <c r="S290" s="5">
        <v>1.1029375065090609E-4</v>
      </c>
      <c r="T290" s="5">
        <v>8.5935076278220071E-6</v>
      </c>
      <c r="U290" s="5">
        <v>8.5935076278220071E-6</v>
      </c>
      <c r="V290" s="5">
        <v>0</v>
      </c>
      <c r="W290" s="5">
        <v>0</v>
      </c>
      <c r="X290" s="5">
        <v>2.0728869016623515</v>
      </c>
      <c r="Y290" s="5">
        <v>4292.0620726159659</v>
      </c>
      <c r="Z290" s="5">
        <v>-1.1999999999999999E-3</v>
      </c>
      <c r="AA290" s="5">
        <v>-1E-3</v>
      </c>
      <c r="AB290" s="4">
        <v>2</v>
      </c>
    </row>
    <row r="291" spans="1:28" x14ac:dyDescent="0.25">
      <c r="C291" s="4">
        <v>2</v>
      </c>
      <c r="D291" s="5">
        <v>113960878326.34882</v>
      </c>
      <c r="E291" s="5">
        <v>113960878326.34882</v>
      </c>
      <c r="F291" s="5">
        <v>0.27889300534137929</v>
      </c>
      <c r="G291" s="5">
        <v>0</v>
      </c>
      <c r="H291" s="5">
        <v>42157359312.880714</v>
      </c>
      <c r="I291" s="5">
        <v>41607867965.644035</v>
      </c>
      <c r="J291" s="5">
        <v>41607867965.644035</v>
      </c>
      <c r="K291" s="5">
        <v>-2.0243180612189392E-11</v>
      </c>
      <c r="L291" s="5">
        <v>-2.0243180612189392E-11</v>
      </c>
      <c r="M291" s="5">
        <v>0</v>
      </c>
      <c r="N291" s="5">
        <v>2.0000000000000001E-4</v>
      </c>
      <c r="O291" s="5">
        <v>75.650920211372721</v>
      </c>
      <c r="P291" s="5">
        <v>75.650920211372721</v>
      </c>
      <c r="Q291" s="5">
        <v>3.787069608061489E-9</v>
      </c>
      <c r="R291" s="5">
        <v>0</v>
      </c>
      <c r="S291" s="5">
        <v>8.8327651582788752E-5</v>
      </c>
      <c r="T291" s="5">
        <v>9.4452543263816592E-6</v>
      </c>
      <c r="U291" s="5">
        <v>9.4452543263816592E-6</v>
      </c>
      <c r="V291" s="5">
        <v>0</v>
      </c>
      <c r="W291" s="5">
        <v>0</v>
      </c>
      <c r="X291" s="5">
        <v>2.1774873734152917</v>
      </c>
      <c r="Y291" s="5">
        <v>4366.7766952966367</v>
      </c>
      <c r="Z291" s="5">
        <f t="shared" ref="Z291:AA291" si="107">Z290+0.0002</f>
        <v>-9.999999999999998E-4</v>
      </c>
      <c r="AA291" s="5">
        <f t="shared" si="107"/>
        <v>-8.0000000000000004E-4</v>
      </c>
      <c r="AB291" s="4">
        <v>2</v>
      </c>
    </row>
    <row r="292" spans="1:28" x14ac:dyDescent="0.25">
      <c r="C292" s="4">
        <v>3</v>
      </c>
      <c r="D292" s="5">
        <v>110026722778.0462</v>
      </c>
      <c r="E292" s="5">
        <v>110026722778.0462</v>
      </c>
      <c r="F292" s="5">
        <v>0.27263884633637131</v>
      </c>
      <c r="G292" s="5">
        <v>0</v>
      </c>
      <c r="H292" s="5">
        <v>40922774424.948341</v>
      </c>
      <c r="I292" s="5">
        <v>41546138721.247414</v>
      </c>
      <c r="J292" s="5">
        <v>41546138721.247414</v>
      </c>
      <c r="K292" s="5">
        <v>-2.8457073555018792E-11</v>
      </c>
      <c r="L292" s="5">
        <v>-2.8457073555018792E-11</v>
      </c>
      <c r="M292" s="5">
        <v>0</v>
      </c>
      <c r="N292" s="5">
        <v>2.0000000000000001E-4</v>
      </c>
      <c r="O292" s="5">
        <v>61.407765551893156</v>
      </c>
      <c r="P292" s="5">
        <v>61.407765551893156</v>
      </c>
      <c r="Q292" s="5">
        <v>5.2935260921947506E-9</v>
      </c>
      <c r="R292" s="5">
        <v>0</v>
      </c>
      <c r="S292" s="5">
        <v>7.3203986705617152E-5</v>
      </c>
      <c r="T292" s="5">
        <v>1.0031682148149537E-5</v>
      </c>
      <c r="U292" s="5">
        <v>1.0031682148149537E-5</v>
      </c>
      <c r="V292" s="5">
        <v>0</v>
      </c>
      <c r="W292" s="5">
        <v>0</v>
      </c>
      <c r="X292" s="5">
        <v>2.2495048252113472</v>
      </c>
      <c r="Y292" s="5">
        <v>4418.2177322938196</v>
      </c>
      <c r="Z292" s="5">
        <f t="shared" ref="Z292:AA292" si="108">Z291+0.0002</f>
        <v>-7.9999999999999982E-4</v>
      </c>
      <c r="AA292" s="5">
        <f t="shared" si="108"/>
        <v>-6.0000000000000006E-4</v>
      </c>
      <c r="AB292" s="4">
        <v>2</v>
      </c>
    </row>
    <row r="293" spans="1:28" x14ac:dyDescent="0.25">
      <c r="C293" s="4">
        <v>4</v>
      </c>
      <c r="D293" s="5">
        <v>106828899259.43076</v>
      </c>
      <c r="E293" s="5">
        <v>106828899259.43076</v>
      </c>
      <c r="F293" s="5">
        <v>0.26755524033507733</v>
      </c>
      <c r="G293" s="5">
        <v>0</v>
      </c>
      <c r="H293" s="5">
        <v>39919259301.59214</v>
      </c>
      <c r="I293" s="5">
        <v>41495962965.079605</v>
      </c>
      <c r="J293" s="5">
        <v>41495962965.079605</v>
      </c>
      <c r="K293" s="5">
        <v>-3.5133621980589305E-11</v>
      </c>
      <c r="L293" s="5">
        <v>-3.5133621980589305E-11</v>
      </c>
      <c r="M293" s="5">
        <v>0</v>
      </c>
      <c r="N293" s="5">
        <v>2.0000000000000001E-4</v>
      </c>
      <c r="O293" s="5">
        <v>49.830415752134421</v>
      </c>
      <c r="P293" s="5">
        <v>49.830415752134421</v>
      </c>
      <c r="Q293" s="5">
        <v>6.5180282542433612E-9</v>
      </c>
      <c r="R293" s="5">
        <v>0</v>
      </c>
      <c r="S293" s="5">
        <v>6.0910926444503725E-5</v>
      </c>
      <c r="T293" s="5">
        <v>1.0508351831743732E-5</v>
      </c>
      <c r="U293" s="5">
        <v>1.0508351831743732E-5</v>
      </c>
      <c r="V293" s="5">
        <v>0</v>
      </c>
      <c r="W293" s="5">
        <v>0</v>
      </c>
      <c r="X293" s="5">
        <v>2.3080432074071249</v>
      </c>
      <c r="Y293" s="5">
        <v>4460.0308624336612</v>
      </c>
      <c r="Z293" s="5">
        <f t="shared" ref="Z293:AA293" si="109">Z292+0.0002</f>
        <v>-5.9999999999999984E-4</v>
      </c>
      <c r="AA293" s="5">
        <f t="shared" si="109"/>
        <v>-4.0000000000000007E-4</v>
      </c>
      <c r="AB293" s="4">
        <v>2</v>
      </c>
    </row>
    <row r="294" spans="1:28" x14ac:dyDescent="0.25">
      <c r="C294" s="4">
        <v>5</v>
      </c>
      <c r="D294" s="5">
        <v>104063776306.8829</v>
      </c>
      <c r="E294" s="5">
        <v>104063776306.8829</v>
      </c>
      <c r="F294" s="5">
        <v>0.26315950193548798</v>
      </c>
      <c r="G294" s="5">
        <v>0</v>
      </c>
      <c r="H294" s="5">
        <v>39051530771.650467</v>
      </c>
      <c r="I294" s="5">
        <v>41452576538.58252</v>
      </c>
      <c r="J294" s="5">
        <v>41452576538.58252</v>
      </c>
      <c r="K294" s="5">
        <v>-4.0906760237867283E-11</v>
      </c>
      <c r="L294" s="5">
        <v>-4.0906760237867283E-11</v>
      </c>
      <c r="M294" s="5">
        <v>0</v>
      </c>
      <c r="N294" s="5">
        <v>2.0000000000000001E-4</v>
      </c>
      <c r="O294" s="5">
        <v>39.819608253023766</v>
      </c>
      <c r="P294" s="5">
        <v>39.819608253023766</v>
      </c>
      <c r="Q294" s="5">
        <v>7.5768418548109873E-9</v>
      </c>
      <c r="R294" s="5">
        <v>0</v>
      </c>
      <c r="S294" s="5">
        <v>5.0281251952718212E-5</v>
      </c>
      <c r="T294" s="5">
        <v>1.0920522883466028E-5</v>
      </c>
      <c r="U294" s="5">
        <v>1.0920522883466028E-5</v>
      </c>
      <c r="V294" s="5">
        <v>0</v>
      </c>
      <c r="W294" s="5">
        <v>0</v>
      </c>
      <c r="X294" s="5">
        <v>2.3586607049870558</v>
      </c>
      <c r="Y294" s="5">
        <v>4496.1862178478968</v>
      </c>
      <c r="Z294" s="5">
        <f t="shared" ref="Z294:AA294" si="110">Z293+0.0002</f>
        <v>-3.9999999999999986E-4</v>
      </c>
      <c r="AA294" s="5">
        <f t="shared" si="110"/>
        <v>-2.0000000000000006E-4</v>
      </c>
      <c r="AB294" s="4">
        <v>2</v>
      </c>
    </row>
    <row r="295" spans="1:28" x14ac:dyDescent="0.25">
      <c r="C295" s="4">
        <v>6</v>
      </c>
      <c r="D295" s="5">
        <v>101592330391.9003</v>
      </c>
      <c r="E295" s="5">
        <v>101592330391.9003</v>
      </c>
      <c r="F295" s="5">
        <v>0.25923062430601868</v>
      </c>
      <c r="G295" s="5">
        <v>0</v>
      </c>
      <c r="H295" s="5">
        <v>38275961595.364044</v>
      </c>
      <c r="I295" s="5">
        <v>41413798079.768204</v>
      </c>
      <c r="J295" s="5">
        <v>41413798079.768204</v>
      </c>
      <c r="K295" s="5">
        <v>-4.6066747409299454E-11</v>
      </c>
      <c r="L295" s="5">
        <v>-4.6066747409299454E-11</v>
      </c>
      <c r="M295" s="5">
        <v>0</v>
      </c>
      <c r="N295" s="5">
        <v>2.0000000000000001E-4</v>
      </c>
      <c r="O295" s="5">
        <v>30.872024465996383</v>
      </c>
      <c r="P295" s="5">
        <v>30.872024465996383</v>
      </c>
      <c r="Q295" s="5">
        <v>8.5232014173901929E-9</v>
      </c>
      <c r="R295" s="5">
        <v>0</v>
      </c>
      <c r="S295" s="5">
        <v>4.0780529543209493E-5</v>
      </c>
      <c r="T295" s="5">
        <v>1.128891824220208E-5</v>
      </c>
      <c r="U295" s="5">
        <v>1.128891824220208E-5</v>
      </c>
      <c r="V295" s="5">
        <v>0</v>
      </c>
      <c r="W295" s="5">
        <v>0</v>
      </c>
      <c r="X295" s="5">
        <v>2.4039022402704306</v>
      </c>
      <c r="Y295" s="5">
        <v>4528.5016001931654</v>
      </c>
      <c r="Z295" s="5">
        <f t="shared" ref="Z295:AA295" si="111">Z294+0.0002</f>
        <v>-1.9999999999999985E-4</v>
      </c>
      <c r="AA295" s="5">
        <f t="shared" si="111"/>
        <v>0</v>
      </c>
      <c r="AB295" s="4">
        <v>2</v>
      </c>
    </row>
    <row r="296" spans="1:28" x14ac:dyDescent="0.25">
      <c r="C296" s="4">
        <v>7</v>
      </c>
      <c r="D296" s="5">
        <v>99337086320.359375</v>
      </c>
      <c r="E296" s="5">
        <v>99337086320.359375</v>
      </c>
      <c r="F296" s="5">
        <v>0.25564544450177729</v>
      </c>
      <c r="G296" s="5">
        <v>0</v>
      </c>
      <c r="H296" s="5">
        <v>37568239133.67215</v>
      </c>
      <c r="I296" s="5">
        <v>41378411956.683609</v>
      </c>
      <c r="J296" s="5">
        <v>41378411956.683609</v>
      </c>
      <c r="K296" s="5">
        <v>-5.0775339414915549E-11</v>
      </c>
      <c r="L296" s="5">
        <v>-5.0775339414915549E-11</v>
      </c>
      <c r="M296" s="5">
        <v>0</v>
      </c>
      <c r="N296" s="5">
        <v>2.0000000000000001E-4</v>
      </c>
      <c r="O296" s="5">
        <v>22.707174420936305</v>
      </c>
      <c r="P296" s="5">
        <v>22.707174420936305</v>
      </c>
      <c r="Q296" s="5">
        <v>9.3867735393266914E-9</v>
      </c>
      <c r="R296" s="5">
        <v>0</v>
      </c>
      <c r="S296" s="5">
        <v>3.2110929387483886E-5</v>
      </c>
      <c r="T296" s="5">
        <v>1.1625086411505726E-5</v>
      </c>
      <c r="U296" s="5">
        <v>1.1625086411505726E-5</v>
      </c>
      <c r="V296" s="5">
        <v>0</v>
      </c>
      <c r="W296" s="5">
        <v>0</v>
      </c>
      <c r="X296" s="5">
        <v>2.4451860505357912</v>
      </c>
      <c r="Y296" s="5">
        <v>4557.9900360969932</v>
      </c>
      <c r="Z296" s="5">
        <f t="shared" ref="Z296:AA296" si="112">Z295+0.0002</f>
        <v>0</v>
      </c>
      <c r="AA296" s="5">
        <f t="shared" si="112"/>
        <v>2.0000000000000001E-4</v>
      </c>
      <c r="AB296" s="4">
        <v>2</v>
      </c>
    </row>
    <row r="297" spans="1:28" x14ac:dyDescent="0.25">
      <c r="C297" s="4">
        <v>8</v>
      </c>
      <c r="D297" s="5">
        <v>97249619012.343781</v>
      </c>
      <c r="E297" s="5">
        <v>97249619012.343781</v>
      </c>
      <c r="F297" s="5">
        <v>0.25232698078019972</v>
      </c>
      <c r="G297" s="5">
        <v>0</v>
      </c>
      <c r="H297" s="5">
        <v>36913167019.494858</v>
      </c>
      <c r="I297" s="5">
        <v>41345658350.974747</v>
      </c>
      <c r="J297" s="5">
        <v>41345658350.974747</v>
      </c>
      <c r="K297" s="5">
        <v>-5.5133640142779247E-11</v>
      </c>
      <c r="L297" s="5">
        <v>-5.5133640142779247E-11</v>
      </c>
      <c r="M297" s="5">
        <v>0</v>
      </c>
      <c r="N297" s="5">
        <v>2.0000000000000001E-4</v>
      </c>
      <c r="O297" s="5">
        <v>15.149740722743736</v>
      </c>
      <c r="P297" s="5">
        <v>15.149740722743736</v>
      </c>
      <c r="Q297" s="5">
        <v>1.0186101024721378E-8</v>
      </c>
      <c r="R297" s="5">
        <v>0</v>
      </c>
      <c r="S297" s="5">
        <v>2.4086295988812046E-5</v>
      </c>
      <c r="T297" s="5">
        <v>1.193624566573994E-5</v>
      </c>
      <c r="U297" s="5">
        <v>1.193624566573994E-5</v>
      </c>
      <c r="V297" s="5">
        <v>0</v>
      </c>
      <c r="W297" s="5">
        <v>0</v>
      </c>
      <c r="X297" s="5">
        <v>2.4833985905294664</v>
      </c>
      <c r="Y297" s="5">
        <v>4585.2847075210475</v>
      </c>
      <c r="Z297" s="5">
        <f t="shared" ref="Z297:AA297" si="113">Z296+0.0002</f>
        <v>2.0000000000000001E-4</v>
      </c>
      <c r="AA297" s="5">
        <f t="shared" si="113"/>
        <v>4.0000000000000002E-4</v>
      </c>
      <c r="AB297" s="4">
        <v>2</v>
      </c>
    </row>
    <row r="298" spans="1:28" x14ac:dyDescent="0.25">
      <c r="C298" s="4">
        <v>9</v>
      </c>
      <c r="D298" s="5">
        <v>95297264981.565857</v>
      </c>
      <c r="E298" s="5">
        <v>95297264981.565857</v>
      </c>
      <c r="F298" s="5">
        <v>0.24922330773203527</v>
      </c>
      <c r="G298" s="5">
        <v>0</v>
      </c>
      <c r="H298" s="5">
        <v>36300495061.637924</v>
      </c>
      <c r="I298" s="5">
        <v>41315024753.081894</v>
      </c>
      <c r="J298" s="5">
        <v>41315024753.081894</v>
      </c>
      <c r="K298" s="5">
        <v>-5.9209845772785502E-11</v>
      </c>
      <c r="L298" s="5">
        <v>-5.9209845772785502E-11</v>
      </c>
      <c r="M298" s="5">
        <v>0</v>
      </c>
      <c r="N298" s="5">
        <v>2.0000000000000001E-4</v>
      </c>
      <c r="O298" s="5">
        <v>8.0814690011474468</v>
      </c>
      <c r="P298" s="5">
        <v>8.0814690011474468</v>
      </c>
      <c r="Q298" s="5">
        <v>1.0933691289742315E-8</v>
      </c>
      <c r="R298" s="5">
        <v>0</v>
      </c>
      <c r="S298" s="5">
        <v>1.6581064505064534E-5</v>
      </c>
      <c r="T298" s="5">
        <v>1.2227264845721986E-5</v>
      </c>
      <c r="U298" s="5">
        <v>1.2227264845721986E-5</v>
      </c>
      <c r="V298" s="5">
        <v>0</v>
      </c>
      <c r="W298" s="5">
        <v>0</v>
      </c>
      <c r="X298" s="5">
        <v>2.519137788071121</v>
      </c>
      <c r="Y298" s="5">
        <v>4610.8127057650863</v>
      </c>
      <c r="Z298" s="5">
        <f t="shared" ref="Z298:AA298" si="114">Z297+0.0002</f>
        <v>4.0000000000000002E-4</v>
      </c>
      <c r="AA298" s="5">
        <f t="shared" si="114"/>
        <v>6.0000000000000006E-4</v>
      </c>
      <c r="AB298" s="4">
        <v>2</v>
      </c>
    </row>
    <row r="299" spans="1:28" x14ac:dyDescent="0.25">
      <c r="C299" s="4">
        <v>10</v>
      </c>
      <c r="D299" s="5">
        <v>93456757067.744843</v>
      </c>
      <c r="E299" s="5">
        <v>93456757067.744843</v>
      </c>
      <c r="F299" s="5">
        <v>0.24629743736374787</v>
      </c>
      <c r="G299" s="5">
        <v>0</v>
      </c>
      <c r="H299" s="5">
        <v>35722921747.968689</v>
      </c>
      <c r="I299" s="5">
        <v>41286146087.398437</v>
      </c>
      <c r="J299" s="5">
        <v>41286146087.398437</v>
      </c>
      <c r="K299" s="5">
        <v>-6.3052534446109161E-11</v>
      </c>
      <c r="L299" s="5">
        <v>-6.3052534446109161E-11</v>
      </c>
      <c r="M299" s="5">
        <v>0</v>
      </c>
      <c r="N299" s="5">
        <v>2.0000000000000001E-4</v>
      </c>
      <c r="O299" s="5">
        <v>1.4181231962621368</v>
      </c>
      <c r="P299" s="5">
        <v>1.4181231962621368</v>
      </c>
      <c r="Q299" s="5">
        <v>1.1638453734142985E-8</v>
      </c>
      <c r="R299" s="5">
        <v>0</v>
      </c>
      <c r="S299" s="5">
        <v>9.5057914126164421E-6</v>
      </c>
      <c r="T299" s="5">
        <v>1.2501612169714871E-5</v>
      </c>
      <c r="U299" s="5">
        <v>1.2501612169714871E-5</v>
      </c>
      <c r="V299" s="5">
        <v>0</v>
      </c>
      <c r="W299" s="5">
        <v>0</v>
      </c>
      <c r="X299" s="5">
        <v>2.5528295647018266</v>
      </c>
      <c r="Y299" s="5">
        <v>4634.8782605013048</v>
      </c>
      <c r="Z299" s="5">
        <f t="shared" ref="Z299:AA299" si="115">Z298+0.0002</f>
        <v>6.0000000000000006E-4</v>
      </c>
      <c r="AA299" s="5">
        <f t="shared" si="115"/>
        <v>8.0000000000000004E-4</v>
      </c>
      <c r="AB299" s="4">
        <v>2</v>
      </c>
    </row>
    <row r="300" spans="1:28" x14ac:dyDescent="0.25">
      <c r="C300" s="4">
        <v>11</v>
      </c>
      <c r="D300" s="5">
        <v>91710826204.463135</v>
      </c>
      <c r="E300" s="5">
        <v>91710826204.463135</v>
      </c>
      <c r="F300" s="5">
        <v>0.24352191690029651</v>
      </c>
      <c r="G300" s="5">
        <v>0</v>
      </c>
      <c r="H300" s="5">
        <v>35175027839.678177</v>
      </c>
      <c r="I300" s="5">
        <v>41258751391.98391</v>
      </c>
      <c r="J300" s="5">
        <v>41258751391.98391</v>
      </c>
      <c r="K300" s="5">
        <v>-6.6697761235061368E-11</v>
      </c>
      <c r="L300" s="5">
        <v>-6.6697761235061368E-11</v>
      </c>
      <c r="M300" s="5">
        <v>0</v>
      </c>
      <c r="N300" s="5">
        <v>2.0000000000000001E-4</v>
      </c>
      <c r="O300" s="5">
        <v>-4.9028173474357644</v>
      </c>
      <c r="P300" s="5">
        <v>-4.9028173474357644</v>
      </c>
      <c r="Q300" s="5">
        <v>1.230700098336751E-8</v>
      </c>
      <c r="R300" s="5">
        <v>0</v>
      </c>
      <c r="S300" s="5">
        <v>2.7940910360576535E-6</v>
      </c>
      <c r="T300" s="5">
        <v>1.2761861776152865E-5</v>
      </c>
      <c r="U300" s="5">
        <v>1.2761861776152865E-5</v>
      </c>
      <c r="V300" s="5">
        <v>0</v>
      </c>
      <c r="W300" s="5">
        <v>0</v>
      </c>
      <c r="X300" s="5">
        <v>2.58479004268544</v>
      </c>
      <c r="Y300" s="5">
        <v>4657.7071733467428</v>
      </c>
      <c r="Z300" s="5">
        <f t="shared" ref="Z300:AA300" si="116">Z299+0.0002</f>
        <v>8.0000000000000004E-4</v>
      </c>
      <c r="AA300" s="5">
        <f t="shared" si="116"/>
        <v>1E-3</v>
      </c>
      <c r="AB300" s="4">
        <v>2</v>
      </c>
    </row>
    <row r="301" spans="1:28" x14ac:dyDescent="0.25">
      <c r="B301" t="s">
        <v>187</v>
      </c>
      <c r="C301" s="11">
        <v>12</v>
      </c>
      <c r="D301" s="5">
        <v>90046236880.148865</v>
      </c>
      <c r="E301" s="5">
        <v>90046236880.148865</v>
      </c>
      <c r="F301" s="5">
        <v>0.24087570574151507</v>
      </c>
      <c r="G301" s="5">
        <v>0</v>
      </c>
      <c r="H301" s="5">
        <v>34652659875.529266</v>
      </c>
      <c r="I301" s="5">
        <v>41232632993.776466</v>
      </c>
      <c r="J301" s="5">
        <v>41232632993.776466</v>
      </c>
      <c r="K301" s="5">
        <v>-7.0173159789039052E-11</v>
      </c>
      <c r="L301" s="5">
        <v>-7.0173159789039052E-11</v>
      </c>
      <c r="M301" s="5">
        <v>0</v>
      </c>
      <c r="N301" s="5">
        <v>2.0000000000000001E-4</v>
      </c>
      <c r="O301" s="5">
        <v>-10.929270267162345</v>
      </c>
      <c r="P301" s="5">
        <v>-10.929270267162345</v>
      </c>
      <c r="Q301" s="5">
        <v>1.294440114465858E-8</v>
      </c>
      <c r="R301" s="5">
        <v>0</v>
      </c>
      <c r="S301" s="5">
        <v>-3.6049165247664693E-6</v>
      </c>
      <c r="T301" s="5">
        <v>1.3009986559123597E-5</v>
      </c>
      <c r="U301" s="5">
        <v>1.3009986559123597E-5</v>
      </c>
      <c r="V301" s="5">
        <v>0</v>
      </c>
      <c r="W301" s="5">
        <v>0</v>
      </c>
      <c r="X301" s="5">
        <v>2.6152615072607928</v>
      </c>
      <c r="Y301" s="5">
        <v>4679.4725051862806</v>
      </c>
      <c r="Z301" s="5">
        <f t="shared" ref="Z301:AA301" si="117">Z300+0.0002</f>
        <v>1E-3</v>
      </c>
      <c r="AA301" s="5">
        <f t="shared" si="117"/>
        <v>1.2000000000000001E-3</v>
      </c>
      <c r="AB301" s="4">
        <v>2</v>
      </c>
    </row>
    <row r="305" spans="1:28" x14ac:dyDescent="0.25">
      <c r="A305" s="15" t="s">
        <v>252</v>
      </c>
      <c r="C305" s="10" t="s">
        <v>27</v>
      </c>
      <c r="D305" s="10" t="s">
        <v>28</v>
      </c>
      <c r="E305" s="10" t="s">
        <v>29</v>
      </c>
      <c r="F305" s="10" t="s">
        <v>30</v>
      </c>
      <c r="G305" s="10" t="s">
        <v>31</v>
      </c>
      <c r="H305" s="10" t="s">
        <v>75</v>
      </c>
      <c r="I305" s="10" t="s">
        <v>32</v>
      </c>
      <c r="J305" s="10" t="s">
        <v>33</v>
      </c>
      <c r="K305" s="10" t="s">
        <v>34</v>
      </c>
      <c r="L305" s="10" t="s">
        <v>35</v>
      </c>
      <c r="M305" s="10" t="s">
        <v>36</v>
      </c>
      <c r="N305" s="10" t="s">
        <v>37</v>
      </c>
      <c r="O305" s="10" t="s">
        <v>38</v>
      </c>
      <c r="P305" s="10" t="s">
        <v>39</v>
      </c>
      <c r="Q305" s="10" t="s">
        <v>40</v>
      </c>
      <c r="R305" s="10" t="s">
        <v>41</v>
      </c>
      <c r="S305" s="10" t="s">
        <v>42</v>
      </c>
      <c r="T305" s="10" t="s">
        <v>76</v>
      </c>
      <c r="U305" s="10" t="s">
        <v>77</v>
      </c>
      <c r="V305" s="10" t="s">
        <v>78</v>
      </c>
      <c r="W305" s="10" t="s">
        <v>79</v>
      </c>
      <c r="X305" s="10" t="s">
        <v>80</v>
      </c>
      <c r="Y305" s="10" t="s">
        <v>43</v>
      </c>
      <c r="Z305" s="10" t="s">
        <v>44</v>
      </c>
      <c r="AA305" s="10" t="s">
        <v>45</v>
      </c>
      <c r="AB305" s="10" t="s">
        <v>46</v>
      </c>
    </row>
    <row r="306" spans="1:28" x14ac:dyDescent="0.25">
      <c r="A306" s="12" t="s">
        <v>84</v>
      </c>
      <c r="B306" t="s">
        <v>183</v>
      </c>
      <c r="C306" s="11">
        <v>1</v>
      </c>
      <c r="D306" s="5">
        <v>106129868064.39142</v>
      </c>
      <c r="E306" s="5">
        <v>106129868064.39142</v>
      </c>
      <c r="F306" s="5">
        <v>0.25422792575196146</v>
      </c>
      <c r="G306" s="5">
        <v>0</v>
      </c>
      <c r="H306" s="5">
        <v>38900510257.216827</v>
      </c>
      <c r="I306" s="5">
        <v>36507525512.86084</v>
      </c>
      <c r="J306" s="5">
        <v>36507525512.86084</v>
      </c>
      <c r="K306" s="5">
        <v>-4.3211603080784013E-12</v>
      </c>
      <c r="L306" s="5">
        <v>-4.3211603080784013E-12</v>
      </c>
      <c r="M306" s="5">
        <v>0</v>
      </c>
      <c r="N306" s="5">
        <v>2.0000000000000001E-4</v>
      </c>
      <c r="O306" s="5">
        <v>89.416059893865082</v>
      </c>
      <c r="P306" s="5">
        <v>89.416059893865082</v>
      </c>
      <c r="Q306" s="5">
        <v>8.5761580345551153E-10</v>
      </c>
      <c r="R306" s="5">
        <v>0</v>
      </c>
      <c r="S306" s="5">
        <v>1.0194375065090609E-4</v>
      </c>
      <c r="T306" s="5">
        <v>7.3085076278220076E-6</v>
      </c>
      <c r="U306" s="5">
        <v>7.3085076278220076E-6</v>
      </c>
      <c r="V306" s="5">
        <v>0</v>
      </c>
      <c r="W306" s="5">
        <v>0</v>
      </c>
      <c r="X306" s="5">
        <v>1.7878869016623518</v>
      </c>
      <c r="Y306" s="5">
        <v>3737.0620726159659</v>
      </c>
      <c r="Z306" s="5">
        <v>-1.1999999999999999E-3</v>
      </c>
      <c r="AA306" s="5">
        <v>-1E-3</v>
      </c>
      <c r="AB306" s="4">
        <v>2</v>
      </c>
    </row>
    <row r="307" spans="1:28" x14ac:dyDescent="0.25">
      <c r="C307" s="4">
        <v>2</v>
      </c>
      <c r="D307" s="5">
        <v>100415773549.25558</v>
      </c>
      <c r="E307" s="5">
        <v>100415773549.25558</v>
      </c>
      <c r="F307" s="5">
        <v>0.24514418332527421</v>
      </c>
      <c r="G307" s="5">
        <v>0</v>
      </c>
      <c r="H307" s="5">
        <v>37107359312.880714</v>
      </c>
      <c r="I307" s="5">
        <v>36417867965.644035</v>
      </c>
      <c r="J307" s="5">
        <v>36417867965.644035</v>
      </c>
      <c r="K307" s="5">
        <v>-1.6251283567384818E-11</v>
      </c>
      <c r="L307" s="5">
        <v>-1.6251283567384818E-11</v>
      </c>
      <c r="M307" s="5">
        <v>0</v>
      </c>
      <c r="N307" s="5">
        <v>2.0000000000000001E-4</v>
      </c>
      <c r="O307" s="5">
        <v>68.728842289294818</v>
      </c>
      <c r="P307" s="5">
        <v>68.728842289294818</v>
      </c>
      <c r="Q307" s="5">
        <v>3.0456418302837117E-9</v>
      </c>
      <c r="R307" s="5">
        <v>0</v>
      </c>
      <c r="S307" s="5">
        <v>7.9977651582788752E-5</v>
      </c>
      <c r="T307" s="5">
        <v>8.1602543263816605E-6</v>
      </c>
      <c r="U307" s="5">
        <v>8.1602543263816605E-6</v>
      </c>
      <c r="V307" s="5">
        <v>0</v>
      </c>
      <c r="W307" s="5">
        <v>0</v>
      </c>
      <c r="X307" s="5">
        <v>1.8924873734152916</v>
      </c>
      <c r="Y307" s="5">
        <v>3811.7766952966367</v>
      </c>
      <c r="Z307" s="5">
        <f t="shared" ref="Z307:AA307" si="118">Z306+0.0002</f>
        <v>-9.999999999999998E-4</v>
      </c>
      <c r="AA307" s="5">
        <f t="shared" si="118"/>
        <v>-8.0000000000000004E-4</v>
      </c>
      <c r="AB307" s="4">
        <v>2</v>
      </c>
    </row>
    <row r="308" spans="1:28" x14ac:dyDescent="0.25">
      <c r="C308" s="4">
        <v>3</v>
      </c>
      <c r="D308" s="5">
        <v>96481618000.952972</v>
      </c>
      <c r="E308" s="5">
        <v>96481618000.952972</v>
      </c>
      <c r="F308" s="5">
        <v>0.23889002432026624</v>
      </c>
      <c r="G308" s="5">
        <v>0</v>
      </c>
      <c r="H308" s="5">
        <v>35872774424.948341</v>
      </c>
      <c r="I308" s="5">
        <v>36356138721.247414</v>
      </c>
      <c r="J308" s="5">
        <v>36356138721.247414</v>
      </c>
      <c r="K308" s="5">
        <v>-2.4465176510214218E-11</v>
      </c>
      <c r="L308" s="5">
        <v>-2.4465176510214218E-11</v>
      </c>
      <c r="M308" s="5">
        <v>0</v>
      </c>
      <c r="N308" s="5">
        <v>2.0000000000000001E-4</v>
      </c>
      <c r="O308" s="5">
        <v>54.485687629815239</v>
      </c>
      <c r="P308" s="5">
        <v>54.485687629815239</v>
      </c>
      <c r="Q308" s="5">
        <v>4.5520983144169738E-9</v>
      </c>
      <c r="R308" s="5">
        <v>0</v>
      </c>
      <c r="S308" s="5">
        <v>6.4853986705617152E-5</v>
      </c>
      <c r="T308" s="5">
        <v>8.7466821481495382E-6</v>
      </c>
      <c r="U308" s="5">
        <v>8.7466821481495382E-6</v>
      </c>
      <c r="V308" s="5">
        <v>0</v>
      </c>
      <c r="W308" s="5">
        <v>0</v>
      </c>
      <c r="X308" s="5">
        <v>1.9645048252113471</v>
      </c>
      <c r="Y308" s="5">
        <v>3863.2177322938196</v>
      </c>
      <c r="Z308" s="5">
        <f t="shared" ref="Z308:AA308" si="119">Z307+0.0002</f>
        <v>-7.9999999999999982E-4</v>
      </c>
      <c r="AA308" s="5">
        <f t="shared" si="119"/>
        <v>-6.0000000000000006E-4</v>
      </c>
      <c r="AB308" s="4">
        <v>2</v>
      </c>
    </row>
    <row r="309" spans="1:28" x14ac:dyDescent="0.25">
      <c r="C309" s="4">
        <v>4</v>
      </c>
      <c r="D309" s="5">
        <v>93283794482.337524</v>
      </c>
      <c r="E309" s="5">
        <v>93283794482.337524</v>
      </c>
      <c r="F309" s="5">
        <v>0.23380641831897225</v>
      </c>
      <c r="G309" s="5">
        <v>0</v>
      </c>
      <c r="H309" s="5">
        <v>34869259301.59214</v>
      </c>
      <c r="I309" s="5">
        <v>36305962965.079605</v>
      </c>
      <c r="J309" s="5">
        <v>36305962965.079605</v>
      </c>
      <c r="K309" s="5">
        <v>-3.1141724935784731E-11</v>
      </c>
      <c r="L309" s="5">
        <v>-3.1141724935784731E-11</v>
      </c>
      <c r="M309" s="5">
        <v>0</v>
      </c>
      <c r="N309" s="5">
        <v>2.0000000000000001E-4</v>
      </c>
      <c r="O309" s="5">
        <v>42.908337830056503</v>
      </c>
      <c r="P309" s="5">
        <v>42.908337830056503</v>
      </c>
      <c r="Q309" s="5">
        <v>5.7766004764655827E-9</v>
      </c>
      <c r="R309" s="5">
        <v>0</v>
      </c>
      <c r="S309" s="5">
        <v>5.2560926444503725E-5</v>
      </c>
      <c r="T309" s="5">
        <v>9.2233518317437313E-6</v>
      </c>
      <c r="U309" s="5">
        <v>9.2233518317437313E-6</v>
      </c>
      <c r="V309" s="5">
        <v>0</v>
      </c>
      <c r="W309" s="5">
        <v>0</v>
      </c>
      <c r="X309" s="5">
        <v>2.0230432074071252</v>
      </c>
      <c r="Y309" s="5">
        <v>3905.0308624336612</v>
      </c>
      <c r="Z309" s="5">
        <f t="shared" ref="Z309:AA309" si="120">Z308+0.0002</f>
        <v>-5.9999999999999984E-4</v>
      </c>
      <c r="AA309" s="5">
        <f t="shared" si="120"/>
        <v>-4.0000000000000007E-4</v>
      </c>
      <c r="AB309" s="4">
        <v>2</v>
      </c>
    </row>
    <row r="310" spans="1:28" x14ac:dyDescent="0.25">
      <c r="C310" s="4">
        <v>5</v>
      </c>
      <c r="D310" s="5">
        <v>90518671529.789673</v>
      </c>
      <c r="E310" s="5">
        <v>90518671529.789673</v>
      </c>
      <c r="F310" s="5">
        <v>0.22941067991938291</v>
      </c>
      <c r="G310" s="5">
        <v>0</v>
      </c>
      <c r="H310" s="5">
        <v>34001530771.650467</v>
      </c>
      <c r="I310" s="5">
        <v>36262576538.58252</v>
      </c>
      <c r="J310" s="5">
        <v>36262576538.58252</v>
      </c>
      <c r="K310" s="5">
        <v>-3.6914863193062709E-11</v>
      </c>
      <c r="L310" s="5">
        <v>-3.6914863193062709E-11</v>
      </c>
      <c r="M310" s="5">
        <v>0</v>
      </c>
      <c r="N310" s="5">
        <v>2.0000000000000001E-4</v>
      </c>
      <c r="O310" s="5">
        <v>32.897530330945848</v>
      </c>
      <c r="P310" s="5">
        <v>32.897530330945848</v>
      </c>
      <c r="Q310" s="5">
        <v>6.8354140770332088E-9</v>
      </c>
      <c r="R310" s="5">
        <v>0</v>
      </c>
      <c r="S310" s="5">
        <v>4.1931251952718212E-5</v>
      </c>
      <c r="T310" s="5">
        <v>9.6355228834660295E-6</v>
      </c>
      <c r="U310" s="5">
        <v>9.6355228834660295E-6</v>
      </c>
      <c r="V310" s="5">
        <v>0</v>
      </c>
      <c r="W310" s="5">
        <v>0</v>
      </c>
      <c r="X310" s="5">
        <v>2.0736607049870561</v>
      </c>
      <c r="Y310" s="5">
        <v>3941.1862178478968</v>
      </c>
      <c r="Z310" s="5">
        <f t="shared" ref="Z310:AA310" si="121">Z309+0.0002</f>
        <v>-3.9999999999999986E-4</v>
      </c>
      <c r="AA310" s="5">
        <f t="shared" si="121"/>
        <v>-2.0000000000000006E-4</v>
      </c>
      <c r="AB310" s="4">
        <v>2</v>
      </c>
    </row>
    <row r="311" spans="1:28" x14ac:dyDescent="0.25">
      <c r="C311" s="4">
        <v>6</v>
      </c>
      <c r="D311" s="5">
        <v>88047225614.807068</v>
      </c>
      <c r="E311" s="5">
        <v>88047225614.807068</v>
      </c>
      <c r="F311" s="5">
        <v>0.2254818022899136</v>
      </c>
      <c r="G311" s="5">
        <v>0</v>
      </c>
      <c r="H311" s="5">
        <v>33225961595.364044</v>
      </c>
      <c r="I311" s="5">
        <v>36223798079.768204</v>
      </c>
      <c r="J311" s="5">
        <v>36223798079.768204</v>
      </c>
      <c r="K311" s="5">
        <v>-4.207485036449488E-11</v>
      </c>
      <c r="L311" s="5">
        <v>-4.207485036449488E-11</v>
      </c>
      <c r="M311" s="5">
        <v>0</v>
      </c>
      <c r="N311" s="5">
        <v>2.0000000000000001E-4</v>
      </c>
      <c r="O311" s="5">
        <v>23.949946543918465</v>
      </c>
      <c r="P311" s="5">
        <v>23.949946543918465</v>
      </c>
      <c r="Q311" s="5">
        <v>7.7817736396124144E-9</v>
      </c>
      <c r="R311" s="5">
        <v>0</v>
      </c>
      <c r="S311" s="5">
        <v>3.2430529543209493E-5</v>
      </c>
      <c r="T311" s="5">
        <v>1.0003918242202082E-5</v>
      </c>
      <c r="U311" s="5">
        <v>1.0003918242202082E-5</v>
      </c>
      <c r="V311" s="5">
        <v>0</v>
      </c>
      <c r="W311" s="5">
        <v>0</v>
      </c>
      <c r="X311" s="5">
        <v>2.1189022402704309</v>
      </c>
      <c r="Y311" s="5">
        <v>3973.5016001931654</v>
      </c>
      <c r="Z311" s="5">
        <f t="shared" ref="Z311:AA311" si="122">Z310+0.0002</f>
        <v>-1.9999999999999985E-4</v>
      </c>
      <c r="AA311" s="5">
        <f t="shared" si="122"/>
        <v>0</v>
      </c>
      <c r="AB311" s="4">
        <v>2</v>
      </c>
    </row>
    <row r="312" spans="1:28" x14ac:dyDescent="0.25">
      <c r="C312" s="4">
        <v>7</v>
      </c>
      <c r="D312" s="5">
        <v>85791981543.266144</v>
      </c>
      <c r="E312" s="5">
        <v>85791981543.266144</v>
      </c>
      <c r="F312" s="5">
        <v>0.22189662248567221</v>
      </c>
      <c r="G312" s="5">
        <v>0</v>
      </c>
      <c r="H312" s="5">
        <v>32518239133.67215</v>
      </c>
      <c r="I312" s="5">
        <v>36188411956.683609</v>
      </c>
      <c r="J312" s="5">
        <v>36188411956.683609</v>
      </c>
      <c r="K312" s="5">
        <v>-4.6783442370110975E-11</v>
      </c>
      <c r="L312" s="5">
        <v>-4.6783442370110975E-11</v>
      </c>
      <c r="M312" s="5">
        <v>0</v>
      </c>
      <c r="N312" s="5">
        <v>2.0000000000000001E-4</v>
      </c>
      <c r="O312" s="5">
        <v>15.785096498858387</v>
      </c>
      <c r="P312" s="5">
        <v>15.785096498858387</v>
      </c>
      <c r="Q312" s="5">
        <v>8.6453457615489129E-9</v>
      </c>
      <c r="R312" s="5">
        <v>0</v>
      </c>
      <c r="S312" s="5">
        <v>2.3760929387483886E-5</v>
      </c>
      <c r="T312" s="5">
        <v>1.0340086411505727E-5</v>
      </c>
      <c r="U312" s="5">
        <v>1.0340086411505727E-5</v>
      </c>
      <c r="V312" s="5">
        <v>0</v>
      </c>
      <c r="W312" s="5">
        <v>0</v>
      </c>
      <c r="X312" s="5">
        <v>2.160186050535791</v>
      </c>
      <c r="Y312" s="5">
        <v>4002.9900360969932</v>
      </c>
      <c r="Z312" s="5">
        <f t="shared" ref="Z312:AA312" si="123">Z311+0.0002</f>
        <v>0</v>
      </c>
      <c r="AA312" s="5">
        <f t="shared" si="123"/>
        <v>2.0000000000000001E-4</v>
      </c>
      <c r="AB312" s="4">
        <v>2</v>
      </c>
    </row>
    <row r="313" spans="1:28" x14ac:dyDescent="0.25">
      <c r="C313" s="4">
        <v>8</v>
      </c>
      <c r="D313" s="5">
        <v>83704514235.250549</v>
      </c>
      <c r="E313" s="5">
        <v>83704514235.250549</v>
      </c>
      <c r="F313" s="5">
        <v>0.21857815876409464</v>
      </c>
      <c r="G313" s="5">
        <v>0</v>
      </c>
      <c r="H313" s="5">
        <v>31863167019.494858</v>
      </c>
      <c r="I313" s="5">
        <v>36155658350.974747</v>
      </c>
      <c r="J313" s="5">
        <v>36155658350.974747</v>
      </c>
      <c r="K313" s="5">
        <v>-5.1141743097974673E-11</v>
      </c>
      <c r="L313" s="5">
        <v>-5.1141743097974673E-11</v>
      </c>
      <c r="M313" s="5">
        <v>0</v>
      </c>
      <c r="N313" s="5">
        <v>2.0000000000000001E-4</v>
      </c>
      <c r="O313" s="5">
        <v>8.2276628006658186</v>
      </c>
      <c r="P313" s="5">
        <v>8.2276628006658186</v>
      </c>
      <c r="Q313" s="5">
        <v>9.4446732469435995E-9</v>
      </c>
      <c r="R313" s="5">
        <v>0</v>
      </c>
      <c r="S313" s="5">
        <v>1.5736295988812046E-5</v>
      </c>
      <c r="T313" s="5">
        <v>1.0651245665739941E-5</v>
      </c>
      <c r="U313" s="5">
        <v>1.0651245665739941E-5</v>
      </c>
      <c r="V313" s="5">
        <v>0</v>
      </c>
      <c r="W313" s="5">
        <v>0</v>
      </c>
      <c r="X313" s="5">
        <v>2.1983985905294667</v>
      </c>
      <c r="Y313" s="5">
        <v>4030.2847075210475</v>
      </c>
      <c r="Z313" s="5">
        <f t="shared" ref="Z313:AA313" si="124">Z312+0.0002</f>
        <v>2.0000000000000001E-4</v>
      </c>
      <c r="AA313" s="5">
        <f t="shared" si="124"/>
        <v>4.0000000000000002E-4</v>
      </c>
      <c r="AB313" s="4">
        <v>2</v>
      </c>
    </row>
    <row r="314" spans="1:28" x14ac:dyDescent="0.25">
      <c r="C314" s="4">
        <v>9</v>
      </c>
      <c r="D314" s="5">
        <v>81752160204.472626</v>
      </c>
      <c r="E314" s="5">
        <v>81752160204.472626</v>
      </c>
      <c r="F314" s="5">
        <v>0.2154744857159302</v>
      </c>
      <c r="G314" s="5">
        <v>0</v>
      </c>
      <c r="H314" s="5">
        <v>31250495061.637924</v>
      </c>
      <c r="I314" s="5">
        <v>36125024753.081894</v>
      </c>
      <c r="J314" s="5">
        <v>36125024753.081894</v>
      </c>
      <c r="K314" s="5">
        <v>-5.5217948727980928E-11</v>
      </c>
      <c r="L314" s="5">
        <v>-5.5217948727980928E-11</v>
      </c>
      <c r="M314" s="5">
        <v>0</v>
      </c>
      <c r="N314" s="5">
        <v>2.0000000000000001E-4</v>
      </c>
      <c r="O314" s="5">
        <v>1.159391079069529</v>
      </c>
      <c r="P314" s="5">
        <v>1.159391079069529</v>
      </c>
      <c r="Q314" s="5">
        <v>1.0192263511964536E-8</v>
      </c>
      <c r="R314" s="5">
        <v>0</v>
      </c>
      <c r="S314" s="5">
        <v>8.2310645050645347E-6</v>
      </c>
      <c r="T314" s="5">
        <v>1.0942264845721988E-5</v>
      </c>
      <c r="U314" s="5">
        <v>1.0942264845721988E-5</v>
      </c>
      <c r="V314" s="5">
        <v>0</v>
      </c>
      <c r="W314" s="5">
        <v>0</v>
      </c>
      <c r="X314" s="5">
        <v>2.2341377880711213</v>
      </c>
      <c r="Y314" s="5">
        <v>4055.8127057650863</v>
      </c>
      <c r="Z314" s="5">
        <f t="shared" ref="Z314:AA314" si="125">Z313+0.0002</f>
        <v>4.0000000000000002E-4</v>
      </c>
      <c r="AA314" s="5">
        <f t="shared" si="125"/>
        <v>6.0000000000000006E-4</v>
      </c>
      <c r="AB314" s="4">
        <v>2</v>
      </c>
    </row>
    <row r="315" spans="1:28" x14ac:dyDescent="0.25">
      <c r="C315" s="4">
        <v>10</v>
      </c>
      <c r="D315" s="5">
        <v>79911652290.651611</v>
      </c>
      <c r="E315" s="5">
        <v>79911652290.651611</v>
      </c>
      <c r="F315" s="5">
        <v>0.2125486153476428</v>
      </c>
      <c r="G315" s="5">
        <v>0</v>
      </c>
      <c r="H315" s="5">
        <v>30672921747.968689</v>
      </c>
      <c r="I315" s="5">
        <v>36096146087.398437</v>
      </c>
      <c r="J315" s="5">
        <v>36096146087.398437</v>
      </c>
      <c r="K315" s="5">
        <v>-5.9060637401304581E-11</v>
      </c>
      <c r="L315" s="5">
        <v>-5.9060637401304581E-11</v>
      </c>
      <c r="M315" s="5">
        <v>0</v>
      </c>
      <c r="N315" s="5">
        <v>2.0000000000000001E-4</v>
      </c>
      <c r="O315" s="5">
        <v>-5.503954725815781</v>
      </c>
      <c r="P315" s="5">
        <v>-5.503954725815781</v>
      </c>
      <c r="Q315" s="5">
        <v>1.0897025956365207E-8</v>
      </c>
      <c r="R315" s="5">
        <v>0</v>
      </c>
      <c r="S315" s="5">
        <v>1.1557914126164424E-6</v>
      </c>
      <c r="T315" s="5">
        <v>1.1216612169714872E-5</v>
      </c>
      <c r="U315" s="5">
        <v>1.1216612169714872E-5</v>
      </c>
      <c r="V315" s="5">
        <v>0</v>
      </c>
      <c r="W315" s="5">
        <v>0</v>
      </c>
      <c r="X315" s="5">
        <v>2.2678295647018265</v>
      </c>
      <c r="Y315" s="5">
        <v>4079.8782605013048</v>
      </c>
      <c r="Z315" s="5">
        <f t="shared" ref="Z315:AA315" si="126">Z314+0.0002</f>
        <v>6.0000000000000006E-4</v>
      </c>
      <c r="AA315" s="5">
        <f t="shared" si="126"/>
        <v>8.0000000000000004E-4</v>
      </c>
      <c r="AB315" s="4">
        <v>2</v>
      </c>
    </row>
    <row r="316" spans="1:28" x14ac:dyDescent="0.25">
      <c r="C316" s="4">
        <v>11</v>
      </c>
      <c r="D316" s="5">
        <v>78165721427.369904</v>
      </c>
      <c r="E316" s="5">
        <v>78165721427.369904</v>
      </c>
      <c r="F316" s="5">
        <v>0.20977309488419144</v>
      </c>
      <c r="G316" s="5">
        <v>0</v>
      </c>
      <c r="H316" s="5">
        <v>30125027839.678177</v>
      </c>
      <c r="I316" s="5">
        <v>36068751391.98391</v>
      </c>
      <c r="J316" s="5">
        <v>36068751391.98391</v>
      </c>
      <c r="K316" s="5">
        <v>-6.2705864190256788E-11</v>
      </c>
      <c r="L316" s="5">
        <v>-6.2705864190256788E-11</v>
      </c>
      <c r="M316" s="5">
        <v>0</v>
      </c>
      <c r="N316" s="5">
        <v>2.0000000000000001E-4</v>
      </c>
      <c r="O316" s="5">
        <v>-11.824895269513682</v>
      </c>
      <c r="P316" s="5">
        <v>-11.824895269513682</v>
      </c>
      <c r="Q316" s="5">
        <v>1.1565573205589731E-8</v>
      </c>
      <c r="R316" s="5">
        <v>0</v>
      </c>
      <c r="S316" s="5">
        <v>-5.5559089639423462E-6</v>
      </c>
      <c r="T316" s="5">
        <v>1.1476861776152866E-5</v>
      </c>
      <c r="U316" s="5">
        <v>1.1476861776152866E-5</v>
      </c>
      <c r="V316" s="5">
        <v>0</v>
      </c>
      <c r="W316" s="5">
        <v>0</v>
      </c>
      <c r="X316" s="5">
        <v>2.2997900426854399</v>
      </c>
      <c r="Y316" s="5">
        <v>4102.7071733467428</v>
      </c>
      <c r="Z316" s="5">
        <f t="shared" ref="Z316:AA316" si="127">Z315+0.0002</f>
        <v>8.0000000000000004E-4</v>
      </c>
      <c r="AA316" s="5">
        <f t="shared" si="127"/>
        <v>1E-3</v>
      </c>
      <c r="AB316" s="4">
        <v>2</v>
      </c>
    </row>
    <row r="317" spans="1:28" x14ac:dyDescent="0.25">
      <c r="B317" t="s">
        <v>187</v>
      </c>
      <c r="C317" s="11">
        <v>12</v>
      </c>
      <c r="D317" s="5">
        <v>76501132103.055634</v>
      </c>
      <c r="E317" s="5">
        <v>76501132103.055634</v>
      </c>
      <c r="F317" s="5">
        <v>0.20712688372540999</v>
      </c>
      <c r="G317" s="5">
        <v>0</v>
      </c>
      <c r="H317" s="5">
        <v>29602659875.529266</v>
      </c>
      <c r="I317" s="5">
        <v>36042632993.776466</v>
      </c>
      <c r="J317" s="5">
        <v>36042632993.776466</v>
      </c>
      <c r="K317" s="5">
        <v>-6.6181262744234472E-11</v>
      </c>
      <c r="L317" s="5">
        <v>-6.6181262744234472E-11</v>
      </c>
      <c r="M317" s="5">
        <v>0</v>
      </c>
      <c r="N317" s="5">
        <v>2.0000000000000001E-4</v>
      </c>
      <c r="O317" s="5">
        <v>-17.851348189240262</v>
      </c>
      <c r="P317" s="5">
        <v>-17.851348189240262</v>
      </c>
      <c r="Q317" s="5">
        <v>1.2202973366880802E-8</v>
      </c>
      <c r="R317" s="5">
        <v>0</v>
      </c>
      <c r="S317" s="5">
        <v>-1.1954916524766469E-5</v>
      </c>
      <c r="T317" s="5">
        <v>1.1724986559123598E-5</v>
      </c>
      <c r="U317" s="5">
        <v>1.1724986559123598E-5</v>
      </c>
      <c r="V317" s="5">
        <v>0</v>
      </c>
      <c r="W317" s="5">
        <v>0</v>
      </c>
      <c r="X317" s="5">
        <v>2.3302615072607931</v>
      </c>
      <c r="Y317" s="5">
        <v>4124.4725051862806</v>
      </c>
      <c r="Z317" s="5">
        <f t="shared" ref="Z317:AA317" si="128">Z316+0.0002</f>
        <v>1E-3</v>
      </c>
      <c r="AA317" s="5">
        <f t="shared" si="128"/>
        <v>1.2000000000000001E-3</v>
      </c>
      <c r="AB317" s="4">
        <v>2</v>
      </c>
    </row>
    <row r="318" spans="1:28" x14ac:dyDescent="0.25">
      <c r="C318" s="11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8" x14ac:dyDescent="0.25">
      <c r="C319" s="11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8" x14ac:dyDescent="0.25">
      <c r="A320" s="15" t="s">
        <v>253</v>
      </c>
      <c r="C320" s="10" t="s">
        <v>27</v>
      </c>
      <c r="D320" s="10" t="s">
        <v>28</v>
      </c>
      <c r="E320" s="10" t="s">
        <v>29</v>
      </c>
      <c r="F320" s="10" t="s">
        <v>30</v>
      </c>
      <c r="G320" s="10" t="s">
        <v>31</v>
      </c>
      <c r="H320" s="10" t="s">
        <v>47</v>
      </c>
      <c r="I320" s="10" t="s">
        <v>32</v>
      </c>
      <c r="J320" s="10" t="s">
        <v>33</v>
      </c>
      <c r="K320" s="10" t="s">
        <v>34</v>
      </c>
      <c r="L320" s="10" t="s">
        <v>35</v>
      </c>
      <c r="M320" s="10" t="s">
        <v>36</v>
      </c>
      <c r="N320" s="10" t="s">
        <v>37</v>
      </c>
      <c r="O320" s="10" t="s">
        <v>38</v>
      </c>
      <c r="P320" s="10" t="s">
        <v>39</v>
      </c>
      <c r="Q320" s="10" t="s">
        <v>40</v>
      </c>
      <c r="R320" s="10" t="s">
        <v>41</v>
      </c>
      <c r="S320" s="10" t="s">
        <v>42</v>
      </c>
      <c r="T320" s="10" t="s">
        <v>48</v>
      </c>
      <c r="U320" s="10" t="s">
        <v>77</v>
      </c>
      <c r="V320" s="10" t="s">
        <v>78</v>
      </c>
      <c r="W320" s="10" t="s">
        <v>79</v>
      </c>
      <c r="X320" s="10" t="s">
        <v>49</v>
      </c>
      <c r="Y320" s="10" t="s">
        <v>43</v>
      </c>
      <c r="Z320" s="10" t="s">
        <v>44</v>
      </c>
      <c r="AA320" s="10" t="s">
        <v>45</v>
      </c>
      <c r="AB320" s="10"/>
    </row>
    <row r="321" spans="1:28" x14ac:dyDescent="0.25">
      <c r="A321" s="12" t="s">
        <v>182</v>
      </c>
      <c r="B321" t="s">
        <v>183</v>
      </c>
      <c r="C321" s="11">
        <v>1</v>
      </c>
      <c r="D321" s="5">
        <v>92584763287.298172</v>
      </c>
      <c r="E321" s="5">
        <v>92584763287.298172</v>
      </c>
      <c r="F321" s="5">
        <v>0.2204791037358563</v>
      </c>
      <c r="G321" s="5">
        <v>0</v>
      </c>
      <c r="H321" s="5">
        <v>33850510257.216827</v>
      </c>
      <c r="I321" s="5">
        <v>31317525512.86084</v>
      </c>
      <c r="J321" s="5">
        <v>31317525512.86084</v>
      </c>
      <c r="K321" s="5">
        <v>-3.2926326327382546E-13</v>
      </c>
      <c r="L321" s="5">
        <v>-3.2926326327382546E-13</v>
      </c>
      <c r="M321" s="5">
        <v>0</v>
      </c>
      <c r="N321" s="5">
        <v>2.0000000000000001E-4</v>
      </c>
      <c r="O321" s="5">
        <v>82.493981971787164</v>
      </c>
      <c r="P321" s="5">
        <v>82.493981971787164</v>
      </c>
      <c r="Q321" s="5">
        <v>1.1618802567773346E-10</v>
      </c>
      <c r="R321" s="5">
        <v>0</v>
      </c>
      <c r="S321" s="5">
        <v>9.3593750650906095E-5</v>
      </c>
      <c r="T321" s="5">
        <v>6.0235076278220072E-6</v>
      </c>
      <c r="U321" s="5">
        <v>6.0235076278220072E-6</v>
      </c>
      <c r="V321" s="5">
        <v>0</v>
      </c>
      <c r="W321" s="5">
        <v>0</v>
      </c>
      <c r="X321" s="5">
        <v>1.5028869016623516</v>
      </c>
      <c r="Y321" s="5">
        <v>3182.0620726159659</v>
      </c>
      <c r="Z321" s="5">
        <v>-1.1999999999999999E-3</v>
      </c>
      <c r="AA321" s="5">
        <v>-1E-3</v>
      </c>
      <c r="AB321" s="4">
        <v>2</v>
      </c>
    </row>
    <row r="322" spans="1:28" x14ac:dyDescent="0.25">
      <c r="C322" s="4">
        <v>2</v>
      </c>
      <c r="D322" s="5">
        <v>86870668772.162338</v>
      </c>
      <c r="E322" s="5">
        <v>86870668772.162338</v>
      </c>
      <c r="F322" s="5">
        <v>0.21139536130916906</v>
      </c>
      <c r="G322" s="5">
        <v>0</v>
      </c>
      <c r="H322" s="5">
        <v>32057359312.880714</v>
      </c>
      <c r="I322" s="5">
        <v>31227867965.644035</v>
      </c>
      <c r="J322" s="5">
        <v>31227867965.644035</v>
      </c>
      <c r="K322" s="5">
        <v>-1.2259386522580243E-11</v>
      </c>
      <c r="L322" s="5">
        <v>-1.2259386522580243E-11</v>
      </c>
      <c r="M322" s="5">
        <v>0</v>
      </c>
      <c r="N322" s="5">
        <v>2.0000000000000001E-4</v>
      </c>
      <c r="O322" s="5">
        <v>61.806764367216886</v>
      </c>
      <c r="P322" s="5">
        <v>61.806764367216886</v>
      </c>
      <c r="Q322" s="5">
        <v>2.3042140525059336E-9</v>
      </c>
      <c r="R322" s="5">
        <v>0</v>
      </c>
      <c r="S322" s="5">
        <v>7.1627651582788752E-5</v>
      </c>
      <c r="T322" s="5">
        <v>6.8752543263816593E-6</v>
      </c>
      <c r="U322" s="5">
        <v>6.8752543263816593E-6</v>
      </c>
      <c r="V322" s="5">
        <v>0</v>
      </c>
      <c r="W322" s="5">
        <v>0</v>
      </c>
      <c r="X322" s="5">
        <v>1.6074873734152915</v>
      </c>
      <c r="Y322" s="5">
        <v>3256.7766952966367</v>
      </c>
      <c r="Z322" s="5">
        <f t="shared" ref="Z322:AA322" si="129">Z321+0.0002</f>
        <v>-9.999999999999998E-4</v>
      </c>
      <c r="AA322" s="5">
        <f t="shared" si="129"/>
        <v>-8.0000000000000004E-4</v>
      </c>
      <c r="AB322" s="4">
        <v>2</v>
      </c>
    </row>
    <row r="323" spans="1:28" x14ac:dyDescent="0.25">
      <c r="C323" s="4">
        <v>3</v>
      </c>
      <c r="D323" s="5">
        <v>82936513223.859726</v>
      </c>
      <c r="E323" s="5">
        <v>82936513223.859726</v>
      </c>
      <c r="F323" s="5">
        <v>0.20514120230416108</v>
      </c>
      <c r="G323" s="5">
        <v>0</v>
      </c>
      <c r="H323" s="5">
        <v>30822774424.948341</v>
      </c>
      <c r="I323" s="5">
        <v>31166138721.247414</v>
      </c>
      <c r="J323" s="5">
        <v>31166138721.247414</v>
      </c>
      <c r="K323" s="5">
        <v>-2.0473279465409641E-11</v>
      </c>
      <c r="L323" s="5">
        <v>-2.0473279465409641E-11</v>
      </c>
      <c r="M323" s="5">
        <v>0</v>
      </c>
      <c r="N323" s="5">
        <v>2.0000000000000001E-4</v>
      </c>
      <c r="O323" s="5">
        <v>47.563609707737314</v>
      </c>
      <c r="P323" s="5">
        <v>47.563609707737314</v>
      </c>
      <c r="Q323" s="5">
        <v>3.8106705366391953E-9</v>
      </c>
      <c r="R323" s="5">
        <v>0</v>
      </c>
      <c r="S323" s="5">
        <v>5.6503986705617153E-5</v>
      </c>
      <c r="T323" s="5">
        <v>7.461682148149537E-6</v>
      </c>
      <c r="U323" s="5">
        <v>7.461682148149537E-6</v>
      </c>
      <c r="V323" s="5">
        <v>0</v>
      </c>
      <c r="W323" s="5">
        <v>0</v>
      </c>
      <c r="X323" s="5">
        <v>1.6795048252113469</v>
      </c>
      <c r="Y323" s="5">
        <v>3308.2177322938196</v>
      </c>
      <c r="Z323" s="5">
        <f t="shared" ref="Z323:AA323" si="130">Z322+0.0002</f>
        <v>-7.9999999999999982E-4</v>
      </c>
      <c r="AA323" s="5">
        <f t="shared" si="130"/>
        <v>-6.0000000000000006E-4</v>
      </c>
      <c r="AB323" s="4">
        <v>2</v>
      </c>
    </row>
    <row r="324" spans="1:28" x14ac:dyDescent="0.25">
      <c r="C324" s="4">
        <v>4</v>
      </c>
      <c r="D324" s="5">
        <v>79738689705.244278</v>
      </c>
      <c r="E324" s="5">
        <v>79738689705.244278</v>
      </c>
      <c r="F324" s="5">
        <v>0.2000575963028671</v>
      </c>
      <c r="G324" s="5">
        <v>0</v>
      </c>
      <c r="H324" s="5">
        <v>29819259301.59214</v>
      </c>
      <c r="I324" s="5">
        <v>31115962965.079605</v>
      </c>
      <c r="J324" s="5">
        <v>31115962965.079605</v>
      </c>
      <c r="K324" s="5">
        <v>-2.7149827890980153E-11</v>
      </c>
      <c r="L324" s="5">
        <v>-2.7149827890980153E-11</v>
      </c>
      <c r="M324" s="5">
        <v>0</v>
      </c>
      <c r="N324" s="5">
        <v>2.0000000000000001E-4</v>
      </c>
      <c r="O324" s="5">
        <v>35.986259907978578</v>
      </c>
      <c r="P324" s="5">
        <v>35.986259907978578</v>
      </c>
      <c r="Q324" s="5">
        <v>5.0351726986878051E-9</v>
      </c>
      <c r="R324" s="5">
        <v>0</v>
      </c>
      <c r="S324" s="5">
        <v>4.4210926444503726E-5</v>
      </c>
      <c r="T324" s="5">
        <v>7.9383518317437326E-6</v>
      </c>
      <c r="U324" s="5">
        <v>7.9383518317437326E-6</v>
      </c>
      <c r="V324" s="5">
        <v>0</v>
      </c>
      <c r="W324" s="5">
        <v>0</v>
      </c>
      <c r="X324" s="5">
        <v>1.738043207407125</v>
      </c>
      <c r="Y324" s="5">
        <v>3350.0308624336612</v>
      </c>
      <c r="Z324" s="5">
        <f t="shared" ref="Z324:AA324" si="131">Z323+0.0002</f>
        <v>-5.9999999999999984E-4</v>
      </c>
      <c r="AA324" s="5">
        <f t="shared" si="131"/>
        <v>-4.0000000000000007E-4</v>
      </c>
      <c r="AB324" s="4">
        <v>2</v>
      </c>
    </row>
    <row r="325" spans="1:28" x14ac:dyDescent="0.25">
      <c r="C325" s="4">
        <v>5</v>
      </c>
      <c r="D325" s="5">
        <v>76973566752.696442</v>
      </c>
      <c r="E325" s="5">
        <v>76973566752.696442</v>
      </c>
      <c r="F325" s="5">
        <v>0.19566185790327775</v>
      </c>
      <c r="G325" s="5">
        <v>0</v>
      </c>
      <c r="H325" s="5">
        <v>28951530771.650467</v>
      </c>
      <c r="I325" s="5">
        <v>31072576538.58252</v>
      </c>
      <c r="J325" s="5">
        <v>31072576538.58252</v>
      </c>
      <c r="K325" s="5">
        <v>-3.2922966148258135E-11</v>
      </c>
      <c r="L325" s="5">
        <v>-3.2922966148258135E-11</v>
      </c>
      <c r="M325" s="5">
        <v>0</v>
      </c>
      <c r="N325" s="5">
        <v>2.0000000000000001E-4</v>
      </c>
      <c r="O325" s="5">
        <v>25.975452408867923</v>
      </c>
      <c r="P325" s="5">
        <v>25.975452408867923</v>
      </c>
      <c r="Q325" s="5">
        <v>6.0939862992554312E-9</v>
      </c>
      <c r="R325" s="5">
        <v>0</v>
      </c>
      <c r="S325" s="5">
        <v>3.3581251952718213E-5</v>
      </c>
      <c r="T325" s="5">
        <v>8.3505228834660274E-6</v>
      </c>
      <c r="U325" s="5">
        <v>8.3505228834660274E-6</v>
      </c>
      <c r="V325" s="5">
        <v>0</v>
      </c>
      <c r="W325" s="5">
        <v>0</v>
      </c>
      <c r="X325" s="5">
        <v>1.788660704987056</v>
      </c>
      <c r="Y325" s="5">
        <v>3386.1862178478968</v>
      </c>
      <c r="Z325" s="5">
        <f t="shared" ref="Z325:AA325" si="132">Z324+0.0002</f>
        <v>-3.9999999999999986E-4</v>
      </c>
      <c r="AA325" s="5">
        <f t="shared" si="132"/>
        <v>-2.0000000000000006E-4</v>
      </c>
      <c r="AB325" s="4">
        <v>2</v>
      </c>
    </row>
    <row r="326" spans="1:28" x14ac:dyDescent="0.25">
      <c r="C326" s="4">
        <v>6</v>
      </c>
      <c r="D326" s="5">
        <v>74502120837.713821</v>
      </c>
      <c r="E326" s="5">
        <v>74502120837.713821</v>
      </c>
      <c r="F326" s="5">
        <v>0.19173298027380845</v>
      </c>
      <c r="G326" s="5">
        <v>0</v>
      </c>
      <c r="H326" s="5">
        <v>28175961595.364044</v>
      </c>
      <c r="I326" s="5">
        <v>31033798079.768204</v>
      </c>
      <c r="J326" s="5">
        <v>31033798079.768204</v>
      </c>
      <c r="K326" s="5">
        <v>-3.8082953319690306E-11</v>
      </c>
      <c r="L326" s="5">
        <v>-3.8082953319690306E-11</v>
      </c>
      <c r="M326" s="5">
        <v>0</v>
      </c>
      <c r="N326" s="5">
        <v>2.0000000000000001E-4</v>
      </c>
      <c r="O326" s="5">
        <v>17.02786862184054</v>
      </c>
      <c r="P326" s="5">
        <v>17.02786862184054</v>
      </c>
      <c r="Q326" s="5">
        <v>7.0403458618346367E-9</v>
      </c>
      <c r="R326" s="5">
        <v>0</v>
      </c>
      <c r="S326" s="5">
        <v>2.4080529543209493E-5</v>
      </c>
      <c r="T326" s="5">
        <v>8.7189182422020796E-6</v>
      </c>
      <c r="U326" s="5">
        <v>8.7189182422020796E-6</v>
      </c>
      <c r="V326" s="5">
        <v>0</v>
      </c>
      <c r="W326" s="5">
        <v>0</v>
      </c>
      <c r="X326" s="5">
        <v>1.8339022402704308</v>
      </c>
      <c r="Y326" s="5">
        <v>3418.5016001931654</v>
      </c>
      <c r="Z326" s="5">
        <f t="shared" ref="Z326:AA326" si="133">Z325+0.0002</f>
        <v>-1.9999999999999985E-4</v>
      </c>
      <c r="AA326" s="5">
        <f t="shared" si="133"/>
        <v>0</v>
      </c>
      <c r="AB326" s="4">
        <v>2</v>
      </c>
    </row>
    <row r="327" spans="1:28" x14ac:dyDescent="0.25">
      <c r="C327" s="4">
        <v>7</v>
      </c>
      <c r="D327" s="5">
        <v>72246876766.172897</v>
      </c>
      <c r="E327" s="5">
        <v>72246876766.172897</v>
      </c>
      <c r="F327" s="5">
        <v>0.18814780046956706</v>
      </c>
      <c r="G327" s="5">
        <v>0</v>
      </c>
      <c r="H327" s="5">
        <v>27468239133.67215</v>
      </c>
      <c r="I327" s="5">
        <v>30998411956.683609</v>
      </c>
      <c r="J327" s="5">
        <v>30998411956.683609</v>
      </c>
      <c r="K327" s="5">
        <v>-4.27915453253064E-11</v>
      </c>
      <c r="L327" s="5">
        <v>-4.27915453253064E-11</v>
      </c>
      <c r="M327" s="5">
        <v>0</v>
      </c>
      <c r="N327" s="5">
        <v>2.0000000000000001E-4</v>
      </c>
      <c r="O327" s="5">
        <v>8.8630185767804619</v>
      </c>
      <c r="P327" s="5">
        <v>8.8630185767804619</v>
      </c>
      <c r="Q327" s="5">
        <v>7.9039179837711361E-9</v>
      </c>
      <c r="R327" s="5">
        <v>0</v>
      </c>
      <c r="S327" s="5">
        <v>1.5410929387483886E-5</v>
      </c>
      <c r="T327" s="5">
        <v>9.0550864115057251E-6</v>
      </c>
      <c r="U327" s="5">
        <v>9.0550864115057251E-6</v>
      </c>
      <c r="V327" s="5">
        <v>0</v>
      </c>
      <c r="W327" s="5">
        <v>0</v>
      </c>
      <c r="X327" s="5">
        <v>1.8751860505357909</v>
      </c>
      <c r="Y327" s="5">
        <v>3447.9900360969932</v>
      </c>
      <c r="Z327" s="5">
        <f t="shared" ref="Z327:AA327" si="134">Z326+0.0002</f>
        <v>0</v>
      </c>
      <c r="AA327" s="5">
        <f t="shared" si="134"/>
        <v>2.0000000000000001E-4</v>
      </c>
      <c r="AB327" s="4">
        <v>2</v>
      </c>
    </row>
    <row r="328" spans="1:28" x14ac:dyDescent="0.25">
      <c r="C328" s="4">
        <v>8</v>
      </c>
      <c r="D328" s="5">
        <v>70159409458.157318</v>
      </c>
      <c r="E328" s="5">
        <v>70159409458.157318</v>
      </c>
      <c r="F328" s="5">
        <v>0.18482933674798949</v>
      </c>
      <c r="G328" s="5">
        <v>0</v>
      </c>
      <c r="H328" s="5">
        <v>26813167019.494858</v>
      </c>
      <c r="I328" s="5">
        <v>30965658350.974747</v>
      </c>
      <c r="J328" s="5">
        <v>30965658350.974747</v>
      </c>
      <c r="K328" s="5">
        <v>-4.7149846053170099E-11</v>
      </c>
      <c r="L328" s="5">
        <v>-4.7149846053170099E-11</v>
      </c>
      <c r="M328" s="5">
        <v>0</v>
      </c>
      <c r="N328" s="5">
        <v>2.0000000000000001E-4</v>
      </c>
      <c r="O328" s="5">
        <v>1.3055848785878936</v>
      </c>
      <c r="P328" s="5">
        <v>1.3055848785878936</v>
      </c>
      <c r="Q328" s="5">
        <v>8.7032454691658227E-9</v>
      </c>
      <c r="R328" s="5">
        <v>0</v>
      </c>
      <c r="S328" s="5">
        <v>7.3862959888120464E-6</v>
      </c>
      <c r="T328" s="5">
        <v>9.3662456657399393E-6</v>
      </c>
      <c r="U328" s="5">
        <v>9.3662456657399393E-6</v>
      </c>
      <c r="V328" s="5">
        <v>0</v>
      </c>
      <c r="W328" s="5">
        <v>0</v>
      </c>
      <c r="X328" s="5">
        <v>1.9133985905294666</v>
      </c>
      <c r="Y328" s="5">
        <v>3475.2847075210475</v>
      </c>
      <c r="Z328" s="5">
        <f t="shared" ref="Z328:AA328" si="135">Z327+0.0002</f>
        <v>2.0000000000000001E-4</v>
      </c>
      <c r="AA328" s="5">
        <f t="shared" si="135"/>
        <v>4.0000000000000002E-4</v>
      </c>
      <c r="AB328" s="4">
        <v>2</v>
      </c>
    </row>
    <row r="329" spans="1:28" x14ac:dyDescent="0.25">
      <c r="C329" s="4">
        <v>9</v>
      </c>
      <c r="D329" s="5">
        <v>68207055427.379379</v>
      </c>
      <c r="E329" s="5">
        <v>68207055427.379379</v>
      </c>
      <c r="F329" s="5">
        <v>0.18172566369982504</v>
      </c>
      <c r="G329" s="5">
        <v>0</v>
      </c>
      <c r="H329" s="5">
        <v>26200495061.637924</v>
      </c>
      <c r="I329" s="5">
        <v>30935024753.081894</v>
      </c>
      <c r="J329" s="5">
        <v>30935024753.081894</v>
      </c>
      <c r="K329" s="5">
        <v>-5.1226051683176354E-11</v>
      </c>
      <c r="L329" s="5">
        <v>-5.1226051683176354E-11</v>
      </c>
      <c r="M329" s="5">
        <v>0</v>
      </c>
      <c r="N329" s="5">
        <v>2.0000000000000001E-4</v>
      </c>
      <c r="O329" s="5">
        <v>-5.762686843008396</v>
      </c>
      <c r="P329" s="5">
        <v>-5.762686843008396</v>
      </c>
      <c r="Q329" s="5">
        <v>9.4508357341867579E-9</v>
      </c>
      <c r="R329" s="5">
        <v>0</v>
      </c>
      <c r="S329" s="5">
        <v>-1.1893549493546493E-7</v>
      </c>
      <c r="T329" s="5">
        <v>9.6572648457219856E-6</v>
      </c>
      <c r="U329" s="5">
        <v>9.6572648457219856E-6</v>
      </c>
      <c r="V329" s="5">
        <v>0</v>
      </c>
      <c r="W329" s="5">
        <v>0</v>
      </c>
      <c r="X329" s="5">
        <v>1.9491377880711211</v>
      </c>
      <c r="Y329" s="5">
        <v>3500.8127057650863</v>
      </c>
      <c r="Z329" s="5">
        <f t="shared" ref="Z329:AA329" si="136">Z328+0.0002</f>
        <v>4.0000000000000002E-4</v>
      </c>
      <c r="AA329" s="5">
        <f t="shared" si="136"/>
        <v>6.0000000000000006E-4</v>
      </c>
      <c r="AB329" s="4">
        <v>2</v>
      </c>
    </row>
    <row r="330" spans="1:28" x14ac:dyDescent="0.25">
      <c r="C330" s="4">
        <v>10</v>
      </c>
      <c r="D330" s="5">
        <v>66366547513.55838</v>
      </c>
      <c r="E330" s="5">
        <v>66366547513.55838</v>
      </c>
      <c r="F330" s="5">
        <v>0.17879979333153764</v>
      </c>
      <c r="G330" s="5">
        <v>0</v>
      </c>
      <c r="H330" s="5">
        <v>25622921747.968689</v>
      </c>
      <c r="I330" s="5">
        <v>30906146087.398437</v>
      </c>
      <c r="J330" s="5">
        <v>30906146087.398437</v>
      </c>
      <c r="K330" s="5">
        <v>-5.5068740356500013E-11</v>
      </c>
      <c r="L330" s="5">
        <v>-5.5068740356500013E-11</v>
      </c>
      <c r="M330" s="5">
        <v>0</v>
      </c>
      <c r="N330" s="5">
        <v>2.0000000000000001E-4</v>
      </c>
      <c r="O330" s="5">
        <v>-12.426032647893706</v>
      </c>
      <c r="P330" s="5">
        <v>-12.426032647893706</v>
      </c>
      <c r="Q330" s="5">
        <v>1.015559817858743E-8</v>
      </c>
      <c r="R330" s="5">
        <v>0</v>
      </c>
      <c r="S330" s="5">
        <v>-7.1942085873835573E-6</v>
      </c>
      <c r="T330" s="5">
        <v>9.9316121697148699E-6</v>
      </c>
      <c r="U330" s="5">
        <v>9.9316121697148699E-6</v>
      </c>
      <c r="V330" s="5">
        <v>0</v>
      </c>
      <c r="W330" s="5">
        <v>0</v>
      </c>
      <c r="X330" s="5">
        <v>1.9828295647018264</v>
      </c>
      <c r="Y330" s="5">
        <v>3524.8782605013048</v>
      </c>
      <c r="Z330" s="5">
        <f t="shared" ref="Z330:AA330" si="137">Z329+0.0002</f>
        <v>6.0000000000000006E-4</v>
      </c>
      <c r="AA330" s="5">
        <f t="shared" si="137"/>
        <v>8.0000000000000004E-4</v>
      </c>
      <c r="AB330" s="4">
        <v>2</v>
      </c>
    </row>
    <row r="331" spans="1:28" x14ac:dyDescent="0.25">
      <c r="C331" s="4">
        <v>11</v>
      </c>
      <c r="D331" s="5">
        <v>64620616650.276672</v>
      </c>
      <c r="E331" s="5">
        <v>64620616650.276672</v>
      </c>
      <c r="F331" s="5">
        <v>0.17602427286808628</v>
      </c>
      <c r="G331" s="5">
        <v>0</v>
      </c>
      <c r="H331" s="5">
        <v>25075027839.678177</v>
      </c>
      <c r="I331" s="5">
        <v>30878751391.98391</v>
      </c>
      <c r="J331" s="5">
        <v>30878751391.98391</v>
      </c>
      <c r="K331" s="5">
        <v>-5.871396714545222E-11</v>
      </c>
      <c r="L331" s="5">
        <v>-5.871396714545222E-11</v>
      </c>
      <c r="M331" s="5">
        <v>0</v>
      </c>
      <c r="N331" s="5">
        <v>2.0000000000000001E-4</v>
      </c>
      <c r="O331" s="5">
        <v>-18.746973191591607</v>
      </c>
      <c r="P331" s="5">
        <v>-18.746973191591607</v>
      </c>
      <c r="Q331" s="5">
        <v>1.0824145427811954E-8</v>
      </c>
      <c r="R331" s="5">
        <v>0</v>
      </c>
      <c r="S331" s="5">
        <v>-1.3905908963942346E-5</v>
      </c>
      <c r="T331" s="5">
        <v>1.0191861776152864E-5</v>
      </c>
      <c r="U331" s="5">
        <v>1.0191861776152864E-5</v>
      </c>
      <c r="V331" s="5">
        <v>0</v>
      </c>
      <c r="W331" s="5">
        <v>0</v>
      </c>
      <c r="X331" s="5">
        <v>2.0147900426854397</v>
      </c>
      <c r="Y331" s="5">
        <v>3547.7071733467428</v>
      </c>
      <c r="Z331" s="5">
        <f t="shared" ref="Z331:AA331" si="138">Z330+0.0002</f>
        <v>8.0000000000000004E-4</v>
      </c>
      <c r="AA331" s="5">
        <f t="shared" si="138"/>
        <v>1E-3</v>
      </c>
      <c r="AB331" s="4">
        <v>2</v>
      </c>
    </row>
    <row r="332" spans="1:28" x14ac:dyDescent="0.25">
      <c r="B332" t="s">
        <v>187</v>
      </c>
      <c r="C332" s="11">
        <v>12</v>
      </c>
      <c r="D332" s="5">
        <v>62956027325.962387</v>
      </c>
      <c r="E332" s="5">
        <v>62956027325.962387</v>
      </c>
      <c r="F332" s="5">
        <v>0.17337806170930484</v>
      </c>
      <c r="G332" s="5">
        <v>0</v>
      </c>
      <c r="H332" s="5">
        <v>24552659875.529266</v>
      </c>
      <c r="I332" s="5">
        <v>30852632993.776466</v>
      </c>
      <c r="J332" s="5">
        <v>30852632993.776466</v>
      </c>
      <c r="K332" s="5">
        <v>-6.2189365699429904E-11</v>
      </c>
      <c r="L332" s="5">
        <v>-6.2189365699429904E-11</v>
      </c>
      <c r="M332" s="5">
        <v>0</v>
      </c>
      <c r="N332" s="5">
        <v>2.0000000000000001E-4</v>
      </c>
      <c r="O332" s="5">
        <v>-24.773426111318187</v>
      </c>
      <c r="P332" s="5">
        <v>-24.773426111318187</v>
      </c>
      <c r="Q332" s="5">
        <v>1.1461545589103025E-8</v>
      </c>
      <c r="R332" s="5">
        <v>0</v>
      </c>
      <c r="S332" s="5">
        <v>-2.0304916524766469E-5</v>
      </c>
      <c r="T332" s="5">
        <v>1.0439986559123596E-5</v>
      </c>
      <c r="U332" s="5">
        <v>1.0439986559123596E-5</v>
      </c>
      <c r="V332" s="5">
        <v>0</v>
      </c>
      <c r="W332" s="5">
        <v>0</v>
      </c>
      <c r="X332" s="5">
        <v>2.0452615072607929</v>
      </c>
      <c r="Y332" s="5">
        <v>3569.4725051862806</v>
      </c>
      <c r="Z332" s="5">
        <f t="shared" ref="Z332:AA332" si="139">Z331+0.0002</f>
        <v>1E-3</v>
      </c>
      <c r="AA332" s="5">
        <f t="shared" si="139"/>
        <v>1.2000000000000001E-3</v>
      </c>
      <c r="AB332" s="4">
        <v>2</v>
      </c>
    </row>
    <row r="333" spans="1:28" x14ac:dyDescent="0.25">
      <c r="AB333" s="4">
        <v>2</v>
      </c>
    </row>
    <row r="336" spans="1:28" x14ac:dyDescent="0.25">
      <c r="A336" t="s">
        <v>83</v>
      </c>
      <c r="AB336" s="4"/>
    </row>
    <row r="337" spans="1:28" x14ac:dyDescent="0.25">
      <c r="A337" t="s">
        <v>83</v>
      </c>
    </row>
    <row r="338" spans="1:28" x14ac:dyDescent="0.25">
      <c r="A338" t="s">
        <v>83</v>
      </c>
    </row>
    <row r="340" spans="1:28" x14ac:dyDescent="0.25">
      <c r="A340" s="15" t="s">
        <v>74</v>
      </c>
      <c r="C340" s="10" t="s">
        <v>27</v>
      </c>
      <c r="D340" s="10" t="s">
        <v>28</v>
      </c>
      <c r="E340" s="10" t="s">
        <v>29</v>
      </c>
      <c r="F340" s="10" t="s">
        <v>30</v>
      </c>
      <c r="G340" s="10" t="s">
        <v>31</v>
      </c>
      <c r="H340" s="10" t="s">
        <v>75</v>
      </c>
      <c r="I340" s="10" t="s">
        <v>32</v>
      </c>
      <c r="J340" s="10" t="s">
        <v>33</v>
      </c>
      <c r="K340" s="10" t="s">
        <v>34</v>
      </c>
      <c r="L340" s="10" t="s">
        <v>35</v>
      </c>
      <c r="M340" s="10" t="s">
        <v>36</v>
      </c>
      <c r="N340" s="10" t="s">
        <v>37</v>
      </c>
      <c r="O340" s="10" t="s">
        <v>38</v>
      </c>
      <c r="P340" s="10" t="s">
        <v>39</v>
      </c>
      <c r="Q340" s="10" t="s">
        <v>40</v>
      </c>
      <c r="R340" s="10" t="s">
        <v>41</v>
      </c>
      <c r="S340" s="10" t="s">
        <v>42</v>
      </c>
      <c r="T340" s="10" t="s">
        <v>76</v>
      </c>
      <c r="U340" s="10" t="s">
        <v>77</v>
      </c>
      <c r="V340" s="10" t="s">
        <v>78</v>
      </c>
      <c r="W340" s="10" t="s">
        <v>79</v>
      </c>
      <c r="X340" s="10" t="s">
        <v>80</v>
      </c>
      <c r="Y340" s="10" t="s">
        <v>43</v>
      </c>
      <c r="Z340" s="10" t="s">
        <v>44</v>
      </c>
      <c r="AA340" s="10" t="s">
        <v>45</v>
      </c>
      <c r="AB340" s="10" t="s">
        <v>46</v>
      </c>
    </row>
    <row r="341" spans="1:28" x14ac:dyDescent="0.25">
      <c r="A341" s="12" t="s">
        <v>85</v>
      </c>
      <c r="B341" t="s">
        <v>183</v>
      </c>
      <c r="C341" s="11">
        <v>1</v>
      </c>
      <c r="D341" s="5">
        <v>154504392701.54126</v>
      </c>
      <c r="E341" s="5">
        <v>154504392701.54126</v>
      </c>
      <c r="F341" s="5">
        <v>0.3677774772354705</v>
      </c>
      <c r="G341" s="5">
        <v>0</v>
      </c>
      <c r="H341" s="5">
        <v>56479166666.666664</v>
      </c>
      <c r="I341" s="5">
        <v>52198958333.333336</v>
      </c>
      <c r="J341" s="5">
        <v>52198958333.333336</v>
      </c>
      <c r="K341" s="5">
        <v>-1.3860753627793601E-13</v>
      </c>
      <c r="L341" s="5">
        <v>-1.3860753627793601E-13</v>
      </c>
      <c r="M341" s="5">
        <v>0</v>
      </c>
      <c r="N341" s="5">
        <v>2.0000000000000001E-4</v>
      </c>
      <c r="O341" s="5">
        <v>138.20120851370848</v>
      </c>
      <c r="P341" s="5">
        <v>138.20120851370848</v>
      </c>
      <c r="Q341" s="5">
        <v>1.1842110339506163E-10</v>
      </c>
      <c r="R341" s="5">
        <v>0</v>
      </c>
      <c r="S341" s="5">
        <v>1.5674479166666666E-4</v>
      </c>
      <c r="T341" s="5">
        <v>1.0009895833333335E-5</v>
      </c>
      <c r="U341" s="5">
        <v>1.0009895833333335E-5</v>
      </c>
      <c r="V341" s="5">
        <v>0</v>
      </c>
      <c r="W341" s="5">
        <v>0</v>
      </c>
      <c r="X341" s="5">
        <v>2.5012152777777779</v>
      </c>
      <c r="Y341" s="5">
        <v>5300.8680555555557</v>
      </c>
      <c r="Z341" s="5">
        <v>-1.1999999999999999E-3</v>
      </c>
      <c r="AA341" s="5">
        <v>-1E-3</v>
      </c>
      <c r="AB341" s="4">
        <v>2</v>
      </c>
    </row>
    <row r="342" spans="1:28" x14ac:dyDescent="0.25">
      <c r="C342" s="4">
        <v>2</v>
      </c>
      <c r="D342" s="5">
        <v>153973289010.0957</v>
      </c>
      <c r="E342" s="5">
        <v>153973289010.0957</v>
      </c>
      <c r="F342" s="5">
        <v>0.36693317738670622</v>
      </c>
      <c r="G342" s="5">
        <v>0</v>
      </c>
      <c r="H342" s="5">
        <v>56312500000</v>
      </c>
      <c r="I342" s="5">
        <v>52190625000</v>
      </c>
      <c r="J342" s="5">
        <v>52190625000</v>
      </c>
      <c r="K342" s="5">
        <v>-1.2474678265014296E-12</v>
      </c>
      <c r="L342" s="5">
        <v>-1.2474678265014296E-12</v>
      </c>
      <c r="M342" s="5">
        <v>0</v>
      </c>
      <c r="N342" s="5">
        <v>2.0000000000000001E-4</v>
      </c>
      <c r="O342" s="5">
        <v>136.27840909090907</v>
      </c>
      <c r="P342" s="5">
        <v>136.27840909090907</v>
      </c>
      <c r="Q342" s="5">
        <v>3.2178993055555557E-10</v>
      </c>
      <c r="R342" s="5">
        <v>0</v>
      </c>
      <c r="S342" s="5">
        <v>1.54703125E-4</v>
      </c>
      <c r="T342" s="5">
        <v>1.00890625E-5</v>
      </c>
      <c r="U342" s="5">
        <v>1.00890625E-5</v>
      </c>
      <c r="V342" s="5">
        <v>0</v>
      </c>
      <c r="W342" s="5">
        <v>0</v>
      </c>
      <c r="X342" s="5">
        <v>2.5109374999999998</v>
      </c>
      <c r="Y342" s="5">
        <v>5307.8125</v>
      </c>
      <c r="Z342" s="5">
        <f t="shared" ref="Z342:AA342" si="140">Z341+0.0002</f>
        <v>-9.999999999999998E-4</v>
      </c>
      <c r="AA342" s="5">
        <f t="shared" si="140"/>
        <v>-8.0000000000000004E-4</v>
      </c>
      <c r="AB342" s="4">
        <v>2</v>
      </c>
    </row>
    <row r="343" spans="1:28" x14ac:dyDescent="0.25">
      <c r="C343" s="4">
        <v>3</v>
      </c>
      <c r="D343" s="5">
        <v>152911081627.20462</v>
      </c>
      <c r="E343" s="5">
        <v>152911081627.20462</v>
      </c>
      <c r="F343" s="5">
        <v>0.36524457768917762</v>
      </c>
      <c r="G343" s="5">
        <v>0</v>
      </c>
      <c r="H343" s="5">
        <v>55979166666.666664</v>
      </c>
      <c r="I343" s="5">
        <v>52173958333.333336</v>
      </c>
      <c r="J343" s="5">
        <v>52173958333.333336</v>
      </c>
      <c r="K343" s="5">
        <v>-3.4651884069484149E-12</v>
      </c>
      <c r="L343" s="5">
        <v>-3.4651884069484149E-12</v>
      </c>
      <c r="M343" s="5">
        <v>0</v>
      </c>
      <c r="N343" s="5">
        <v>2.0000000000000001E-4</v>
      </c>
      <c r="O343" s="5">
        <v>132.43281024531021</v>
      </c>
      <c r="P343" s="5">
        <v>132.43281024531021</v>
      </c>
      <c r="Q343" s="5">
        <v>7.2852758487654315E-10</v>
      </c>
      <c r="R343" s="5">
        <v>0</v>
      </c>
      <c r="S343" s="5">
        <v>1.5061979166666666E-4</v>
      </c>
      <c r="T343" s="5">
        <v>1.0247395833333334E-5</v>
      </c>
      <c r="U343" s="5">
        <v>1.0247395833333334E-5</v>
      </c>
      <c r="V343" s="5">
        <v>0</v>
      </c>
      <c r="W343" s="5">
        <v>0</v>
      </c>
      <c r="X343" s="5">
        <v>2.5303819444444446</v>
      </c>
      <c r="Y343" s="5">
        <v>5321.7013888888887</v>
      </c>
      <c r="Z343" s="5">
        <f t="shared" ref="Z343:AA343" si="141">Z342+0.0002</f>
        <v>-7.9999999999999982E-4</v>
      </c>
      <c r="AA343" s="5">
        <f t="shared" si="141"/>
        <v>-6.0000000000000006E-4</v>
      </c>
      <c r="AB343" s="4">
        <v>2</v>
      </c>
    </row>
    <row r="344" spans="1:28" x14ac:dyDescent="0.25">
      <c r="C344" s="4">
        <v>4</v>
      </c>
      <c r="D344" s="5">
        <v>151317770552.86798</v>
      </c>
      <c r="E344" s="5">
        <v>151317770552.86798</v>
      </c>
      <c r="F344" s="5">
        <v>0.36271167814288469</v>
      </c>
      <c r="G344" s="5">
        <v>0</v>
      </c>
      <c r="H344" s="5">
        <v>55479166666.666664</v>
      </c>
      <c r="I344" s="5">
        <v>52148958333.333336</v>
      </c>
      <c r="J344" s="5">
        <v>52148958333.333336</v>
      </c>
      <c r="K344" s="5">
        <v>-6.7917692776188928E-12</v>
      </c>
      <c r="L344" s="5">
        <v>-6.7917692776188928E-12</v>
      </c>
      <c r="M344" s="5">
        <v>0</v>
      </c>
      <c r="N344" s="5">
        <v>2.0000000000000001E-4</v>
      </c>
      <c r="O344" s="5">
        <v>126.66441197691195</v>
      </c>
      <c r="P344" s="5">
        <v>126.66441197691195</v>
      </c>
      <c r="Q344" s="5">
        <v>1.3386340663580246E-9</v>
      </c>
      <c r="R344" s="5">
        <v>0</v>
      </c>
      <c r="S344" s="5">
        <v>1.4449479166666666E-4</v>
      </c>
      <c r="T344" s="5">
        <v>1.0484895833333334E-5</v>
      </c>
      <c r="U344" s="5">
        <v>1.0484895833333334E-5</v>
      </c>
      <c r="V344" s="5">
        <v>0</v>
      </c>
      <c r="W344" s="5">
        <v>0</v>
      </c>
      <c r="X344" s="5">
        <v>2.559548611111111</v>
      </c>
      <c r="Y344" s="5">
        <v>5342.5347222222226</v>
      </c>
      <c r="Z344" s="5">
        <f t="shared" ref="Z344:AA344" si="142">Z343+0.0002</f>
        <v>-5.9999999999999984E-4</v>
      </c>
      <c r="AA344" s="5">
        <f t="shared" si="142"/>
        <v>-4.0000000000000007E-4</v>
      </c>
      <c r="AB344" s="4">
        <v>2</v>
      </c>
    </row>
    <row r="345" spans="1:28" x14ac:dyDescent="0.25">
      <c r="C345" s="4">
        <v>5</v>
      </c>
      <c r="D345" s="5">
        <v>149193355787.08582</v>
      </c>
      <c r="E345" s="5">
        <v>149193355787.08582</v>
      </c>
      <c r="F345" s="5">
        <v>0.35933447874782748</v>
      </c>
      <c r="G345" s="5">
        <v>0</v>
      </c>
      <c r="H345" s="5">
        <v>54812500000</v>
      </c>
      <c r="I345" s="5">
        <v>52115625000</v>
      </c>
      <c r="J345" s="5">
        <v>52115625000</v>
      </c>
      <c r="K345" s="5">
        <v>-1.1227210438512867E-11</v>
      </c>
      <c r="L345" s="5">
        <v>-1.1227210438512867E-11</v>
      </c>
      <c r="M345" s="5">
        <v>0</v>
      </c>
      <c r="N345" s="5">
        <v>2.0000000000000001E-4</v>
      </c>
      <c r="O345" s="5">
        <v>118.97321428571426</v>
      </c>
      <c r="P345" s="5">
        <v>118.97321428571426</v>
      </c>
      <c r="Q345" s="5">
        <v>2.1521093750000001E-9</v>
      </c>
      <c r="R345" s="5">
        <v>0</v>
      </c>
      <c r="S345" s="5">
        <v>1.36328125E-4</v>
      </c>
      <c r="T345" s="5">
        <v>1.0801562500000001E-5</v>
      </c>
      <c r="U345" s="5">
        <v>1.0801562500000001E-5</v>
      </c>
      <c r="V345" s="5">
        <v>0</v>
      </c>
      <c r="W345" s="5">
        <v>0</v>
      </c>
      <c r="X345" s="5">
        <v>2.5984375000000002</v>
      </c>
      <c r="Y345" s="5">
        <v>5370.3125</v>
      </c>
      <c r="Z345" s="5">
        <f t="shared" ref="Z345:AA345" si="143">Z344+0.0002</f>
        <v>-3.9999999999999986E-4</v>
      </c>
      <c r="AA345" s="5">
        <f t="shared" si="143"/>
        <v>-2.0000000000000006E-4</v>
      </c>
      <c r="AB345" s="4">
        <v>2</v>
      </c>
    </row>
    <row r="346" spans="1:28" x14ac:dyDescent="0.25">
      <c r="C346" s="4">
        <v>6</v>
      </c>
      <c r="D346" s="5">
        <v>146537837329.85809</v>
      </c>
      <c r="E346" s="5">
        <v>146537837329.85809</v>
      </c>
      <c r="F346" s="5">
        <v>0.355112979504006</v>
      </c>
      <c r="G346" s="5">
        <v>0</v>
      </c>
      <c r="H346" s="5">
        <v>53979166666.666664</v>
      </c>
      <c r="I346" s="5">
        <v>52073958333.333336</v>
      </c>
      <c r="J346" s="5">
        <v>52073958333.333336</v>
      </c>
      <c r="K346" s="5">
        <v>-1.6771511889630329E-11</v>
      </c>
      <c r="L346" s="5">
        <v>-1.6771511889630329E-11</v>
      </c>
      <c r="M346" s="5">
        <v>0</v>
      </c>
      <c r="N346" s="5">
        <v>2.0000000000000001E-4</v>
      </c>
      <c r="O346" s="5">
        <v>109.35921717171715</v>
      </c>
      <c r="P346" s="5">
        <v>109.35921717171715</v>
      </c>
      <c r="Q346" s="5">
        <v>3.168953510802469E-9</v>
      </c>
      <c r="R346" s="5">
        <v>0</v>
      </c>
      <c r="S346" s="5">
        <v>1.2611979166666666E-4</v>
      </c>
      <c r="T346" s="5">
        <v>1.1197395833333333E-5</v>
      </c>
      <c r="U346" s="5">
        <v>1.1197395833333333E-5</v>
      </c>
      <c r="V346" s="5">
        <v>0</v>
      </c>
      <c r="W346" s="5">
        <v>0</v>
      </c>
      <c r="X346" s="5">
        <v>2.6470486111111113</v>
      </c>
      <c r="Y346" s="5">
        <v>5405.0347222222226</v>
      </c>
      <c r="Z346" s="5">
        <f t="shared" ref="Z346:AA346" si="144">Z345+0.0002</f>
        <v>-1.9999999999999985E-4</v>
      </c>
      <c r="AA346" s="5">
        <f t="shared" si="144"/>
        <v>0</v>
      </c>
      <c r="AB346" s="4">
        <v>2</v>
      </c>
    </row>
    <row r="347" spans="1:28" x14ac:dyDescent="0.25">
      <c r="C347" s="4">
        <v>7</v>
      </c>
      <c r="D347" s="5">
        <v>143351215181.18481</v>
      </c>
      <c r="E347" s="5">
        <v>143351215181.18481</v>
      </c>
      <c r="F347" s="5">
        <v>0.35004718041142019</v>
      </c>
      <c r="G347" s="5">
        <v>0</v>
      </c>
      <c r="H347" s="5">
        <v>52979166666.666664</v>
      </c>
      <c r="I347" s="5">
        <v>52023958333.333336</v>
      </c>
      <c r="J347" s="5">
        <v>52023958333.333336</v>
      </c>
      <c r="K347" s="5">
        <v>-2.3424673630971285E-11</v>
      </c>
      <c r="L347" s="5">
        <v>-2.3424673630971285E-11</v>
      </c>
      <c r="M347" s="5">
        <v>0</v>
      </c>
      <c r="N347" s="5">
        <v>2.0000000000000001E-4</v>
      </c>
      <c r="O347" s="5">
        <v>97.822420634920618</v>
      </c>
      <c r="P347" s="5">
        <v>97.822420634920618</v>
      </c>
      <c r="Q347" s="5">
        <v>4.3891664737654323E-9</v>
      </c>
      <c r="R347" s="5">
        <v>0</v>
      </c>
      <c r="S347" s="5">
        <v>1.1386979166666666E-4</v>
      </c>
      <c r="T347" s="5">
        <v>1.1672395833333333E-5</v>
      </c>
      <c r="U347" s="5">
        <v>1.1672395833333333E-5</v>
      </c>
      <c r="V347" s="5">
        <v>0</v>
      </c>
      <c r="W347" s="5">
        <v>0</v>
      </c>
      <c r="X347" s="5">
        <v>2.7053819444444445</v>
      </c>
      <c r="Y347" s="5">
        <v>5446.7013888888887</v>
      </c>
      <c r="Z347" s="5">
        <f t="shared" ref="Z347:AA347" si="145">Z346+0.0002</f>
        <v>0</v>
      </c>
      <c r="AA347" s="5">
        <f t="shared" si="145"/>
        <v>2.0000000000000001E-4</v>
      </c>
      <c r="AB347" s="4">
        <v>2</v>
      </c>
    </row>
    <row r="348" spans="1:28" x14ac:dyDescent="0.25">
      <c r="C348" s="4">
        <v>8</v>
      </c>
      <c r="D348" s="5">
        <v>139633489341.06601</v>
      </c>
      <c r="E348" s="5">
        <v>139633489341.06601</v>
      </c>
      <c r="F348" s="5">
        <v>0.34413708147007005</v>
      </c>
      <c r="G348" s="5">
        <v>0</v>
      </c>
      <c r="H348" s="5">
        <v>51812500000</v>
      </c>
      <c r="I348" s="5">
        <v>51965625000</v>
      </c>
      <c r="J348" s="5">
        <v>51965625000</v>
      </c>
      <c r="K348" s="5">
        <v>-3.1186695662535743E-11</v>
      </c>
      <c r="L348" s="5">
        <v>-3.1186695662535743E-11</v>
      </c>
      <c r="M348" s="5">
        <v>0</v>
      </c>
      <c r="N348" s="5">
        <v>2.0000000000000001E-4</v>
      </c>
      <c r="O348" s="5">
        <v>84.36282467532466</v>
      </c>
      <c r="P348" s="5">
        <v>84.36282467532466</v>
      </c>
      <c r="Q348" s="5">
        <v>5.8127482638888899E-9</v>
      </c>
      <c r="R348" s="5">
        <v>0</v>
      </c>
      <c r="S348" s="5">
        <v>9.9578125000000003E-5</v>
      </c>
      <c r="T348" s="5">
        <v>1.22265625E-5</v>
      </c>
      <c r="U348" s="5">
        <v>1.22265625E-5</v>
      </c>
      <c r="V348" s="5">
        <v>0</v>
      </c>
      <c r="W348" s="5">
        <v>0</v>
      </c>
      <c r="X348" s="5">
        <v>2.7734375</v>
      </c>
      <c r="Y348" s="5">
        <v>5495.3125</v>
      </c>
      <c r="Z348" s="5">
        <f t="shared" ref="Z348:AA348" si="146">Z347+0.0002</f>
        <v>2.0000000000000001E-4</v>
      </c>
      <c r="AA348" s="5">
        <f t="shared" si="146"/>
        <v>4.0000000000000002E-4</v>
      </c>
      <c r="AB348" s="4">
        <v>2</v>
      </c>
    </row>
    <row r="349" spans="1:28" x14ac:dyDescent="0.25">
      <c r="C349" s="4">
        <v>9</v>
      </c>
      <c r="D349" s="5">
        <v>135384659809.50165</v>
      </c>
      <c r="E349" s="5">
        <v>135384659809.50165</v>
      </c>
      <c r="F349" s="5">
        <v>0.33738268267995564</v>
      </c>
      <c r="G349" s="5">
        <v>0</v>
      </c>
      <c r="H349" s="5">
        <v>50479166666.666664</v>
      </c>
      <c r="I349" s="5">
        <v>51898958333.333336</v>
      </c>
      <c r="J349" s="5">
        <v>51898958333.333336</v>
      </c>
      <c r="K349" s="5">
        <v>-4.0057577984323686E-11</v>
      </c>
      <c r="L349" s="5">
        <v>-4.0057577984323686E-11</v>
      </c>
      <c r="M349" s="5">
        <v>0</v>
      </c>
      <c r="N349" s="5">
        <v>2.0000000000000001E-4</v>
      </c>
      <c r="O349" s="5">
        <v>68.980429292929273</v>
      </c>
      <c r="P349" s="5">
        <v>68.980429292929273</v>
      </c>
      <c r="Q349" s="5">
        <v>7.4396988811728414E-9</v>
      </c>
      <c r="R349" s="5">
        <v>0</v>
      </c>
      <c r="S349" s="5">
        <v>8.3244791666666661E-5</v>
      </c>
      <c r="T349" s="5">
        <v>1.2859895833333333E-5</v>
      </c>
      <c r="U349" s="5">
        <v>1.2859895833333333E-5</v>
      </c>
      <c r="V349" s="5">
        <v>0</v>
      </c>
      <c r="W349" s="5">
        <v>0</v>
      </c>
      <c r="X349" s="5">
        <v>2.8512152777777779</v>
      </c>
      <c r="Y349" s="5">
        <v>5550.8680555555557</v>
      </c>
      <c r="Z349" s="5">
        <f t="shared" ref="Z349:AA349" si="147">Z348+0.0002</f>
        <v>4.0000000000000002E-4</v>
      </c>
      <c r="AA349" s="5">
        <f t="shared" si="147"/>
        <v>6.0000000000000006E-4</v>
      </c>
      <c r="AB349" s="4">
        <v>2</v>
      </c>
    </row>
    <row r="350" spans="1:28" x14ac:dyDescent="0.25">
      <c r="C350" s="4">
        <v>10</v>
      </c>
      <c r="D350" s="5">
        <v>130604726586.49174</v>
      </c>
      <c r="E350" s="5">
        <v>130604726586.49174</v>
      </c>
      <c r="F350" s="5">
        <v>0.32978398404107689</v>
      </c>
      <c r="G350" s="5">
        <v>0</v>
      </c>
      <c r="H350" s="5">
        <v>48979166666.666664</v>
      </c>
      <c r="I350" s="5">
        <v>51823958333.333336</v>
      </c>
      <c r="J350" s="5">
        <v>51823958333.333336</v>
      </c>
      <c r="K350" s="5">
        <v>-5.0037320596335138E-11</v>
      </c>
      <c r="L350" s="5">
        <v>-5.0037320596335138E-11</v>
      </c>
      <c r="M350" s="5">
        <v>0</v>
      </c>
      <c r="N350" s="5">
        <v>2.0000000000000001E-4</v>
      </c>
      <c r="O350" s="5">
        <v>51.675234487734457</v>
      </c>
      <c r="P350" s="5">
        <v>51.675234487734457</v>
      </c>
      <c r="Q350" s="5">
        <v>9.2700183256172878E-9</v>
      </c>
      <c r="R350" s="5">
        <v>0</v>
      </c>
      <c r="S350" s="5">
        <v>6.4869791666666635E-5</v>
      </c>
      <c r="T350" s="5">
        <v>1.3572395833333333E-5</v>
      </c>
      <c r="U350" s="5">
        <v>1.3572395833333333E-5</v>
      </c>
      <c r="V350" s="5">
        <v>0</v>
      </c>
      <c r="W350" s="5">
        <v>0</v>
      </c>
      <c r="X350" s="5">
        <v>2.9387152777777779</v>
      </c>
      <c r="Y350" s="5">
        <v>5613.3680555555557</v>
      </c>
      <c r="Z350" s="5">
        <f t="shared" ref="Z350:AA350" si="148">Z349+0.0002</f>
        <v>6.0000000000000006E-4</v>
      </c>
      <c r="AA350" s="5">
        <f t="shared" si="148"/>
        <v>8.0000000000000004E-4</v>
      </c>
      <c r="AB350" s="4">
        <v>2</v>
      </c>
    </row>
    <row r="351" spans="1:28" x14ac:dyDescent="0.25">
      <c r="C351" s="4">
        <v>11</v>
      </c>
      <c r="D351" s="5">
        <v>125293689672.03632</v>
      </c>
      <c r="E351" s="5">
        <v>125293689672.03632</v>
      </c>
      <c r="F351" s="5">
        <v>0.32134098555343393</v>
      </c>
      <c r="G351" s="5">
        <v>0</v>
      </c>
      <c r="H351" s="5">
        <v>47312500000</v>
      </c>
      <c r="I351" s="5">
        <v>51740625000</v>
      </c>
      <c r="J351" s="5">
        <v>51740625000</v>
      </c>
      <c r="K351" s="5">
        <v>-6.1125923498570052E-11</v>
      </c>
      <c r="L351" s="5">
        <v>-6.1125923498570052E-11</v>
      </c>
      <c r="M351" s="5">
        <v>0</v>
      </c>
      <c r="N351" s="5">
        <v>2.0000000000000001E-4</v>
      </c>
      <c r="O351" s="5">
        <v>32.447240259740255</v>
      </c>
      <c r="P351" s="5">
        <v>32.447240259740255</v>
      </c>
      <c r="Q351" s="5">
        <v>1.1303706597222224E-8</v>
      </c>
      <c r="R351" s="5">
        <v>0</v>
      </c>
      <c r="S351" s="5">
        <v>4.4453125000000005E-5</v>
      </c>
      <c r="T351" s="5">
        <v>1.4364062499999999E-5</v>
      </c>
      <c r="U351" s="5">
        <v>1.4364062499999999E-5</v>
      </c>
      <c r="V351" s="5">
        <v>0</v>
      </c>
      <c r="W351" s="5">
        <v>0</v>
      </c>
      <c r="X351" s="5">
        <v>3.0359375000000002</v>
      </c>
      <c r="Y351" s="5">
        <v>5682.8125</v>
      </c>
      <c r="Z351" s="5">
        <f t="shared" ref="Z351:AA351" si="149">Z350+0.0002</f>
        <v>8.0000000000000004E-4</v>
      </c>
      <c r="AA351" s="5">
        <f t="shared" si="149"/>
        <v>1E-3</v>
      </c>
      <c r="AB351" s="4">
        <v>2</v>
      </c>
    </row>
    <row r="352" spans="1:28" x14ac:dyDescent="0.25">
      <c r="B352" t="s">
        <v>187</v>
      </c>
      <c r="C352" s="11">
        <v>12</v>
      </c>
      <c r="D352" s="5">
        <v>119451549066.13531</v>
      </c>
      <c r="E352" s="5">
        <v>119451549066.13531</v>
      </c>
      <c r="F352" s="5">
        <v>0.31205368721702659</v>
      </c>
      <c r="G352" s="5">
        <v>0</v>
      </c>
      <c r="H352" s="5">
        <v>45479166666.666664</v>
      </c>
      <c r="I352" s="5">
        <v>51648958333.333336</v>
      </c>
      <c r="J352" s="5">
        <v>51648958333.333336</v>
      </c>
      <c r="K352" s="5">
        <v>-7.3323386691028495E-11</v>
      </c>
      <c r="L352" s="5">
        <v>-7.3323386691028495E-11</v>
      </c>
      <c r="M352" s="5">
        <v>0</v>
      </c>
      <c r="N352" s="5">
        <v>2.0000000000000001E-4</v>
      </c>
      <c r="O352" s="5">
        <v>11.296446608946567</v>
      </c>
      <c r="P352" s="5">
        <v>11.296446608946567</v>
      </c>
      <c r="Q352" s="5">
        <v>1.3540763695987659E-8</v>
      </c>
      <c r="R352" s="5">
        <v>0</v>
      </c>
      <c r="S352" s="5">
        <v>2.1994791666666636E-5</v>
      </c>
      <c r="T352" s="5">
        <v>1.5234895833333333E-5</v>
      </c>
      <c r="U352" s="5">
        <v>1.5234895833333333E-5</v>
      </c>
      <c r="V352" s="5">
        <v>0</v>
      </c>
      <c r="W352" s="5">
        <v>0</v>
      </c>
      <c r="X352" s="5">
        <v>3.1428819444444449</v>
      </c>
      <c r="Y352" s="5">
        <v>5759.2013888888887</v>
      </c>
      <c r="Z352" s="5">
        <f t="shared" ref="Z352:AA352" si="150">Z351+0.0002</f>
        <v>1E-3</v>
      </c>
      <c r="AA352" s="5">
        <f t="shared" si="150"/>
        <v>1.2000000000000001E-3</v>
      </c>
      <c r="AB352" s="4">
        <v>2</v>
      </c>
    </row>
    <row r="353" spans="1:28" x14ac:dyDescent="0.25">
      <c r="C353" s="11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8" x14ac:dyDescent="0.25">
      <c r="C354" s="1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8" x14ac:dyDescent="0.25"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8" x14ac:dyDescent="0.25">
      <c r="A356" s="15" t="s">
        <v>202</v>
      </c>
      <c r="C356" s="10" t="s">
        <v>27</v>
      </c>
      <c r="D356" s="10" t="s">
        <v>28</v>
      </c>
      <c r="E356" s="10" t="s">
        <v>29</v>
      </c>
      <c r="F356" s="10" t="s">
        <v>30</v>
      </c>
      <c r="G356" s="10" t="s">
        <v>31</v>
      </c>
      <c r="H356" s="10" t="s">
        <v>47</v>
      </c>
      <c r="I356" s="10" t="s">
        <v>32</v>
      </c>
      <c r="J356" s="10" t="s">
        <v>33</v>
      </c>
      <c r="K356" s="10" t="s">
        <v>34</v>
      </c>
      <c r="L356" s="10" t="s">
        <v>35</v>
      </c>
      <c r="M356" s="10" t="s">
        <v>36</v>
      </c>
      <c r="N356" s="10" t="s">
        <v>37</v>
      </c>
      <c r="O356" s="10" t="s">
        <v>38</v>
      </c>
      <c r="P356" s="10" t="s">
        <v>39</v>
      </c>
      <c r="Q356" s="10" t="s">
        <v>40</v>
      </c>
      <c r="R356" s="10" t="s">
        <v>41</v>
      </c>
      <c r="S356" s="10" t="s">
        <v>42</v>
      </c>
      <c r="T356" s="10" t="s">
        <v>48</v>
      </c>
      <c r="U356" s="10" t="s">
        <v>77</v>
      </c>
      <c r="V356" s="10" t="s">
        <v>78</v>
      </c>
      <c r="W356" s="10" t="s">
        <v>79</v>
      </c>
      <c r="X356" s="10" t="s">
        <v>80</v>
      </c>
      <c r="Y356" s="10" t="s">
        <v>43</v>
      </c>
      <c r="Z356" s="10" t="s">
        <v>44</v>
      </c>
      <c r="AA356" s="10" t="s">
        <v>45</v>
      </c>
      <c r="AB356" s="10" t="s">
        <v>46</v>
      </c>
    </row>
    <row r="357" spans="1:28" s="5" customFormat="1" x14ac:dyDescent="0.25">
      <c r="A357" s="21" t="s">
        <v>201</v>
      </c>
      <c r="B357" s="5" t="s">
        <v>183</v>
      </c>
      <c r="C357" s="11">
        <v>1</v>
      </c>
      <c r="D357" s="5">
        <v>140959287924.44803</v>
      </c>
      <c r="E357" s="5">
        <v>140959287924.44803</v>
      </c>
      <c r="F357" s="5">
        <v>0.33402865521936537</v>
      </c>
      <c r="G357" s="5">
        <v>0</v>
      </c>
      <c r="H357" s="5">
        <v>51429166666.666664</v>
      </c>
      <c r="I357" s="5">
        <v>47008958333.333336</v>
      </c>
      <c r="J357" s="5">
        <v>47008958333.333336</v>
      </c>
      <c r="K357" s="5">
        <v>3.8532895085266389E-12</v>
      </c>
      <c r="L357" s="5">
        <v>3.8532895085266389E-12</v>
      </c>
      <c r="M357" s="5">
        <v>0</v>
      </c>
      <c r="N357" s="5">
        <v>2.0000000000000001E-4</v>
      </c>
      <c r="O357" s="5">
        <v>131.27913059163055</v>
      </c>
      <c r="P357" s="5">
        <v>131.27913059163055</v>
      </c>
      <c r="Q357" s="5">
        <v>-6.2300667438271624E-10</v>
      </c>
      <c r="R357" s="5">
        <v>0</v>
      </c>
      <c r="S357" s="5">
        <v>1.4839479166666667E-4</v>
      </c>
      <c r="T357" s="5">
        <v>8.7248958333333343E-6</v>
      </c>
      <c r="U357" s="5">
        <v>8.7248958333333343E-6</v>
      </c>
      <c r="V357" s="5">
        <v>0</v>
      </c>
      <c r="W357" s="5">
        <v>0</v>
      </c>
      <c r="X357" s="5">
        <v>2.2162152777777777</v>
      </c>
      <c r="Y357" s="5">
        <v>4745.8680555555557</v>
      </c>
      <c r="Z357" s="5">
        <v>-1.1999999999999999E-3</v>
      </c>
      <c r="AA357" s="5">
        <v>-1E-3</v>
      </c>
      <c r="AB357" s="4">
        <v>2</v>
      </c>
    </row>
    <row r="358" spans="1:28" s="5" customFormat="1" x14ac:dyDescent="0.25">
      <c r="C358" s="4">
        <v>2</v>
      </c>
      <c r="D358" s="5">
        <v>140428184233.00247</v>
      </c>
      <c r="E358" s="5">
        <v>140428184233.00247</v>
      </c>
      <c r="F358" s="5">
        <v>0.33318435537060109</v>
      </c>
      <c r="G358" s="5">
        <v>0</v>
      </c>
      <c r="H358" s="5">
        <v>51262500000</v>
      </c>
      <c r="I358" s="5">
        <v>47000625000</v>
      </c>
      <c r="J358" s="5">
        <v>47000625000</v>
      </c>
      <c r="K358" s="5">
        <v>2.7444292183031452E-12</v>
      </c>
      <c r="L358" s="5">
        <v>2.7444292183031452E-12</v>
      </c>
      <c r="M358" s="5">
        <v>0</v>
      </c>
      <c r="N358" s="5">
        <v>2.0000000000000001E-4</v>
      </c>
      <c r="O358" s="5">
        <v>129.35633116883113</v>
      </c>
      <c r="P358" s="5">
        <v>129.35633116883113</v>
      </c>
      <c r="Q358" s="5">
        <v>-4.1963784722222229E-10</v>
      </c>
      <c r="R358" s="5">
        <v>0</v>
      </c>
      <c r="S358" s="5">
        <v>1.4635312499999999E-4</v>
      </c>
      <c r="T358" s="5">
        <v>8.8040625E-6</v>
      </c>
      <c r="U358" s="5">
        <v>8.8040625E-6</v>
      </c>
      <c r="V358" s="5">
        <v>0</v>
      </c>
      <c r="W358" s="5">
        <v>0</v>
      </c>
      <c r="X358" s="5">
        <v>2.2259374999999997</v>
      </c>
      <c r="Y358" s="5">
        <v>4752.8125</v>
      </c>
      <c r="Z358" s="5">
        <f t="shared" ref="Z358:AA358" si="151">Z357+0.0002</f>
        <v>-9.999999999999998E-4</v>
      </c>
      <c r="AA358" s="5">
        <f t="shared" si="151"/>
        <v>-8.0000000000000004E-4</v>
      </c>
      <c r="AB358" s="4">
        <v>2</v>
      </c>
    </row>
    <row r="359" spans="1:28" s="5" customFormat="1" x14ac:dyDescent="0.25">
      <c r="C359" s="4">
        <v>3</v>
      </c>
      <c r="D359" s="5">
        <v>139365976850.11139</v>
      </c>
      <c r="E359" s="5">
        <v>139365976850.11139</v>
      </c>
      <c r="F359" s="5">
        <v>0.33149575567307249</v>
      </c>
      <c r="G359" s="5">
        <v>0</v>
      </c>
      <c r="H359" s="5">
        <v>50929166666.666664</v>
      </c>
      <c r="I359" s="5">
        <v>46983958333.333336</v>
      </c>
      <c r="J359" s="5">
        <v>46983958333.333336</v>
      </c>
      <c r="K359" s="5">
        <v>5.2670863785616013E-13</v>
      </c>
      <c r="L359" s="5">
        <v>5.2670863785616013E-13</v>
      </c>
      <c r="M359" s="5">
        <v>0</v>
      </c>
      <c r="N359" s="5">
        <v>2.0000000000000001E-4</v>
      </c>
      <c r="O359" s="5">
        <v>125.51073232323229</v>
      </c>
      <c r="P359" s="5">
        <v>125.51073232323229</v>
      </c>
      <c r="Q359" s="5">
        <v>-1.2900192901234716E-11</v>
      </c>
      <c r="R359" s="5">
        <v>0</v>
      </c>
      <c r="S359" s="5">
        <v>1.4226979166666667E-4</v>
      </c>
      <c r="T359" s="5">
        <v>8.9623958333333333E-6</v>
      </c>
      <c r="U359" s="5">
        <v>8.9623958333333333E-6</v>
      </c>
      <c r="V359" s="5">
        <v>0</v>
      </c>
      <c r="W359" s="5">
        <v>0</v>
      </c>
      <c r="X359" s="5">
        <v>2.2453819444444445</v>
      </c>
      <c r="Y359" s="5">
        <v>4766.7013888888887</v>
      </c>
      <c r="Z359" s="5">
        <f t="shared" ref="Z359:AA359" si="152">Z358+0.0002</f>
        <v>-7.9999999999999982E-4</v>
      </c>
      <c r="AA359" s="5">
        <f t="shared" si="152"/>
        <v>-6.0000000000000006E-4</v>
      </c>
      <c r="AB359" s="4">
        <v>2</v>
      </c>
    </row>
    <row r="360" spans="1:28" s="5" customFormat="1" x14ac:dyDescent="0.25">
      <c r="C360" s="4">
        <v>4</v>
      </c>
      <c r="D360" s="5">
        <v>137772665775.77475</v>
      </c>
      <c r="E360" s="5">
        <v>137772665775.77475</v>
      </c>
      <c r="F360" s="5">
        <v>0.32896285612677956</v>
      </c>
      <c r="G360" s="5">
        <v>0</v>
      </c>
      <c r="H360" s="5">
        <v>50429166666.666664</v>
      </c>
      <c r="I360" s="5">
        <v>46958958333.333336</v>
      </c>
      <c r="J360" s="5">
        <v>46958958333.333336</v>
      </c>
      <c r="K360" s="5">
        <v>-2.7998722328143178E-12</v>
      </c>
      <c r="L360" s="5">
        <v>-2.7998722328143178E-12</v>
      </c>
      <c r="M360" s="5">
        <v>0</v>
      </c>
      <c r="N360" s="5">
        <v>2.0000000000000001E-4</v>
      </c>
      <c r="O360" s="5">
        <v>119.74233405483403</v>
      </c>
      <c r="P360" s="5">
        <v>119.74233405483403</v>
      </c>
      <c r="Q360" s="5">
        <v>5.972062885802467E-10</v>
      </c>
      <c r="R360" s="5">
        <v>0</v>
      </c>
      <c r="S360" s="5">
        <v>1.3614479166666667E-4</v>
      </c>
      <c r="T360" s="5">
        <v>9.199895833333334E-6</v>
      </c>
      <c r="U360" s="5">
        <v>9.199895833333334E-6</v>
      </c>
      <c r="V360" s="5">
        <v>0</v>
      </c>
      <c r="W360" s="5">
        <v>0</v>
      </c>
      <c r="X360" s="5">
        <v>2.2745486111111108</v>
      </c>
      <c r="Y360" s="5">
        <v>4787.5347222222226</v>
      </c>
      <c r="Z360" s="5">
        <f t="shared" ref="Z360:AA360" si="153">Z359+0.0002</f>
        <v>-5.9999999999999984E-4</v>
      </c>
      <c r="AA360" s="5">
        <f t="shared" si="153"/>
        <v>-4.0000000000000007E-4</v>
      </c>
      <c r="AB360" s="4">
        <v>2</v>
      </c>
    </row>
    <row r="361" spans="1:28" s="5" customFormat="1" x14ac:dyDescent="0.25">
      <c r="C361" s="4">
        <v>5</v>
      </c>
      <c r="D361" s="5">
        <v>135648251009.99258</v>
      </c>
      <c r="E361" s="5">
        <v>135648251009.99258</v>
      </c>
      <c r="F361" s="5">
        <v>0.32558565673172235</v>
      </c>
      <c r="G361" s="5">
        <v>0</v>
      </c>
      <c r="H361" s="5">
        <v>49762500000</v>
      </c>
      <c r="I361" s="5">
        <v>46925625000</v>
      </c>
      <c r="J361" s="5">
        <v>46925625000</v>
      </c>
      <c r="K361" s="5">
        <v>-7.2353133937082919E-12</v>
      </c>
      <c r="L361" s="5">
        <v>-7.2353133937082919E-12</v>
      </c>
      <c r="M361" s="5">
        <v>0</v>
      </c>
      <c r="N361" s="5">
        <v>2.0000000000000001E-4</v>
      </c>
      <c r="O361" s="5">
        <v>112.05113636363635</v>
      </c>
      <c r="P361" s="5">
        <v>112.05113636363635</v>
      </c>
      <c r="Q361" s="5">
        <v>1.4106815972222223E-9</v>
      </c>
      <c r="R361" s="5">
        <v>0</v>
      </c>
      <c r="S361" s="5">
        <v>1.2797812499999999E-4</v>
      </c>
      <c r="T361" s="5">
        <v>9.5165625000000004E-6</v>
      </c>
      <c r="U361" s="5">
        <v>9.5165625000000004E-6</v>
      </c>
      <c r="V361" s="5">
        <v>0</v>
      </c>
      <c r="W361" s="5">
        <v>0</v>
      </c>
      <c r="X361" s="5">
        <v>2.3134375</v>
      </c>
      <c r="Y361" s="5">
        <v>4815.3125</v>
      </c>
      <c r="Z361" s="5">
        <f t="shared" ref="Z361:AA361" si="154">Z360+0.0002</f>
        <v>-3.9999999999999986E-4</v>
      </c>
      <c r="AA361" s="5">
        <f t="shared" si="154"/>
        <v>-2.0000000000000006E-4</v>
      </c>
      <c r="AB361" s="4">
        <v>2</v>
      </c>
    </row>
    <row r="362" spans="1:28" s="5" customFormat="1" x14ac:dyDescent="0.25">
      <c r="C362" s="4">
        <v>6</v>
      </c>
      <c r="D362" s="5">
        <v>132992732552.76486</v>
      </c>
      <c r="E362" s="5">
        <v>132992732552.76486</v>
      </c>
      <c r="F362" s="5">
        <v>0.32136415748790087</v>
      </c>
      <c r="G362" s="5">
        <v>0</v>
      </c>
      <c r="H362" s="5">
        <v>48929166666.666664</v>
      </c>
      <c r="I362" s="5">
        <v>46883958333.333336</v>
      </c>
      <c r="J362" s="5">
        <v>46883958333.333336</v>
      </c>
      <c r="K362" s="5">
        <v>-1.2779614844825755E-11</v>
      </c>
      <c r="L362" s="5">
        <v>-1.2779614844825755E-11</v>
      </c>
      <c r="M362" s="5">
        <v>0</v>
      </c>
      <c r="N362" s="5">
        <v>2.0000000000000001E-4</v>
      </c>
      <c r="O362" s="5">
        <v>102.43713924963923</v>
      </c>
      <c r="P362" s="5">
        <v>102.43713924963923</v>
      </c>
      <c r="Q362" s="5">
        <v>2.427525733024691E-9</v>
      </c>
      <c r="R362" s="5">
        <v>0</v>
      </c>
      <c r="S362" s="5">
        <v>1.1776979166666666E-4</v>
      </c>
      <c r="T362" s="5">
        <v>9.9123958333333326E-6</v>
      </c>
      <c r="U362" s="5">
        <v>9.9123958333333326E-6</v>
      </c>
      <c r="V362" s="5">
        <v>0</v>
      </c>
      <c r="W362" s="5">
        <v>0</v>
      </c>
      <c r="X362" s="5">
        <v>2.3620486111111112</v>
      </c>
      <c r="Y362" s="5">
        <v>4850.0347222222226</v>
      </c>
      <c r="Z362" s="5">
        <f t="shared" ref="Z362:AA362" si="155">Z361+0.0002</f>
        <v>-1.9999999999999985E-4</v>
      </c>
      <c r="AA362" s="5">
        <f t="shared" si="155"/>
        <v>0</v>
      </c>
      <c r="AB362" s="4">
        <v>2</v>
      </c>
    </row>
    <row r="363" spans="1:28" s="5" customFormat="1" x14ac:dyDescent="0.25">
      <c r="C363" s="4">
        <v>7</v>
      </c>
      <c r="D363" s="5">
        <v>129806110404.09158</v>
      </c>
      <c r="E363" s="5">
        <v>129806110404.09158</v>
      </c>
      <c r="F363" s="5">
        <v>0.31629835839531506</v>
      </c>
      <c r="G363" s="5">
        <v>0</v>
      </c>
      <c r="H363" s="5">
        <v>47929166666.666664</v>
      </c>
      <c r="I363" s="5">
        <v>46833958333.333336</v>
      </c>
      <c r="J363" s="5">
        <v>46833958333.333336</v>
      </c>
      <c r="K363" s="5">
        <v>-1.9432776586166711E-11</v>
      </c>
      <c r="L363" s="5">
        <v>-1.9432776586166711E-11</v>
      </c>
      <c r="M363" s="5">
        <v>0</v>
      </c>
      <c r="N363" s="5">
        <v>2.0000000000000001E-4</v>
      </c>
      <c r="O363" s="5">
        <v>90.900342712842701</v>
      </c>
      <c r="P363" s="5">
        <v>90.900342712842701</v>
      </c>
      <c r="Q363" s="5">
        <v>3.6477386959876546E-9</v>
      </c>
      <c r="R363" s="5">
        <v>0</v>
      </c>
      <c r="S363" s="5">
        <v>1.0551979166666666E-4</v>
      </c>
      <c r="T363" s="5">
        <v>1.0387395833333332E-5</v>
      </c>
      <c r="U363" s="5">
        <v>1.0387395833333332E-5</v>
      </c>
      <c r="V363" s="5">
        <v>0</v>
      </c>
      <c r="W363" s="5">
        <v>0</v>
      </c>
      <c r="X363" s="5">
        <v>2.4203819444444443</v>
      </c>
      <c r="Y363" s="5">
        <v>4891.7013888888887</v>
      </c>
      <c r="Z363" s="5">
        <f t="shared" ref="Z363:AA363" si="156">Z362+0.0002</f>
        <v>0</v>
      </c>
      <c r="AA363" s="5">
        <f t="shared" si="156"/>
        <v>2.0000000000000001E-4</v>
      </c>
      <c r="AB363" s="4">
        <v>2</v>
      </c>
    </row>
    <row r="364" spans="1:28" s="5" customFormat="1" x14ac:dyDescent="0.25">
      <c r="C364" s="4">
        <v>8</v>
      </c>
      <c r="D364" s="5">
        <v>126088384563.97278</v>
      </c>
      <c r="E364" s="5">
        <v>126088384563.97278</v>
      </c>
      <c r="F364" s="5">
        <v>0.31038825945396492</v>
      </c>
      <c r="G364" s="5">
        <v>0</v>
      </c>
      <c r="H364" s="5">
        <v>46762500000</v>
      </c>
      <c r="I364" s="5">
        <v>46775625000</v>
      </c>
      <c r="J364" s="5">
        <v>46775625000</v>
      </c>
      <c r="K364" s="5">
        <v>-2.7194798617731169E-11</v>
      </c>
      <c r="L364" s="5">
        <v>-2.7194798617731169E-11</v>
      </c>
      <c r="M364" s="5">
        <v>0</v>
      </c>
      <c r="N364" s="5">
        <v>2.0000000000000001E-4</v>
      </c>
      <c r="O364" s="5">
        <v>77.440746753246742</v>
      </c>
      <c r="P364" s="5">
        <v>77.440746753246742</v>
      </c>
      <c r="Q364" s="5">
        <v>5.0713204861111122E-9</v>
      </c>
      <c r="R364" s="5">
        <v>0</v>
      </c>
      <c r="S364" s="5">
        <v>9.1228125000000003E-5</v>
      </c>
      <c r="T364" s="5">
        <v>1.0941562499999999E-5</v>
      </c>
      <c r="U364" s="5">
        <v>1.0941562499999999E-5</v>
      </c>
      <c r="V364" s="5">
        <v>0</v>
      </c>
      <c r="W364" s="5">
        <v>0</v>
      </c>
      <c r="X364" s="5">
        <v>2.4884374999999999</v>
      </c>
      <c r="Y364" s="5">
        <v>4940.3125</v>
      </c>
      <c r="Z364" s="5">
        <f t="shared" ref="Z364:AA364" si="157">Z363+0.0002</f>
        <v>2.0000000000000001E-4</v>
      </c>
      <c r="AA364" s="5">
        <f t="shared" si="157"/>
        <v>4.0000000000000002E-4</v>
      </c>
      <c r="AB364" s="4">
        <v>2</v>
      </c>
    </row>
    <row r="365" spans="1:28" s="5" customFormat="1" x14ac:dyDescent="0.25">
      <c r="C365" s="4">
        <v>9</v>
      </c>
      <c r="D365" s="5">
        <v>121839555032.40842</v>
      </c>
      <c r="E365" s="5">
        <v>121839555032.40842</v>
      </c>
      <c r="F365" s="5">
        <v>0.30363386066385051</v>
      </c>
      <c r="G365" s="5">
        <v>0</v>
      </c>
      <c r="H365" s="5">
        <v>45429166666.666664</v>
      </c>
      <c r="I365" s="5">
        <v>46708958333.333336</v>
      </c>
      <c r="J365" s="5">
        <v>46708958333.333336</v>
      </c>
      <c r="K365" s="5">
        <v>-3.6065680939519112E-11</v>
      </c>
      <c r="L365" s="5">
        <v>-3.6065680939519112E-11</v>
      </c>
      <c r="M365" s="5">
        <v>0</v>
      </c>
      <c r="N365" s="5">
        <v>2.0000000000000001E-4</v>
      </c>
      <c r="O365" s="5">
        <v>62.058351370851355</v>
      </c>
      <c r="P365" s="5">
        <v>62.058351370851355</v>
      </c>
      <c r="Q365" s="5">
        <v>6.6982711033950638E-9</v>
      </c>
      <c r="R365" s="5">
        <v>0</v>
      </c>
      <c r="S365" s="5">
        <v>7.4894791666666661E-5</v>
      </c>
      <c r="T365" s="5">
        <v>1.1574895833333332E-5</v>
      </c>
      <c r="U365" s="5">
        <v>1.1574895833333332E-5</v>
      </c>
      <c r="V365" s="5">
        <v>0</v>
      </c>
      <c r="W365" s="5">
        <v>0</v>
      </c>
      <c r="X365" s="5">
        <v>2.5662152777777778</v>
      </c>
      <c r="Y365" s="5">
        <v>4995.8680555555557</v>
      </c>
      <c r="Z365" s="5">
        <f t="shared" ref="Z365:AA365" si="158">Z364+0.0002</f>
        <v>4.0000000000000002E-4</v>
      </c>
      <c r="AA365" s="5">
        <f t="shared" si="158"/>
        <v>6.0000000000000006E-4</v>
      </c>
      <c r="AB365" s="4">
        <v>2</v>
      </c>
    </row>
    <row r="366" spans="1:28" s="5" customFormat="1" x14ac:dyDescent="0.25">
      <c r="C366" s="4">
        <v>10</v>
      </c>
      <c r="D366" s="5">
        <v>117059621809.39851</v>
      </c>
      <c r="E366" s="5">
        <v>117059621809.39851</v>
      </c>
      <c r="F366" s="5">
        <v>0.29603516202497177</v>
      </c>
      <c r="G366" s="5">
        <v>0</v>
      </c>
      <c r="H366" s="5">
        <v>43929166666.666664</v>
      </c>
      <c r="I366" s="5">
        <v>46633958333.333336</v>
      </c>
      <c r="J366" s="5">
        <v>46633958333.333336</v>
      </c>
      <c r="K366" s="5">
        <v>-4.6045423551530564E-11</v>
      </c>
      <c r="L366" s="5">
        <v>-4.6045423551530564E-11</v>
      </c>
      <c r="M366" s="5">
        <v>0</v>
      </c>
      <c r="N366" s="5">
        <v>2.0000000000000001E-4</v>
      </c>
      <c r="O366" s="5">
        <v>44.753156565656539</v>
      </c>
      <c r="P366" s="5">
        <v>44.753156565656539</v>
      </c>
      <c r="Q366" s="5">
        <v>8.5285905478395093E-9</v>
      </c>
      <c r="R366" s="5">
        <v>0</v>
      </c>
      <c r="S366" s="5">
        <v>5.6519791666666635E-5</v>
      </c>
      <c r="T366" s="5">
        <v>1.2287395833333333E-5</v>
      </c>
      <c r="U366" s="5">
        <v>1.2287395833333333E-5</v>
      </c>
      <c r="V366" s="5">
        <v>0</v>
      </c>
      <c r="W366" s="5">
        <v>0</v>
      </c>
      <c r="X366" s="5">
        <v>2.6537152777777777</v>
      </c>
      <c r="Y366" s="5">
        <v>5058.3680555555557</v>
      </c>
      <c r="Z366" s="5">
        <f t="shared" ref="Z366:AA366" si="159">Z365+0.0002</f>
        <v>6.0000000000000006E-4</v>
      </c>
      <c r="AA366" s="5">
        <f t="shared" si="159"/>
        <v>8.0000000000000004E-4</v>
      </c>
      <c r="AB366" s="4">
        <v>2</v>
      </c>
    </row>
    <row r="367" spans="1:28" s="5" customFormat="1" x14ac:dyDescent="0.25">
      <c r="C367" s="4">
        <v>11</v>
      </c>
      <c r="D367" s="5">
        <v>111748584894.94308</v>
      </c>
      <c r="E367" s="5">
        <v>111748584894.94308</v>
      </c>
      <c r="F367" s="5">
        <v>0.2875921635373288</v>
      </c>
      <c r="G367" s="5">
        <v>0</v>
      </c>
      <c r="H367" s="5">
        <v>42262500000</v>
      </c>
      <c r="I367" s="5">
        <v>46550625000</v>
      </c>
      <c r="J367" s="5">
        <v>46550625000</v>
      </c>
      <c r="K367" s="5">
        <v>-5.7134026453765478E-11</v>
      </c>
      <c r="L367" s="5">
        <v>-5.7134026453765478E-11</v>
      </c>
      <c r="M367" s="5">
        <v>0</v>
      </c>
      <c r="N367" s="5">
        <v>2.0000000000000001E-4</v>
      </c>
      <c r="O367" s="5">
        <v>25.525162337662334</v>
      </c>
      <c r="P367" s="5">
        <v>25.525162337662334</v>
      </c>
      <c r="Q367" s="5">
        <v>1.0562278819444445E-8</v>
      </c>
      <c r="R367" s="5">
        <v>0</v>
      </c>
      <c r="S367" s="5">
        <v>3.6103125000000005E-5</v>
      </c>
      <c r="T367" s="5">
        <v>1.3079062499999999E-5</v>
      </c>
      <c r="U367" s="5">
        <v>1.3079062499999999E-5</v>
      </c>
      <c r="V367" s="5">
        <v>0</v>
      </c>
      <c r="W367" s="5">
        <v>0</v>
      </c>
      <c r="X367" s="5">
        <v>2.7509375</v>
      </c>
      <c r="Y367" s="5">
        <v>5127.8125</v>
      </c>
      <c r="Z367" s="5">
        <f t="shared" ref="Z367:AA367" si="160">Z366+0.0002</f>
        <v>8.0000000000000004E-4</v>
      </c>
      <c r="AA367" s="5">
        <f t="shared" si="160"/>
        <v>1E-3</v>
      </c>
      <c r="AB367" s="4">
        <v>2</v>
      </c>
    </row>
    <row r="368" spans="1:28" s="5" customFormat="1" x14ac:dyDescent="0.25">
      <c r="B368" s="5" t="s">
        <v>14</v>
      </c>
      <c r="C368" s="11">
        <v>12</v>
      </c>
      <c r="D368" s="5">
        <v>105906444289.04208</v>
      </c>
      <c r="E368" s="5">
        <v>105906444289.04208</v>
      </c>
      <c r="F368" s="5">
        <v>0.27830486520092146</v>
      </c>
      <c r="G368" s="5">
        <v>0</v>
      </c>
      <c r="H368" s="5">
        <v>40429166666.666664</v>
      </c>
      <c r="I368" s="5">
        <v>46458958333.333336</v>
      </c>
      <c r="J368" s="5">
        <v>46458958333.333336</v>
      </c>
      <c r="K368" s="5">
        <v>-6.9331489646223914E-11</v>
      </c>
      <c r="L368" s="5">
        <v>-6.9331489646223914E-11</v>
      </c>
      <c r="M368" s="5">
        <v>0</v>
      </c>
      <c r="N368" s="5">
        <v>2.0000000000000001E-4</v>
      </c>
      <c r="O368" s="5">
        <v>4.374368686868646</v>
      </c>
      <c r="P368" s="5">
        <v>4.374368686868646</v>
      </c>
      <c r="Q368" s="5">
        <v>1.279933591820988E-8</v>
      </c>
      <c r="R368" s="5">
        <v>0</v>
      </c>
      <c r="S368" s="5">
        <v>1.3644791666666636E-5</v>
      </c>
      <c r="T368" s="5">
        <v>1.3949895833333333E-5</v>
      </c>
      <c r="U368" s="5">
        <v>1.3949895833333333E-5</v>
      </c>
      <c r="V368" s="5">
        <v>0</v>
      </c>
      <c r="W368" s="5">
        <v>0</v>
      </c>
      <c r="X368" s="5">
        <v>2.8578819444444448</v>
      </c>
      <c r="Y368" s="5">
        <v>5204.2013888888887</v>
      </c>
      <c r="Z368" s="5">
        <f t="shared" ref="Z368:AA368" si="161">Z367+0.0002</f>
        <v>1E-3</v>
      </c>
      <c r="AA368" s="5">
        <f t="shared" si="161"/>
        <v>1.2000000000000001E-3</v>
      </c>
      <c r="AB368" s="4">
        <v>2</v>
      </c>
    </row>
    <row r="369" spans="1:28" x14ac:dyDescent="0.25">
      <c r="C369" s="11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8" x14ac:dyDescent="0.25">
      <c r="C370" s="11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8" x14ac:dyDescent="0.25">
      <c r="C371" s="11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8" x14ac:dyDescent="0.25">
      <c r="A372" s="15" t="s">
        <v>82</v>
      </c>
      <c r="C372" s="10" t="s">
        <v>27</v>
      </c>
      <c r="D372" s="10" t="s">
        <v>28</v>
      </c>
      <c r="E372" s="10" t="s">
        <v>29</v>
      </c>
      <c r="F372" s="10" t="s">
        <v>30</v>
      </c>
      <c r="G372" s="10" t="s">
        <v>31</v>
      </c>
      <c r="H372" s="10" t="s">
        <v>75</v>
      </c>
      <c r="I372" s="10" t="s">
        <v>32</v>
      </c>
      <c r="J372" s="10" t="s">
        <v>33</v>
      </c>
      <c r="K372" s="10" t="s">
        <v>34</v>
      </c>
      <c r="L372" s="10" t="s">
        <v>35</v>
      </c>
      <c r="M372" s="10" t="s">
        <v>36</v>
      </c>
      <c r="N372" s="10" t="s">
        <v>37</v>
      </c>
      <c r="O372" s="10" t="s">
        <v>38</v>
      </c>
      <c r="P372" s="10" t="s">
        <v>39</v>
      </c>
      <c r="Q372" s="10" t="s">
        <v>40</v>
      </c>
      <c r="R372" s="10" t="s">
        <v>41</v>
      </c>
      <c r="S372" s="10" t="s">
        <v>42</v>
      </c>
      <c r="T372" s="10" t="s">
        <v>76</v>
      </c>
      <c r="U372" s="10" t="s">
        <v>77</v>
      </c>
      <c r="V372" s="10" t="s">
        <v>78</v>
      </c>
      <c r="W372" s="10" t="s">
        <v>79</v>
      </c>
      <c r="X372" s="10" t="s">
        <v>80</v>
      </c>
      <c r="Y372" s="10" t="s">
        <v>43</v>
      </c>
      <c r="Z372" s="10" t="s">
        <v>44</v>
      </c>
      <c r="AA372" s="10" t="s">
        <v>45</v>
      </c>
      <c r="AB372" s="10" t="s">
        <v>46</v>
      </c>
    </row>
    <row r="373" spans="1:28" x14ac:dyDescent="0.25">
      <c r="A373" s="12" t="s">
        <v>85</v>
      </c>
      <c r="B373" t="s">
        <v>183</v>
      </c>
      <c r="C373" s="11">
        <v>1</v>
      </c>
      <c r="D373" s="5">
        <v>127414183147.3548</v>
      </c>
      <c r="E373" s="5">
        <v>127414183147.3548</v>
      </c>
      <c r="F373" s="5">
        <v>0.30027983320326024</v>
      </c>
      <c r="G373" s="5">
        <v>0</v>
      </c>
      <c r="H373" s="5">
        <v>46379166666.666664</v>
      </c>
      <c r="I373" s="5">
        <v>41818958333.333336</v>
      </c>
      <c r="J373" s="5">
        <v>41818958333.333336</v>
      </c>
      <c r="K373" s="5">
        <v>7.8451865533312139E-12</v>
      </c>
      <c r="L373" s="5">
        <v>7.8451865533312139E-12</v>
      </c>
      <c r="M373" s="5">
        <v>0</v>
      </c>
      <c r="N373" s="5">
        <v>2.0000000000000001E-4</v>
      </c>
      <c r="O373" s="5">
        <v>124.35705266955264</v>
      </c>
      <c r="P373" s="5">
        <v>124.35705266955264</v>
      </c>
      <c r="Q373" s="5">
        <v>-1.3644344521604942E-9</v>
      </c>
      <c r="R373" s="5">
        <v>0</v>
      </c>
      <c r="S373" s="5">
        <v>1.4004479166666666E-4</v>
      </c>
      <c r="T373" s="5">
        <v>7.4398958333333339E-6</v>
      </c>
      <c r="U373" s="5">
        <v>7.4398958333333339E-6</v>
      </c>
      <c r="V373" s="5">
        <v>0</v>
      </c>
      <c r="W373" s="5">
        <v>0</v>
      </c>
      <c r="X373" s="5">
        <v>1.9312152777777778</v>
      </c>
      <c r="Y373" s="5">
        <v>4190.8680555555557</v>
      </c>
      <c r="Z373" s="5">
        <v>-1.1999999999999999E-3</v>
      </c>
      <c r="AA373" s="5">
        <v>-1E-3</v>
      </c>
      <c r="AB373" s="4">
        <v>2</v>
      </c>
    </row>
    <row r="374" spans="1:28" x14ac:dyDescent="0.25">
      <c r="C374" s="4">
        <v>2</v>
      </c>
      <c r="D374" s="5">
        <v>126883079455.90924</v>
      </c>
      <c r="E374" s="5">
        <v>126883079455.90924</v>
      </c>
      <c r="F374" s="5">
        <v>0.29943553335449596</v>
      </c>
      <c r="G374" s="5">
        <v>0</v>
      </c>
      <c r="H374" s="5">
        <v>46212500000</v>
      </c>
      <c r="I374" s="5">
        <v>41810625000</v>
      </c>
      <c r="J374" s="5">
        <v>41810625000</v>
      </c>
      <c r="K374" s="5">
        <v>6.7363262631077202E-12</v>
      </c>
      <c r="L374" s="5">
        <v>6.7363262631077202E-12</v>
      </c>
      <c r="M374" s="5">
        <v>0</v>
      </c>
      <c r="N374" s="5">
        <v>2.0000000000000001E-4</v>
      </c>
      <c r="O374" s="5">
        <v>122.43425324675323</v>
      </c>
      <c r="P374" s="5">
        <v>122.43425324675323</v>
      </c>
      <c r="Q374" s="5">
        <v>-1.1610656250000003E-9</v>
      </c>
      <c r="R374" s="5">
        <v>0</v>
      </c>
      <c r="S374" s="5">
        <v>1.38003125E-4</v>
      </c>
      <c r="T374" s="5">
        <v>7.5190624999999996E-6</v>
      </c>
      <c r="U374" s="5">
        <v>7.5190624999999996E-6</v>
      </c>
      <c r="V374" s="5">
        <v>0</v>
      </c>
      <c r="W374" s="5">
        <v>0</v>
      </c>
      <c r="X374" s="5">
        <v>1.9409374999999998</v>
      </c>
      <c r="Y374" s="5">
        <v>4197.8125</v>
      </c>
      <c r="Z374" s="5">
        <f t="shared" ref="Z374:AA374" si="162">Z373+0.0002</f>
        <v>-9.999999999999998E-4</v>
      </c>
      <c r="AA374" s="5">
        <f t="shared" si="162"/>
        <v>-8.0000000000000004E-4</v>
      </c>
      <c r="AB374" s="4">
        <v>2</v>
      </c>
    </row>
    <row r="375" spans="1:28" x14ac:dyDescent="0.25">
      <c r="C375" s="4">
        <v>3</v>
      </c>
      <c r="D375" s="5">
        <v>125820872073.01816</v>
      </c>
      <c r="E375" s="5">
        <v>125820872073.01816</v>
      </c>
      <c r="F375" s="5">
        <v>0.29774693365696736</v>
      </c>
      <c r="G375" s="5">
        <v>0</v>
      </c>
      <c r="H375" s="5">
        <v>45879166666.666664</v>
      </c>
      <c r="I375" s="5">
        <v>41793958333.333336</v>
      </c>
      <c r="J375" s="5">
        <v>41793958333.333336</v>
      </c>
      <c r="K375" s="5">
        <v>4.5186056826607351E-12</v>
      </c>
      <c r="L375" s="5">
        <v>4.5186056826607351E-12</v>
      </c>
      <c r="M375" s="5">
        <v>0</v>
      </c>
      <c r="N375" s="5">
        <v>2.0000000000000001E-4</v>
      </c>
      <c r="O375" s="5">
        <v>118.58865440115437</v>
      </c>
      <c r="P375" s="5">
        <v>118.58865440115437</v>
      </c>
      <c r="Q375" s="5">
        <v>-7.5432797067901258E-10</v>
      </c>
      <c r="R375" s="5">
        <v>0</v>
      </c>
      <c r="S375" s="5">
        <v>1.3391979166666666E-4</v>
      </c>
      <c r="T375" s="5">
        <v>7.6773958333333329E-6</v>
      </c>
      <c r="U375" s="5">
        <v>7.6773958333333329E-6</v>
      </c>
      <c r="V375" s="5">
        <v>0</v>
      </c>
      <c r="W375" s="5">
        <v>0</v>
      </c>
      <c r="X375" s="5">
        <v>1.9603819444444446</v>
      </c>
      <c r="Y375" s="5">
        <v>4211.7013888888887</v>
      </c>
      <c r="Z375" s="5">
        <f t="shared" ref="Z375:AA375" si="163">Z374+0.0002</f>
        <v>-7.9999999999999982E-4</v>
      </c>
      <c r="AA375" s="5">
        <f t="shared" si="163"/>
        <v>-6.0000000000000006E-4</v>
      </c>
      <c r="AB375" s="4">
        <v>2</v>
      </c>
    </row>
    <row r="376" spans="1:28" x14ac:dyDescent="0.25">
      <c r="C376" s="4">
        <v>4</v>
      </c>
      <c r="D376" s="5">
        <v>124227560998.68152</v>
      </c>
      <c r="E376" s="5">
        <v>124227560998.68152</v>
      </c>
      <c r="F376" s="5">
        <v>0.29521403411067443</v>
      </c>
      <c r="G376" s="5">
        <v>0</v>
      </c>
      <c r="H376" s="5">
        <v>45379166666.666664</v>
      </c>
      <c r="I376" s="5">
        <v>41768958333.333336</v>
      </c>
      <c r="J376" s="5">
        <v>41768958333.333336</v>
      </c>
      <c r="K376" s="5">
        <v>1.1920248119902572E-12</v>
      </c>
      <c r="L376" s="5">
        <v>1.1920248119902572E-12</v>
      </c>
      <c r="M376" s="5">
        <v>0</v>
      </c>
      <c r="N376" s="5">
        <v>2.0000000000000001E-4</v>
      </c>
      <c r="O376" s="5">
        <v>112.8202561327561</v>
      </c>
      <c r="P376" s="5">
        <v>112.8202561327561</v>
      </c>
      <c r="Q376" s="5">
        <v>-1.4422148919753116E-10</v>
      </c>
      <c r="R376" s="5">
        <v>0</v>
      </c>
      <c r="S376" s="5">
        <v>1.2779479166666666E-4</v>
      </c>
      <c r="T376" s="5">
        <v>7.9148958333333336E-6</v>
      </c>
      <c r="U376" s="5">
        <v>7.9148958333333336E-6</v>
      </c>
      <c r="V376" s="5">
        <v>0</v>
      </c>
      <c r="W376" s="5">
        <v>0</v>
      </c>
      <c r="X376" s="5">
        <v>1.9895486111111109</v>
      </c>
      <c r="Y376" s="5">
        <v>4232.5347222222226</v>
      </c>
      <c r="Z376" s="5">
        <f t="shared" ref="Z376:AA376" si="164">Z375+0.0002</f>
        <v>-5.9999999999999984E-4</v>
      </c>
      <c r="AA376" s="5">
        <f t="shared" si="164"/>
        <v>-4.0000000000000007E-4</v>
      </c>
      <c r="AB376" s="4">
        <v>2</v>
      </c>
    </row>
    <row r="377" spans="1:28" x14ac:dyDescent="0.25">
      <c r="C377" s="4">
        <v>5</v>
      </c>
      <c r="D377" s="5">
        <v>122103146232.89935</v>
      </c>
      <c r="E377" s="5">
        <v>122103146232.89935</v>
      </c>
      <c r="F377" s="5">
        <v>0.29183683471561722</v>
      </c>
      <c r="G377" s="5">
        <v>0</v>
      </c>
      <c r="H377" s="5">
        <v>44712500000</v>
      </c>
      <c r="I377" s="5">
        <v>41735625000</v>
      </c>
      <c r="J377" s="5">
        <v>41735625000</v>
      </c>
      <c r="K377" s="5">
        <v>-3.2434163489037169E-12</v>
      </c>
      <c r="L377" s="5">
        <v>-3.2434163489037169E-12</v>
      </c>
      <c r="M377" s="5">
        <v>0</v>
      </c>
      <c r="N377" s="5">
        <v>2.0000000000000001E-4</v>
      </c>
      <c r="O377" s="5">
        <v>105.12905844155841</v>
      </c>
      <c r="P377" s="5">
        <v>105.12905844155841</v>
      </c>
      <c r="Q377" s="5">
        <v>6.692538194444444E-10</v>
      </c>
      <c r="R377" s="5">
        <v>0</v>
      </c>
      <c r="S377" s="5">
        <v>1.19628125E-4</v>
      </c>
      <c r="T377" s="5">
        <v>8.2315625E-6</v>
      </c>
      <c r="U377" s="5">
        <v>8.2315625E-6</v>
      </c>
      <c r="V377" s="5">
        <v>0</v>
      </c>
      <c r="W377" s="5">
        <v>0</v>
      </c>
      <c r="X377" s="5">
        <v>2.0284374999999999</v>
      </c>
      <c r="Y377" s="5">
        <v>4260.3125</v>
      </c>
      <c r="Z377" s="5">
        <f t="shared" ref="Z377:AA377" si="165">Z376+0.0002</f>
        <v>-3.9999999999999986E-4</v>
      </c>
      <c r="AA377" s="5">
        <f t="shared" si="165"/>
        <v>-2.0000000000000006E-4</v>
      </c>
      <c r="AB377" s="4">
        <v>2</v>
      </c>
    </row>
    <row r="378" spans="1:28" x14ac:dyDescent="0.25">
      <c r="C378" s="4">
        <v>6</v>
      </c>
      <c r="D378" s="5">
        <v>119447627775.67163</v>
      </c>
      <c r="E378" s="5">
        <v>119447627775.67163</v>
      </c>
      <c r="F378" s="5">
        <v>0.28761533547179574</v>
      </c>
      <c r="G378" s="5">
        <v>0</v>
      </c>
      <c r="H378" s="5">
        <v>43879166666.666664</v>
      </c>
      <c r="I378" s="5">
        <v>41693958333.333336</v>
      </c>
      <c r="J378" s="5">
        <v>41693958333.333336</v>
      </c>
      <c r="K378" s="5">
        <v>-8.7877178000211791E-12</v>
      </c>
      <c r="L378" s="5">
        <v>-8.7877178000211791E-12</v>
      </c>
      <c r="M378" s="5">
        <v>0</v>
      </c>
      <c r="N378" s="5">
        <v>2.0000000000000001E-4</v>
      </c>
      <c r="O378" s="5">
        <v>95.515061327561313</v>
      </c>
      <c r="P378" s="5">
        <v>95.515061327561313</v>
      </c>
      <c r="Q378" s="5">
        <v>1.6860979552469133E-9</v>
      </c>
      <c r="R378" s="5">
        <v>0</v>
      </c>
      <c r="S378" s="5">
        <v>1.0941979166666666E-4</v>
      </c>
      <c r="T378" s="5">
        <v>8.6273958333333322E-6</v>
      </c>
      <c r="U378" s="5">
        <v>8.6273958333333322E-6</v>
      </c>
      <c r="V378" s="5">
        <v>0</v>
      </c>
      <c r="W378" s="5">
        <v>0</v>
      </c>
      <c r="X378" s="5">
        <v>2.0770486111111115</v>
      </c>
      <c r="Y378" s="5">
        <v>4295.0347222222226</v>
      </c>
      <c r="Z378" s="5">
        <f t="shared" ref="Z378:AA378" si="166">Z377+0.0002</f>
        <v>-1.9999999999999985E-4</v>
      </c>
      <c r="AA378" s="5">
        <f t="shared" si="166"/>
        <v>0</v>
      </c>
      <c r="AB378" s="4">
        <v>2</v>
      </c>
    </row>
    <row r="379" spans="1:28" x14ac:dyDescent="0.25">
      <c r="C379" s="4">
        <v>7</v>
      </c>
      <c r="D379" s="5">
        <v>116261005626.99835</v>
      </c>
      <c r="E379" s="5">
        <v>116261005626.99835</v>
      </c>
      <c r="F379" s="5">
        <v>0.28254953637920993</v>
      </c>
      <c r="G379" s="5">
        <v>0</v>
      </c>
      <c r="H379" s="5">
        <v>42879166666.666664</v>
      </c>
      <c r="I379" s="5">
        <v>41643958333.333336</v>
      </c>
      <c r="J379" s="5">
        <v>41643958333.333336</v>
      </c>
      <c r="K379" s="5">
        <v>-1.5440879541362133E-11</v>
      </c>
      <c r="L379" s="5">
        <v>-1.5440879541362133E-11</v>
      </c>
      <c r="M379" s="5">
        <v>0</v>
      </c>
      <c r="N379" s="5">
        <v>2.0000000000000001E-4</v>
      </c>
      <c r="O379" s="5">
        <v>83.978264790764769</v>
      </c>
      <c r="P379" s="5">
        <v>83.978264790764769</v>
      </c>
      <c r="Q379" s="5">
        <v>2.9063109182098765E-9</v>
      </c>
      <c r="R379" s="5">
        <v>0</v>
      </c>
      <c r="S379" s="5">
        <v>9.7169791666666661E-5</v>
      </c>
      <c r="T379" s="5">
        <v>9.1023958333333319E-6</v>
      </c>
      <c r="U379" s="5">
        <v>9.1023958333333319E-6</v>
      </c>
      <c r="V379" s="5">
        <v>0</v>
      </c>
      <c r="W379" s="5">
        <v>0</v>
      </c>
      <c r="X379" s="5">
        <v>2.1353819444444442</v>
      </c>
      <c r="Y379" s="5">
        <v>4336.7013888888887</v>
      </c>
      <c r="Z379" s="5">
        <f t="shared" ref="Z379:AA379" si="167">Z378+0.0002</f>
        <v>0</v>
      </c>
      <c r="AA379" s="5">
        <f t="shared" si="167"/>
        <v>2.0000000000000001E-4</v>
      </c>
      <c r="AB379" s="4">
        <v>2</v>
      </c>
    </row>
    <row r="380" spans="1:28" x14ac:dyDescent="0.25">
      <c r="C380" s="4">
        <v>8</v>
      </c>
      <c r="D380" s="5">
        <v>112543279786.87955</v>
      </c>
      <c r="E380" s="5">
        <v>112543279786.87955</v>
      </c>
      <c r="F380" s="5">
        <v>0.27663943743785979</v>
      </c>
      <c r="G380" s="5">
        <v>0</v>
      </c>
      <c r="H380" s="5">
        <v>41712500000</v>
      </c>
      <c r="I380" s="5">
        <v>41585625000</v>
      </c>
      <c r="J380" s="5">
        <v>41585625000</v>
      </c>
      <c r="K380" s="5">
        <v>-2.3202901572926594E-11</v>
      </c>
      <c r="L380" s="5">
        <v>-2.3202901572926594E-11</v>
      </c>
      <c r="M380" s="5">
        <v>0</v>
      </c>
      <c r="N380" s="5">
        <v>2.0000000000000001E-4</v>
      </c>
      <c r="O380" s="5">
        <v>70.51866883116881</v>
      </c>
      <c r="P380" s="5">
        <v>70.51866883116881</v>
      </c>
      <c r="Q380" s="5">
        <v>4.3298927083333337E-9</v>
      </c>
      <c r="R380" s="5">
        <v>0</v>
      </c>
      <c r="S380" s="5">
        <v>8.2878125000000004E-5</v>
      </c>
      <c r="T380" s="5">
        <v>9.6565624999999991E-6</v>
      </c>
      <c r="U380" s="5">
        <v>9.6565624999999991E-6</v>
      </c>
      <c r="V380" s="5">
        <v>0</v>
      </c>
      <c r="W380" s="5">
        <v>0</v>
      </c>
      <c r="X380" s="5">
        <v>2.2034374999999997</v>
      </c>
      <c r="Y380" s="5">
        <v>4385.3125</v>
      </c>
      <c r="Z380" s="5">
        <f t="shared" ref="Z380:AA380" si="168">Z379+0.0002</f>
        <v>2.0000000000000001E-4</v>
      </c>
      <c r="AA380" s="5">
        <f t="shared" si="168"/>
        <v>4.0000000000000002E-4</v>
      </c>
      <c r="AB380" s="4">
        <v>2</v>
      </c>
    </row>
    <row r="381" spans="1:28" x14ac:dyDescent="0.25">
      <c r="C381" s="4">
        <v>9</v>
      </c>
      <c r="D381" s="5">
        <v>108294450255.31519</v>
      </c>
      <c r="E381" s="5">
        <v>108294450255.31519</v>
      </c>
      <c r="F381" s="5">
        <v>0.26988503864774538</v>
      </c>
      <c r="G381" s="5">
        <v>0</v>
      </c>
      <c r="H381" s="5">
        <v>40379166666.666664</v>
      </c>
      <c r="I381" s="5">
        <v>41518958333.333336</v>
      </c>
      <c r="J381" s="5">
        <v>41518958333.333336</v>
      </c>
      <c r="K381" s="5">
        <v>-3.2073783894714538E-11</v>
      </c>
      <c r="L381" s="5">
        <v>-3.2073783894714538E-11</v>
      </c>
      <c r="M381" s="5">
        <v>0</v>
      </c>
      <c r="N381" s="5">
        <v>2.0000000000000001E-4</v>
      </c>
      <c r="O381" s="5">
        <v>55.13627344877343</v>
      </c>
      <c r="P381" s="5">
        <v>55.13627344877343</v>
      </c>
      <c r="Q381" s="5">
        <v>5.9568433256172853E-9</v>
      </c>
      <c r="R381" s="5">
        <v>0</v>
      </c>
      <c r="S381" s="5">
        <v>6.6544791666666662E-5</v>
      </c>
      <c r="T381" s="5">
        <v>1.0289895833333332E-5</v>
      </c>
      <c r="U381" s="5">
        <v>1.0289895833333332E-5</v>
      </c>
      <c r="V381" s="5">
        <v>0</v>
      </c>
      <c r="W381" s="5">
        <v>0</v>
      </c>
      <c r="X381" s="5">
        <v>2.2812152777777781</v>
      </c>
      <c r="Y381" s="5">
        <v>4440.8680555555557</v>
      </c>
      <c r="Z381" s="5">
        <f t="shared" ref="Z381:AA381" si="169">Z380+0.0002</f>
        <v>4.0000000000000002E-4</v>
      </c>
      <c r="AA381" s="5">
        <f t="shared" si="169"/>
        <v>6.0000000000000006E-4</v>
      </c>
      <c r="AB381" s="4">
        <v>2</v>
      </c>
    </row>
    <row r="382" spans="1:28" x14ac:dyDescent="0.25">
      <c r="C382" s="4">
        <v>10</v>
      </c>
      <c r="D382" s="5">
        <v>103514517032.30527</v>
      </c>
      <c r="E382" s="5">
        <v>103514517032.30527</v>
      </c>
      <c r="F382" s="5">
        <v>0.26228634000886664</v>
      </c>
      <c r="G382" s="5">
        <v>0</v>
      </c>
      <c r="H382" s="5">
        <v>38879166666.666664</v>
      </c>
      <c r="I382" s="5">
        <v>41443958333.333336</v>
      </c>
      <c r="J382" s="5">
        <v>41443958333.333336</v>
      </c>
      <c r="K382" s="5">
        <v>-4.2053526506725989E-11</v>
      </c>
      <c r="L382" s="5">
        <v>-4.2053526506725989E-11</v>
      </c>
      <c r="M382" s="5">
        <v>0</v>
      </c>
      <c r="N382" s="5">
        <v>2.0000000000000001E-4</v>
      </c>
      <c r="O382" s="5">
        <v>37.831078643578614</v>
      </c>
      <c r="P382" s="5">
        <v>37.831078643578614</v>
      </c>
      <c r="Q382" s="5">
        <v>7.7871627700617324E-9</v>
      </c>
      <c r="R382" s="5">
        <v>0</v>
      </c>
      <c r="S382" s="5">
        <v>4.8169791666666635E-5</v>
      </c>
      <c r="T382" s="5">
        <v>1.1002395833333332E-5</v>
      </c>
      <c r="U382" s="5">
        <v>1.1002395833333332E-5</v>
      </c>
      <c r="V382" s="5">
        <v>0</v>
      </c>
      <c r="W382" s="5">
        <v>0</v>
      </c>
      <c r="X382" s="5">
        <v>2.3687152777777776</v>
      </c>
      <c r="Y382" s="5">
        <v>4503.3680555555557</v>
      </c>
      <c r="Z382" s="5">
        <f t="shared" ref="Z382:AA382" si="170">Z381+0.0002</f>
        <v>6.0000000000000006E-4</v>
      </c>
      <c r="AA382" s="5">
        <f t="shared" si="170"/>
        <v>8.0000000000000004E-4</v>
      </c>
      <c r="AB382" s="4">
        <v>2</v>
      </c>
    </row>
    <row r="383" spans="1:28" x14ac:dyDescent="0.25">
      <c r="C383" s="4">
        <v>11</v>
      </c>
      <c r="D383" s="5">
        <v>98203480117.849854</v>
      </c>
      <c r="E383" s="5">
        <v>98203480117.849854</v>
      </c>
      <c r="F383" s="5">
        <v>0.25384334152122368</v>
      </c>
      <c r="G383" s="5">
        <v>0</v>
      </c>
      <c r="H383" s="5">
        <v>37212500000</v>
      </c>
      <c r="I383" s="5">
        <v>41360625000</v>
      </c>
      <c r="J383" s="5">
        <v>41360625000</v>
      </c>
      <c r="K383" s="5">
        <v>-5.3142129408960904E-11</v>
      </c>
      <c r="L383" s="5">
        <v>-5.3142129408960904E-11</v>
      </c>
      <c r="M383" s="5">
        <v>0</v>
      </c>
      <c r="N383" s="5">
        <v>2.0000000000000001E-4</v>
      </c>
      <c r="O383" s="5">
        <v>18.603084415584412</v>
      </c>
      <c r="P383" s="5">
        <v>18.603084415584412</v>
      </c>
      <c r="Q383" s="5">
        <v>9.8208510416666686E-9</v>
      </c>
      <c r="R383" s="5">
        <v>0</v>
      </c>
      <c r="S383" s="5">
        <v>2.7753125000000005E-5</v>
      </c>
      <c r="T383" s="5">
        <v>1.1794062499999999E-5</v>
      </c>
      <c r="U383" s="5">
        <v>1.1794062499999999E-5</v>
      </c>
      <c r="V383" s="5">
        <v>0</v>
      </c>
      <c r="W383" s="5">
        <v>0</v>
      </c>
      <c r="X383" s="5">
        <v>2.4659374999999999</v>
      </c>
      <c r="Y383" s="5">
        <v>4572.8125</v>
      </c>
      <c r="Z383" s="5">
        <f t="shared" ref="Z383:AA383" si="171">Z382+0.0002</f>
        <v>8.0000000000000004E-4</v>
      </c>
      <c r="AA383" s="5">
        <f t="shared" si="171"/>
        <v>1E-3</v>
      </c>
      <c r="AB383" s="4">
        <v>2</v>
      </c>
    </row>
    <row r="384" spans="1:28" x14ac:dyDescent="0.25">
      <c r="B384" t="s">
        <v>187</v>
      </c>
      <c r="C384" s="11">
        <v>12</v>
      </c>
      <c r="D384" s="5">
        <v>92361339511.948837</v>
      </c>
      <c r="E384" s="5">
        <v>92361339511.948837</v>
      </c>
      <c r="F384" s="5">
        <v>0.24455604318481633</v>
      </c>
      <c r="G384" s="5">
        <v>0</v>
      </c>
      <c r="H384" s="5">
        <v>35379166666.666664</v>
      </c>
      <c r="I384" s="5">
        <v>41268958333.333336</v>
      </c>
      <c r="J384" s="5">
        <v>41268958333.333336</v>
      </c>
      <c r="K384" s="5">
        <v>-6.5339592601419346E-11</v>
      </c>
      <c r="L384" s="5">
        <v>-6.5339592601419346E-11</v>
      </c>
      <c r="M384" s="5">
        <v>0</v>
      </c>
      <c r="N384" s="5">
        <v>2.0000000000000001E-4</v>
      </c>
      <c r="O384" s="5">
        <v>-2.5477092352092754</v>
      </c>
      <c r="P384" s="5">
        <v>-2.5477092352092754</v>
      </c>
      <c r="Q384" s="5">
        <v>1.2057908140432104E-8</v>
      </c>
      <c r="R384" s="5">
        <v>0</v>
      </c>
      <c r="S384" s="5">
        <v>5.2947916666666367E-6</v>
      </c>
      <c r="T384" s="5">
        <v>1.2664895833333332E-5</v>
      </c>
      <c r="U384" s="5">
        <v>1.2664895833333332E-5</v>
      </c>
      <c r="V384" s="5">
        <v>0</v>
      </c>
      <c r="W384" s="5">
        <v>0</v>
      </c>
      <c r="X384" s="5">
        <v>2.5728819444444451</v>
      </c>
      <c r="Y384" s="5">
        <v>4649.2013888888887</v>
      </c>
      <c r="Z384" s="5">
        <f t="shared" ref="Z384:AA384" si="172">Z383+0.0002</f>
        <v>1E-3</v>
      </c>
      <c r="AA384" s="5">
        <f t="shared" si="172"/>
        <v>1.2000000000000001E-3</v>
      </c>
      <c r="AB384" s="4">
        <v>2</v>
      </c>
    </row>
    <row r="388" spans="1:28" x14ac:dyDescent="0.25">
      <c r="A388" s="15" t="s">
        <v>252</v>
      </c>
      <c r="C388" s="10" t="s">
        <v>27</v>
      </c>
      <c r="D388" s="10" t="s">
        <v>28</v>
      </c>
      <c r="E388" s="10" t="s">
        <v>29</v>
      </c>
      <c r="F388" s="10" t="s">
        <v>30</v>
      </c>
      <c r="G388" s="10" t="s">
        <v>31</v>
      </c>
      <c r="H388" s="10" t="s">
        <v>75</v>
      </c>
      <c r="I388" s="10" t="s">
        <v>32</v>
      </c>
      <c r="J388" s="10" t="s">
        <v>33</v>
      </c>
      <c r="K388" s="10" t="s">
        <v>34</v>
      </c>
      <c r="L388" s="10" t="s">
        <v>35</v>
      </c>
      <c r="M388" s="10" t="s">
        <v>36</v>
      </c>
      <c r="N388" s="10" t="s">
        <v>37</v>
      </c>
      <c r="O388" s="10" t="s">
        <v>38</v>
      </c>
      <c r="P388" s="10" t="s">
        <v>39</v>
      </c>
      <c r="Q388" s="10" t="s">
        <v>40</v>
      </c>
      <c r="R388" s="10" t="s">
        <v>41</v>
      </c>
      <c r="S388" s="10" t="s">
        <v>42</v>
      </c>
      <c r="T388" s="10" t="s">
        <v>76</v>
      </c>
      <c r="U388" s="10" t="s">
        <v>77</v>
      </c>
      <c r="V388" s="10" t="s">
        <v>78</v>
      </c>
      <c r="W388" s="10" t="s">
        <v>79</v>
      </c>
      <c r="X388" s="10" t="s">
        <v>80</v>
      </c>
      <c r="Y388" s="10" t="s">
        <v>43</v>
      </c>
      <c r="Z388" s="10" t="s">
        <v>44</v>
      </c>
      <c r="AA388" s="10" t="s">
        <v>45</v>
      </c>
      <c r="AB388" s="10" t="s">
        <v>46</v>
      </c>
    </row>
    <row r="389" spans="1:28" x14ac:dyDescent="0.25">
      <c r="A389" s="12" t="s">
        <v>85</v>
      </c>
      <c r="B389" t="s">
        <v>183</v>
      </c>
      <c r="C389" s="11">
        <v>1</v>
      </c>
      <c r="D389" s="5">
        <v>113869078370.26157</v>
      </c>
      <c r="E389" s="5">
        <v>113869078370.26157</v>
      </c>
      <c r="F389" s="5">
        <v>0.26653101118715516</v>
      </c>
      <c r="G389" s="5">
        <v>0</v>
      </c>
      <c r="H389" s="5">
        <v>41329166666.666664</v>
      </c>
      <c r="I389" s="5">
        <v>36628958333.333336</v>
      </c>
      <c r="J389" s="5">
        <v>36628958333.333336</v>
      </c>
      <c r="K389" s="5">
        <v>1.1837083598135788E-11</v>
      </c>
      <c r="L389" s="5">
        <v>1.1837083598135788E-11</v>
      </c>
      <c r="M389" s="5">
        <v>0</v>
      </c>
      <c r="N389" s="5">
        <v>2.0000000000000001E-4</v>
      </c>
      <c r="O389" s="5">
        <v>117.43497474747471</v>
      </c>
      <c r="P389" s="5">
        <v>117.43497474747471</v>
      </c>
      <c r="Q389" s="5">
        <v>-2.1058622299382719E-9</v>
      </c>
      <c r="R389" s="5">
        <v>0</v>
      </c>
      <c r="S389" s="5">
        <v>1.3169479166666665E-4</v>
      </c>
      <c r="T389" s="5">
        <v>6.1548958333333343E-6</v>
      </c>
      <c r="U389" s="5">
        <v>6.1548958333333343E-6</v>
      </c>
      <c r="V389" s="5">
        <v>0</v>
      </c>
      <c r="W389" s="5">
        <v>0</v>
      </c>
      <c r="X389" s="5">
        <v>1.6462152777777779</v>
      </c>
      <c r="Y389" s="5">
        <v>3635.8680555555557</v>
      </c>
      <c r="Z389" s="5">
        <v>-1.1999999999999999E-3</v>
      </c>
      <c r="AA389" s="5">
        <v>-1E-3</v>
      </c>
      <c r="AB389" s="4">
        <v>2</v>
      </c>
    </row>
    <row r="390" spans="1:28" x14ac:dyDescent="0.25">
      <c r="C390" s="4">
        <v>2</v>
      </c>
      <c r="D390" s="5">
        <v>113337974678.81601</v>
      </c>
      <c r="E390" s="5">
        <v>113337974678.81601</v>
      </c>
      <c r="F390" s="5">
        <v>0.26568671133839089</v>
      </c>
      <c r="G390" s="5">
        <v>0</v>
      </c>
      <c r="H390" s="5">
        <v>41162500000</v>
      </c>
      <c r="I390" s="5">
        <v>36620625000</v>
      </c>
      <c r="J390" s="5">
        <v>36620625000</v>
      </c>
      <c r="K390" s="5">
        <v>1.0728223307912294E-11</v>
      </c>
      <c r="L390" s="5">
        <v>1.0728223307912294E-11</v>
      </c>
      <c r="M390" s="5">
        <v>0</v>
      </c>
      <c r="N390" s="5">
        <v>2.0000000000000001E-4</v>
      </c>
      <c r="O390" s="5">
        <v>115.5121753246753</v>
      </c>
      <c r="P390" s="5">
        <v>115.5121753246753</v>
      </c>
      <c r="Q390" s="5">
        <v>-1.9024934027777779E-9</v>
      </c>
      <c r="R390" s="5">
        <v>0</v>
      </c>
      <c r="S390" s="5">
        <v>1.2965312500000002E-4</v>
      </c>
      <c r="T390" s="5">
        <v>6.2340625000000001E-6</v>
      </c>
      <c r="U390" s="5">
        <v>6.2340625000000001E-6</v>
      </c>
      <c r="V390" s="5">
        <v>0</v>
      </c>
      <c r="W390" s="5">
        <v>0</v>
      </c>
      <c r="X390" s="5">
        <v>1.6559374999999998</v>
      </c>
      <c r="Y390" s="5">
        <v>3642.8125</v>
      </c>
      <c r="Z390" s="5">
        <f t="shared" ref="Z390:AA390" si="173">Z389+0.0002</f>
        <v>-9.999999999999998E-4</v>
      </c>
      <c r="AA390" s="5">
        <f t="shared" si="173"/>
        <v>-8.0000000000000004E-4</v>
      </c>
      <c r="AB390" s="4">
        <v>2</v>
      </c>
    </row>
    <row r="391" spans="1:28" x14ac:dyDescent="0.25">
      <c r="C391" s="4">
        <v>3</v>
      </c>
      <c r="D391" s="5">
        <v>112275767295.92493</v>
      </c>
      <c r="E391" s="5">
        <v>112275767295.92493</v>
      </c>
      <c r="F391" s="5">
        <v>0.26399811164086229</v>
      </c>
      <c r="G391" s="5">
        <v>0</v>
      </c>
      <c r="H391" s="5">
        <v>40829166666.666664</v>
      </c>
      <c r="I391" s="5">
        <v>36603958333.333336</v>
      </c>
      <c r="J391" s="5">
        <v>36603958333.333336</v>
      </c>
      <c r="K391" s="5">
        <v>8.5105027274653085E-12</v>
      </c>
      <c r="L391" s="5">
        <v>8.5105027274653085E-12</v>
      </c>
      <c r="M391" s="5">
        <v>0</v>
      </c>
      <c r="N391" s="5">
        <v>2.0000000000000001E-4</v>
      </c>
      <c r="O391" s="5">
        <v>111.66657647907644</v>
      </c>
      <c r="P391" s="5">
        <v>111.66657647907644</v>
      </c>
      <c r="Q391" s="5">
        <v>-1.4957557484567902E-9</v>
      </c>
      <c r="R391" s="5">
        <v>0</v>
      </c>
      <c r="S391" s="5">
        <v>1.2556979166666665E-4</v>
      </c>
      <c r="T391" s="5">
        <v>6.3923958333333333E-6</v>
      </c>
      <c r="U391" s="5">
        <v>6.3923958333333333E-6</v>
      </c>
      <c r="V391" s="5">
        <v>0</v>
      </c>
      <c r="W391" s="5">
        <v>0</v>
      </c>
      <c r="X391" s="5">
        <v>1.6753819444444447</v>
      </c>
      <c r="Y391" s="5">
        <v>3656.7013888888887</v>
      </c>
      <c r="Z391" s="5">
        <f t="shared" ref="Z391:AA391" si="174">Z390+0.0002</f>
        <v>-7.9999999999999982E-4</v>
      </c>
      <c r="AA391" s="5">
        <f t="shared" si="174"/>
        <v>-6.0000000000000006E-4</v>
      </c>
      <c r="AB391" s="4">
        <v>2</v>
      </c>
    </row>
    <row r="392" spans="1:28" x14ac:dyDescent="0.25">
      <c r="C392" s="4">
        <v>4</v>
      </c>
      <c r="D392" s="5">
        <v>110682456221.58829</v>
      </c>
      <c r="E392" s="5">
        <v>110682456221.58829</v>
      </c>
      <c r="F392" s="5">
        <v>0.26146521209456935</v>
      </c>
      <c r="G392" s="5">
        <v>0</v>
      </c>
      <c r="H392" s="5">
        <v>40329166666.666664</v>
      </c>
      <c r="I392" s="5">
        <v>36578958333.333336</v>
      </c>
      <c r="J392" s="5">
        <v>36578958333.333336</v>
      </c>
      <c r="K392" s="5">
        <v>5.1839218567948314E-12</v>
      </c>
      <c r="L392" s="5">
        <v>5.1839218567948314E-12</v>
      </c>
      <c r="M392" s="5">
        <v>0</v>
      </c>
      <c r="N392" s="5">
        <v>2.0000000000000001E-4</v>
      </c>
      <c r="O392" s="5">
        <v>105.8981782106782</v>
      </c>
      <c r="P392" s="5">
        <v>105.8981782106782</v>
      </c>
      <c r="Q392" s="5">
        <v>-8.8564926697530882E-10</v>
      </c>
      <c r="R392" s="5">
        <v>0</v>
      </c>
      <c r="S392" s="5">
        <v>1.1944479166666666E-4</v>
      </c>
      <c r="T392" s="5">
        <v>6.629895833333334E-6</v>
      </c>
      <c r="U392" s="5">
        <v>6.629895833333334E-6</v>
      </c>
      <c r="V392" s="5">
        <v>0</v>
      </c>
      <c r="W392" s="5">
        <v>0</v>
      </c>
      <c r="X392" s="5">
        <v>1.704548611111111</v>
      </c>
      <c r="Y392" s="5">
        <v>3677.5347222222226</v>
      </c>
      <c r="Z392" s="5">
        <f t="shared" ref="Z392:AA392" si="175">Z391+0.0002</f>
        <v>-5.9999999999999984E-4</v>
      </c>
      <c r="AA392" s="5">
        <f t="shared" si="175"/>
        <v>-4.0000000000000007E-4</v>
      </c>
      <c r="AB392" s="4">
        <v>2</v>
      </c>
    </row>
    <row r="393" spans="1:28" x14ac:dyDescent="0.25">
      <c r="C393" s="4">
        <v>5</v>
      </c>
      <c r="D393" s="5">
        <v>108558041455.80612</v>
      </c>
      <c r="E393" s="5">
        <v>108558041455.80612</v>
      </c>
      <c r="F393" s="5">
        <v>0.25808801269951215</v>
      </c>
      <c r="G393" s="5">
        <v>0</v>
      </c>
      <c r="H393" s="5">
        <v>39662500000</v>
      </c>
      <c r="I393" s="5">
        <v>36545625000</v>
      </c>
      <c r="J393" s="5">
        <v>36545625000</v>
      </c>
      <c r="K393" s="5">
        <v>7.4848069590085726E-13</v>
      </c>
      <c r="L393" s="5">
        <v>7.4848069590085726E-13</v>
      </c>
      <c r="M393" s="5">
        <v>0</v>
      </c>
      <c r="N393" s="5">
        <v>2.0000000000000001E-4</v>
      </c>
      <c r="O393" s="5">
        <v>98.20698051948051</v>
      </c>
      <c r="P393" s="5">
        <v>98.20698051948051</v>
      </c>
      <c r="Q393" s="5">
        <v>-7.2173958333333254E-11</v>
      </c>
      <c r="R393" s="5">
        <v>0</v>
      </c>
      <c r="S393" s="5">
        <v>1.11278125E-4</v>
      </c>
      <c r="T393" s="5">
        <v>6.9465625000000005E-6</v>
      </c>
      <c r="U393" s="5">
        <v>6.9465625000000005E-6</v>
      </c>
      <c r="V393" s="5">
        <v>0</v>
      </c>
      <c r="W393" s="5">
        <v>0</v>
      </c>
      <c r="X393" s="5">
        <v>1.7434375000000002</v>
      </c>
      <c r="Y393" s="5">
        <v>3705.3125</v>
      </c>
      <c r="Z393" s="5">
        <f t="shared" ref="Z393:AA393" si="176">Z392+0.0002</f>
        <v>-3.9999999999999986E-4</v>
      </c>
      <c r="AA393" s="5">
        <f t="shared" si="176"/>
        <v>-2.0000000000000006E-4</v>
      </c>
      <c r="AB393" s="4">
        <v>2</v>
      </c>
    </row>
    <row r="394" spans="1:28" x14ac:dyDescent="0.25">
      <c r="C394" s="4">
        <v>6</v>
      </c>
      <c r="D394" s="5">
        <v>105902522998.5784</v>
      </c>
      <c r="E394" s="5">
        <v>105902522998.5784</v>
      </c>
      <c r="F394" s="5">
        <v>0.25386651345569067</v>
      </c>
      <c r="G394" s="5">
        <v>0</v>
      </c>
      <c r="H394" s="5">
        <v>38829166666.666664</v>
      </c>
      <c r="I394" s="5">
        <v>36503958333.333336</v>
      </c>
      <c r="J394" s="5">
        <v>36503958333.333336</v>
      </c>
      <c r="K394" s="5">
        <v>-4.7958207552166049E-12</v>
      </c>
      <c r="L394" s="5">
        <v>-4.7958207552166049E-12</v>
      </c>
      <c r="M394" s="5">
        <v>0</v>
      </c>
      <c r="N394" s="5">
        <v>2.0000000000000001E-4</v>
      </c>
      <c r="O394" s="5">
        <v>88.59298340548338</v>
      </c>
      <c r="P394" s="5">
        <v>88.59298340548338</v>
      </c>
      <c r="Q394" s="5">
        <v>9.4467017746913564E-10</v>
      </c>
      <c r="R394" s="5">
        <v>0</v>
      </c>
      <c r="S394" s="5">
        <v>1.0106979166666666E-4</v>
      </c>
      <c r="T394" s="5">
        <v>7.3423958333333327E-6</v>
      </c>
      <c r="U394" s="5">
        <v>7.3423958333333327E-6</v>
      </c>
      <c r="V394" s="5">
        <v>0</v>
      </c>
      <c r="W394" s="5">
        <v>0</v>
      </c>
      <c r="X394" s="5">
        <v>1.7920486111111114</v>
      </c>
      <c r="Y394" s="5">
        <v>3740.0347222222226</v>
      </c>
      <c r="Z394" s="5">
        <f t="shared" ref="Z394:AA394" si="177">Z393+0.0002</f>
        <v>-1.9999999999999985E-4</v>
      </c>
      <c r="AA394" s="5">
        <f t="shared" si="177"/>
        <v>0</v>
      </c>
      <c r="AB394" s="4">
        <v>2</v>
      </c>
    </row>
    <row r="395" spans="1:28" x14ac:dyDescent="0.25">
      <c r="C395" s="4">
        <v>7</v>
      </c>
      <c r="D395" s="5">
        <v>102715900849.90512</v>
      </c>
      <c r="E395" s="5">
        <v>102715900849.90512</v>
      </c>
      <c r="F395" s="5">
        <v>0.24880071436310486</v>
      </c>
      <c r="G395" s="5">
        <v>0</v>
      </c>
      <c r="H395" s="5">
        <v>37829166666.666664</v>
      </c>
      <c r="I395" s="5">
        <v>36453958333.333336</v>
      </c>
      <c r="J395" s="5">
        <v>36453958333.333336</v>
      </c>
      <c r="K395" s="5">
        <v>-1.1448982496557561E-11</v>
      </c>
      <c r="L395" s="5">
        <v>-1.1448982496557561E-11</v>
      </c>
      <c r="M395" s="5">
        <v>0</v>
      </c>
      <c r="N395" s="5">
        <v>2.0000000000000001E-4</v>
      </c>
      <c r="O395" s="5">
        <v>77.056186868686865</v>
      </c>
      <c r="P395" s="5">
        <v>77.056186868686865</v>
      </c>
      <c r="Q395" s="5">
        <v>2.1648831404320989E-9</v>
      </c>
      <c r="R395" s="5">
        <v>0</v>
      </c>
      <c r="S395" s="5">
        <v>8.8819791666666661E-5</v>
      </c>
      <c r="T395" s="5">
        <v>7.8173958333333315E-6</v>
      </c>
      <c r="U395" s="5">
        <v>7.8173958333333315E-6</v>
      </c>
      <c r="V395" s="5">
        <v>0</v>
      </c>
      <c r="W395" s="5">
        <v>0</v>
      </c>
      <c r="X395" s="5">
        <v>1.8503819444444445</v>
      </c>
      <c r="Y395" s="5">
        <v>3781.7013888888887</v>
      </c>
      <c r="Z395" s="5">
        <f t="shared" ref="Z395:AA395" si="178">Z394+0.0002</f>
        <v>0</v>
      </c>
      <c r="AA395" s="5">
        <f t="shared" si="178"/>
        <v>2.0000000000000001E-4</v>
      </c>
      <c r="AB395" s="4">
        <v>2</v>
      </c>
    </row>
    <row r="396" spans="1:28" x14ac:dyDescent="0.25">
      <c r="C396" s="4">
        <v>8</v>
      </c>
      <c r="D396" s="5">
        <v>98998175009.786316</v>
      </c>
      <c r="E396" s="5">
        <v>98998175009.786316</v>
      </c>
      <c r="F396" s="5">
        <v>0.24289061542175472</v>
      </c>
      <c r="G396" s="5">
        <v>0</v>
      </c>
      <c r="H396" s="5">
        <v>36662500000</v>
      </c>
      <c r="I396" s="5">
        <v>36395625000</v>
      </c>
      <c r="J396" s="5">
        <v>36395625000</v>
      </c>
      <c r="K396" s="5">
        <v>-1.921100452812202E-11</v>
      </c>
      <c r="L396" s="5">
        <v>-1.921100452812202E-11</v>
      </c>
      <c r="M396" s="5">
        <v>0</v>
      </c>
      <c r="N396" s="5">
        <v>2.0000000000000001E-4</v>
      </c>
      <c r="O396" s="5">
        <v>63.596590909090899</v>
      </c>
      <c r="P396" s="5">
        <v>63.596590909090899</v>
      </c>
      <c r="Q396" s="5">
        <v>3.5884649305555565E-9</v>
      </c>
      <c r="R396" s="5">
        <v>0</v>
      </c>
      <c r="S396" s="5">
        <v>7.4528125000000004E-5</v>
      </c>
      <c r="T396" s="5">
        <v>8.3715625000000004E-6</v>
      </c>
      <c r="U396" s="5">
        <v>8.3715625000000004E-6</v>
      </c>
      <c r="V396" s="5">
        <v>0</v>
      </c>
      <c r="W396" s="5">
        <v>0</v>
      </c>
      <c r="X396" s="5">
        <v>1.9184375</v>
      </c>
      <c r="Y396" s="5">
        <v>3830.3125</v>
      </c>
      <c r="Z396" s="5">
        <f t="shared" ref="Z396:AA396" si="179">Z395+0.0002</f>
        <v>2.0000000000000001E-4</v>
      </c>
      <c r="AA396" s="5">
        <f t="shared" si="179"/>
        <v>4.0000000000000002E-4</v>
      </c>
      <c r="AB396" s="4">
        <v>2</v>
      </c>
    </row>
    <row r="397" spans="1:28" x14ac:dyDescent="0.25">
      <c r="C397" s="4">
        <v>9</v>
      </c>
      <c r="D397" s="5">
        <v>94749345478.221954</v>
      </c>
      <c r="E397" s="5">
        <v>94749345478.221954</v>
      </c>
      <c r="F397" s="5">
        <v>0.23613621663164031</v>
      </c>
      <c r="G397" s="5">
        <v>0</v>
      </c>
      <c r="H397" s="5">
        <v>35329166666.666664</v>
      </c>
      <c r="I397" s="5">
        <v>36328958333.333336</v>
      </c>
      <c r="J397" s="5">
        <v>36328958333.333336</v>
      </c>
      <c r="K397" s="5">
        <v>-2.8081886849909964E-11</v>
      </c>
      <c r="L397" s="5">
        <v>-2.8081886849909964E-11</v>
      </c>
      <c r="M397" s="5">
        <v>0</v>
      </c>
      <c r="N397" s="5">
        <v>2.0000000000000001E-4</v>
      </c>
      <c r="O397" s="5">
        <v>48.214195526695512</v>
      </c>
      <c r="P397" s="5">
        <v>48.214195526695512</v>
      </c>
      <c r="Q397" s="5">
        <v>5.2154155478395085E-9</v>
      </c>
      <c r="R397" s="5">
        <v>0</v>
      </c>
      <c r="S397" s="5">
        <v>5.8194791666666662E-5</v>
      </c>
      <c r="T397" s="5">
        <v>9.0048958333333333E-6</v>
      </c>
      <c r="U397" s="5">
        <v>9.0048958333333333E-6</v>
      </c>
      <c r="V397" s="5">
        <v>0</v>
      </c>
      <c r="W397" s="5">
        <v>0</v>
      </c>
      <c r="X397" s="5">
        <v>1.996215277777778</v>
      </c>
      <c r="Y397" s="5">
        <v>3885.8680555555557</v>
      </c>
      <c r="Z397" s="5">
        <f t="shared" ref="Z397:AA397" si="180">Z396+0.0002</f>
        <v>4.0000000000000002E-4</v>
      </c>
      <c r="AA397" s="5">
        <f t="shared" si="180"/>
        <v>6.0000000000000006E-4</v>
      </c>
      <c r="AB397" s="4">
        <v>2</v>
      </c>
    </row>
    <row r="398" spans="1:28" x14ac:dyDescent="0.25">
      <c r="C398" s="4">
        <v>10</v>
      </c>
      <c r="D398" s="5">
        <v>89969412255.212036</v>
      </c>
      <c r="E398" s="5">
        <v>89969412255.212036</v>
      </c>
      <c r="F398" s="5">
        <v>0.22853751799276156</v>
      </c>
      <c r="G398" s="5">
        <v>0</v>
      </c>
      <c r="H398" s="5">
        <v>33829166666.666664</v>
      </c>
      <c r="I398" s="5">
        <v>36253958333.333336</v>
      </c>
      <c r="J398" s="5">
        <v>36253958333.333336</v>
      </c>
      <c r="K398" s="5">
        <v>-3.8061629461921415E-11</v>
      </c>
      <c r="L398" s="5">
        <v>-3.8061629461921415E-11</v>
      </c>
      <c r="M398" s="5">
        <v>0</v>
      </c>
      <c r="N398" s="5">
        <v>2.0000000000000001E-4</v>
      </c>
      <c r="O398" s="5">
        <v>30.909000721500696</v>
      </c>
      <c r="P398" s="5">
        <v>30.909000721500696</v>
      </c>
      <c r="Q398" s="5">
        <v>7.045734992283954E-9</v>
      </c>
      <c r="R398" s="5">
        <v>0</v>
      </c>
      <c r="S398" s="5">
        <v>3.9819791666666636E-5</v>
      </c>
      <c r="T398" s="5">
        <v>9.7173958333333337E-6</v>
      </c>
      <c r="U398" s="5">
        <v>9.7173958333333337E-6</v>
      </c>
      <c r="V398" s="5">
        <v>0</v>
      </c>
      <c r="W398" s="5">
        <v>0</v>
      </c>
      <c r="X398" s="5">
        <v>2.0837152777777779</v>
      </c>
      <c r="Y398" s="5">
        <v>3948.3680555555557</v>
      </c>
      <c r="Z398" s="5">
        <f t="shared" ref="Z398:AA398" si="181">Z397+0.0002</f>
        <v>6.0000000000000006E-4</v>
      </c>
      <c r="AA398" s="5">
        <f t="shared" si="181"/>
        <v>8.0000000000000004E-4</v>
      </c>
      <c r="AB398" s="4">
        <v>2</v>
      </c>
    </row>
    <row r="399" spans="1:28" x14ac:dyDescent="0.25">
      <c r="C399" s="4">
        <v>11</v>
      </c>
      <c r="D399" s="5">
        <v>84658375340.756622</v>
      </c>
      <c r="E399" s="5">
        <v>84658375340.756622</v>
      </c>
      <c r="F399" s="5">
        <v>0.2200945195051186</v>
      </c>
      <c r="G399" s="5">
        <v>0</v>
      </c>
      <c r="H399" s="5">
        <v>32162500000</v>
      </c>
      <c r="I399" s="5">
        <v>36170625000</v>
      </c>
      <c r="J399" s="5">
        <v>36170625000</v>
      </c>
      <c r="K399" s="5">
        <v>-4.915023236415633E-11</v>
      </c>
      <c r="L399" s="5">
        <v>-4.915023236415633E-11</v>
      </c>
      <c r="M399" s="5">
        <v>0</v>
      </c>
      <c r="N399" s="5">
        <v>2.0000000000000001E-4</v>
      </c>
      <c r="O399" s="5">
        <v>11.681006493506494</v>
      </c>
      <c r="P399" s="5">
        <v>11.681006493506494</v>
      </c>
      <c r="Q399" s="5">
        <v>9.0794232638888901E-9</v>
      </c>
      <c r="R399" s="5">
        <v>0</v>
      </c>
      <c r="S399" s="5">
        <v>1.9403125000000006E-5</v>
      </c>
      <c r="T399" s="5">
        <v>1.0509062499999998E-5</v>
      </c>
      <c r="U399" s="5">
        <v>1.0509062499999998E-5</v>
      </c>
      <c r="V399" s="5">
        <v>0</v>
      </c>
      <c r="W399" s="5">
        <v>0</v>
      </c>
      <c r="X399" s="5">
        <v>2.1809375000000002</v>
      </c>
      <c r="Y399" s="5">
        <v>4017.8125</v>
      </c>
      <c r="Z399" s="5">
        <f t="shared" ref="Z399:AA399" si="182">Z398+0.0002</f>
        <v>8.0000000000000004E-4</v>
      </c>
      <c r="AA399" s="5">
        <f t="shared" si="182"/>
        <v>1E-3</v>
      </c>
      <c r="AB399" s="4">
        <v>2</v>
      </c>
    </row>
    <row r="400" spans="1:28" x14ac:dyDescent="0.25">
      <c r="B400" t="s">
        <v>187</v>
      </c>
      <c r="C400" s="11">
        <v>12</v>
      </c>
      <c r="D400" s="5">
        <v>78816234734.855606</v>
      </c>
      <c r="E400" s="5">
        <v>78816234734.855606</v>
      </c>
      <c r="F400" s="5">
        <v>0.21080722116871126</v>
      </c>
      <c r="G400" s="5">
        <v>0</v>
      </c>
      <c r="H400" s="5">
        <v>30329166666.666664</v>
      </c>
      <c r="I400" s="5">
        <v>36078958333.333336</v>
      </c>
      <c r="J400" s="5">
        <v>36078958333.333336</v>
      </c>
      <c r="K400" s="5">
        <v>-6.1347695556614766E-11</v>
      </c>
      <c r="L400" s="5">
        <v>-6.1347695556614766E-11</v>
      </c>
      <c r="M400" s="5">
        <v>0</v>
      </c>
      <c r="N400" s="5">
        <v>2.0000000000000001E-4</v>
      </c>
      <c r="O400" s="5">
        <v>-9.4697871572871932</v>
      </c>
      <c r="P400" s="5">
        <v>-9.4697871572871932</v>
      </c>
      <c r="Q400" s="5">
        <v>1.1316480362654325E-8</v>
      </c>
      <c r="R400" s="5">
        <v>0</v>
      </c>
      <c r="S400" s="5">
        <v>-3.055208333333363E-6</v>
      </c>
      <c r="T400" s="5">
        <v>1.1379895833333333E-5</v>
      </c>
      <c r="U400" s="5">
        <v>1.1379895833333333E-5</v>
      </c>
      <c r="V400" s="5">
        <v>0</v>
      </c>
      <c r="W400" s="5">
        <v>0</v>
      </c>
      <c r="X400" s="5">
        <v>2.2878819444444449</v>
      </c>
      <c r="Y400" s="5">
        <v>4094.2013888888887</v>
      </c>
      <c r="Z400" s="5">
        <f t="shared" ref="Z400:AA400" si="183">Z399+0.0002</f>
        <v>1E-3</v>
      </c>
      <c r="AA400" s="5">
        <f t="shared" si="183"/>
        <v>1.2000000000000001E-3</v>
      </c>
      <c r="AB400" s="4">
        <v>2</v>
      </c>
    </row>
    <row r="401" spans="1:28" x14ac:dyDescent="0.25">
      <c r="C401" s="11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8" x14ac:dyDescent="0.25">
      <c r="C402" s="11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8" x14ac:dyDescent="0.25">
      <c r="A403" s="15" t="s">
        <v>253</v>
      </c>
      <c r="C403" s="10" t="s">
        <v>27</v>
      </c>
      <c r="D403" s="10" t="s">
        <v>28</v>
      </c>
      <c r="E403" s="10" t="s">
        <v>29</v>
      </c>
      <c r="F403" s="10" t="s">
        <v>30</v>
      </c>
      <c r="G403" s="10" t="s">
        <v>31</v>
      </c>
      <c r="H403" s="10" t="s">
        <v>47</v>
      </c>
      <c r="I403" s="10" t="s">
        <v>32</v>
      </c>
      <c r="J403" s="10" t="s">
        <v>33</v>
      </c>
      <c r="K403" s="10" t="s">
        <v>34</v>
      </c>
      <c r="L403" s="10" t="s">
        <v>35</v>
      </c>
      <c r="M403" s="10" t="s">
        <v>36</v>
      </c>
      <c r="N403" s="10" t="s">
        <v>37</v>
      </c>
      <c r="O403" s="10" t="s">
        <v>38</v>
      </c>
      <c r="P403" s="10" t="s">
        <v>39</v>
      </c>
      <c r="Q403" s="10" t="s">
        <v>40</v>
      </c>
      <c r="R403" s="10" t="s">
        <v>41</v>
      </c>
      <c r="S403" s="10" t="s">
        <v>42</v>
      </c>
      <c r="T403" s="10" t="s">
        <v>48</v>
      </c>
      <c r="U403" s="10" t="s">
        <v>77</v>
      </c>
      <c r="V403" s="10" t="s">
        <v>78</v>
      </c>
      <c r="W403" s="10" t="s">
        <v>79</v>
      </c>
      <c r="X403" s="10" t="s">
        <v>49</v>
      </c>
      <c r="Y403" s="10" t="s">
        <v>43</v>
      </c>
      <c r="Z403" s="10" t="s">
        <v>44</v>
      </c>
      <c r="AA403" s="10" t="s">
        <v>45</v>
      </c>
      <c r="AB403" s="10" t="s">
        <v>46</v>
      </c>
    </row>
    <row r="404" spans="1:28" x14ac:dyDescent="0.25">
      <c r="A404" s="12" t="s">
        <v>181</v>
      </c>
      <c r="B404" t="s">
        <v>183</v>
      </c>
      <c r="C404" s="11">
        <v>1</v>
      </c>
      <c r="D404" s="5">
        <v>100323973593.16832</v>
      </c>
      <c r="E404" s="5">
        <v>100323973593.16832</v>
      </c>
      <c r="F404" s="5">
        <v>0.23278218917105001</v>
      </c>
      <c r="G404" s="5">
        <v>0</v>
      </c>
      <c r="H404" s="5">
        <v>36279166666.666664</v>
      </c>
      <c r="I404" s="5">
        <v>31438958333.333336</v>
      </c>
      <c r="J404" s="5">
        <v>31438958333.333336</v>
      </c>
      <c r="K404" s="5">
        <v>1.5828980642940366E-11</v>
      </c>
      <c r="L404" s="5">
        <v>1.5828980642940366E-11</v>
      </c>
      <c r="M404" s="5">
        <v>0</v>
      </c>
      <c r="N404" s="5">
        <v>2.0000000000000001E-4</v>
      </c>
      <c r="O404" s="5">
        <v>110.51289682539679</v>
      </c>
      <c r="P404" s="5">
        <v>110.51289682539679</v>
      </c>
      <c r="Q404" s="5">
        <v>-2.8472900077160499E-9</v>
      </c>
      <c r="R404" s="5">
        <v>0</v>
      </c>
      <c r="S404" s="5">
        <v>1.2334479166666666E-4</v>
      </c>
      <c r="T404" s="5">
        <v>4.8698958333333339E-6</v>
      </c>
      <c r="U404" s="5">
        <v>4.8698958333333339E-6</v>
      </c>
      <c r="V404" s="5">
        <v>0</v>
      </c>
      <c r="W404" s="5">
        <v>0</v>
      </c>
      <c r="X404" s="5">
        <v>1.3612152777777777</v>
      </c>
      <c r="Y404" s="5">
        <v>3080.8680555555557</v>
      </c>
      <c r="Z404" s="5">
        <v>-1.1999999999999999E-3</v>
      </c>
      <c r="AA404" s="5">
        <v>-1E-3</v>
      </c>
      <c r="AB404" s="4">
        <v>2</v>
      </c>
    </row>
    <row r="405" spans="1:28" x14ac:dyDescent="0.25">
      <c r="C405" s="4">
        <v>2</v>
      </c>
      <c r="D405" s="5">
        <v>99792869901.722763</v>
      </c>
      <c r="E405" s="5">
        <v>99792869901.722763</v>
      </c>
      <c r="F405" s="5">
        <v>0.23193788932228573</v>
      </c>
      <c r="G405" s="5">
        <v>0</v>
      </c>
      <c r="H405" s="5">
        <v>36112500000</v>
      </c>
      <c r="I405" s="5">
        <v>31430625000</v>
      </c>
      <c r="J405" s="5">
        <v>31430625000</v>
      </c>
      <c r="K405" s="5">
        <v>1.472012035271687E-11</v>
      </c>
      <c r="L405" s="5">
        <v>1.472012035271687E-11</v>
      </c>
      <c r="M405" s="5">
        <v>0</v>
      </c>
      <c r="N405" s="5">
        <v>2.0000000000000001E-4</v>
      </c>
      <c r="O405" s="5">
        <v>108.59009740259738</v>
      </c>
      <c r="P405" s="5">
        <v>108.59009740259738</v>
      </c>
      <c r="Q405" s="5">
        <v>-2.643921180555556E-9</v>
      </c>
      <c r="R405" s="5">
        <v>0</v>
      </c>
      <c r="S405" s="5">
        <v>1.21303125E-4</v>
      </c>
      <c r="T405" s="5">
        <v>4.9490624999999997E-6</v>
      </c>
      <c r="U405" s="5">
        <v>4.9490624999999997E-6</v>
      </c>
      <c r="V405" s="5">
        <v>0</v>
      </c>
      <c r="W405" s="5">
        <v>0</v>
      </c>
      <c r="X405" s="5">
        <v>1.3709374999999997</v>
      </c>
      <c r="Y405" s="5">
        <v>3087.8125</v>
      </c>
      <c r="Z405" s="5">
        <f t="shared" ref="Z405:AA405" si="184">Z404+0.0002</f>
        <v>-9.999999999999998E-4</v>
      </c>
      <c r="AA405" s="5">
        <f t="shared" si="184"/>
        <v>-8.0000000000000004E-4</v>
      </c>
      <c r="AB405" s="4">
        <v>2</v>
      </c>
    </row>
    <row r="406" spans="1:28" x14ac:dyDescent="0.25">
      <c r="C406" s="4">
        <v>3</v>
      </c>
      <c r="D406" s="5">
        <v>98730662518.83168</v>
      </c>
      <c r="E406" s="5">
        <v>98730662518.83168</v>
      </c>
      <c r="F406" s="5">
        <v>0.23024928962475713</v>
      </c>
      <c r="G406" s="5">
        <v>0</v>
      </c>
      <c r="H406" s="5">
        <v>35779166666.666664</v>
      </c>
      <c r="I406" s="5">
        <v>31413958333.333336</v>
      </c>
      <c r="J406" s="5">
        <v>31413958333.333336</v>
      </c>
      <c r="K406" s="5">
        <v>1.2502399772269886E-11</v>
      </c>
      <c r="L406" s="5">
        <v>1.2502399772269886E-11</v>
      </c>
      <c r="M406" s="5">
        <v>0</v>
      </c>
      <c r="N406" s="5">
        <v>2.0000000000000001E-4</v>
      </c>
      <c r="O406" s="5">
        <v>104.74449855699852</v>
      </c>
      <c r="P406" s="5">
        <v>104.74449855699852</v>
      </c>
      <c r="Q406" s="5">
        <v>-2.2371835262345685E-9</v>
      </c>
      <c r="R406" s="5">
        <v>0</v>
      </c>
      <c r="S406" s="5">
        <v>1.1721979166666666E-4</v>
      </c>
      <c r="T406" s="5">
        <v>5.1073958333333329E-6</v>
      </c>
      <c r="U406" s="5">
        <v>5.1073958333333329E-6</v>
      </c>
      <c r="V406" s="5">
        <v>0</v>
      </c>
      <c r="W406" s="5">
        <v>0</v>
      </c>
      <c r="X406" s="5">
        <v>1.3903819444444445</v>
      </c>
      <c r="Y406" s="5">
        <v>3101.7013888888887</v>
      </c>
      <c r="Z406" s="5">
        <f t="shared" ref="Z406:AA406" si="185">Z405+0.0002</f>
        <v>-7.9999999999999982E-4</v>
      </c>
      <c r="AA406" s="5">
        <f t="shared" si="185"/>
        <v>-6.0000000000000006E-4</v>
      </c>
      <c r="AB406" s="4">
        <v>2</v>
      </c>
    </row>
    <row r="407" spans="1:28" x14ac:dyDescent="0.25">
      <c r="C407" s="4">
        <v>4</v>
      </c>
      <c r="D407" s="5">
        <v>97137351444.495041</v>
      </c>
      <c r="E407" s="5">
        <v>97137351444.495041</v>
      </c>
      <c r="F407" s="5">
        <v>0.2277163900784642</v>
      </c>
      <c r="G407" s="5">
        <v>0</v>
      </c>
      <c r="H407" s="5">
        <v>35279166666.666664</v>
      </c>
      <c r="I407" s="5">
        <v>31388958333.333336</v>
      </c>
      <c r="J407" s="5">
        <v>31388958333.333336</v>
      </c>
      <c r="K407" s="5">
        <v>9.1758189015994064E-12</v>
      </c>
      <c r="L407" s="5">
        <v>9.1758189015994064E-12</v>
      </c>
      <c r="M407" s="5">
        <v>0</v>
      </c>
      <c r="N407" s="5">
        <v>2.0000000000000001E-4</v>
      </c>
      <c r="O407" s="5">
        <v>98.976100288600264</v>
      </c>
      <c r="P407" s="5">
        <v>98.976100288600264</v>
      </c>
      <c r="Q407" s="5">
        <v>-1.6270770447530869E-9</v>
      </c>
      <c r="R407" s="5">
        <v>0</v>
      </c>
      <c r="S407" s="5">
        <v>1.1109479166666666E-4</v>
      </c>
      <c r="T407" s="5">
        <v>5.3448958333333336E-6</v>
      </c>
      <c r="U407" s="5">
        <v>5.3448958333333336E-6</v>
      </c>
      <c r="V407" s="5">
        <v>0</v>
      </c>
      <c r="W407" s="5">
        <v>0</v>
      </c>
      <c r="X407" s="5">
        <v>1.4195486111111109</v>
      </c>
      <c r="Y407" s="5">
        <v>3122.5347222222226</v>
      </c>
      <c r="Z407" s="5">
        <f t="shared" ref="Z407:AA407" si="186">Z406+0.0002</f>
        <v>-5.9999999999999984E-4</v>
      </c>
      <c r="AA407" s="5">
        <f t="shared" si="186"/>
        <v>-4.0000000000000007E-4</v>
      </c>
      <c r="AB407" s="4">
        <v>2</v>
      </c>
    </row>
    <row r="408" spans="1:28" x14ac:dyDescent="0.25">
      <c r="C408" s="4">
        <v>5</v>
      </c>
      <c r="D408" s="5">
        <v>95012936678.712875</v>
      </c>
      <c r="E408" s="5">
        <v>95012936678.712875</v>
      </c>
      <c r="F408" s="5">
        <v>0.22433919068340699</v>
      </c>
      <c r="G408" s="5">
        <v>0</v>
      </c>
      <c r="H408" s="5">
        <v>34612500000</v>
      </c>
      <c r="I408" s="5">
        <v>31355625000</v>
      </c>
      <c r="J408" s="5">
        <v>31355625000</v>
      </c>
      <c r="K408" s="5">
        <v>4.7403777407054331E-12</v>
      </c>
      <c r="L408" s="5">
        <v>4.7403777407054331E-12</v>
      </c>
      <c r="M408" s="5">
        <v>0</v>
      </c>
      <c r="N408" s="5">
        <v>2.0000000000000001E-4</v>
      </c>
      <c r="O408" s="5">
        <v>91.284902597402578</v>
      </c>
      <c r="P408" s="5">
        <v>91.284902597402578</v>
      </c>
      <c r="Q408" s="5">
        <v>-8.1360173611111133E-10</v>
      </c>
      <c r="R408" s="5">
        <v>0</v>
      </c>
      <c r="S408" s="5">
        <v>1.02928125E-4</v>
      </c>
      <c r="T408" s="5">
        <v>5.6615625000000001E-6</v>
      </c>
      <c r="U408" s="5">
        <v>5.6615625000000001E-6</v>
      </c>
      <c r="V408" s="5">
        <v>0</v>
      </c>
      <c r="W408" s="5">
        <v>0</v>
      </c>
      <c r="X408" s="5">
        <v>1.4584375000000001</v>
      </c>
      <c r="Y408" s="5">
        <v>3150.3125</v>
      </c>
      <c r="Z408" s="5">
        <f t="shared" ref="Z408:AA408" si="187">Z407+0.0002</f>
        <v>-3.9999999999999986E-4</v>
      </c>
      <c r="AA408" s="5">
        <f t="shared" si="187"/>
        <v>-2.0000000000000006E-4</v>
      </c>
      <c r="AB408" s="4">
        <v>2</v>
      </c>
    </row>
    <row r="409" spans="1:28" x14ac:dyDescent="0.25">
      <c r="C409" s="4">
        <v>6</v>
      </c>
      <c r="D409" s="5">
        <v>92357418221.485153</v>
      </c>
      <c r="E409" s="5">
        <v>92357418221.485153</v>
      </c>
      <c r="F409" s="5">
        <v>0.22011769143958551</v>
      </c>
      <c r="G409" s="5">
        <v>0</v>
      </c>
      <c r="H409" s="5">
        <v>33779166666.666664</v>
      </c>
      <c r="I409" s="5">
        <v>31313958333.333336</v>
      </c>
      <c r="J409" s="5">
        <v>31313958333.333336</v>
      </c>
      <c r="K409" s="5">
        <v>-8.0392371041202912E-13</v>
      </c>
      <c r="L409" s="5">
        <v>-8.0392371041202912E-13</v>
      </c>
      <c r="M409" s="5">
        <v>0</v>
      </c>
      <c r="N409" s="5">
        <v>2.0000000000000001E-4</v>
      </c>
      <c r="O409" s="5">
        <v>81.670905483405463</v>
      </c>
      <c r="P409" s="5">
        <v>81.670905483405463</v>
      </c>
      <c r="Q409" s="5">
        <v>2.0324239969135757E-10</v>
      </c>
      <c r="R409" s="5">
        <v>0</v>
      </c>
      <c r="S409" s="5">
        <v>9.2719791666666661E-5</v>
      </c>
      <c r="T409" s="5">
        <v>6.0573958333333323E-6</v>
      </c>
      <c r="U409" s="5">
        <v>6.0573958333333323E-6</v>
      </c>
      <c r="V409" s="5">
        <v>0</v>
      </c>
      <c r="W409" s="5">
        <v>0</v>
      </c>
      <c r="X409" s="5">
        <v>1.5070486111111112</v>
      </c>
      <c r="Y409" s="5">
        <v>3185.0347222222226</v>
      </c>
      <c r="Z409" s="5">
        <f t="shared" ref="Z409:AA409" si="188">Z408+0.0002</f>
        <v>-1.9999999999999985E-4</v>
      </c>
      <c r="AA409" s="5">
        <f t="shared" si="188"/>
        <v>0</v>
      </c>
      <c r="AB409" s="4">
        <v>2</v>
      </c>
    </row>
    <row r="410" spans="1:28" x14ac:dyDescent="0.25">
      <c r="C410" s="4">
        <v>7</v>
      </c>
      <c r="D410" s="5">
        <v>89170796072.811874</v>
      </c>
      <c r="E410" s="5">
        <v>89170796072.811874</v>
      </c>
      <c r="F410" s="5">
        <v>0.2150518923469997</v>
      </c>
      <c r="G410" s="5">
        <v>0</v>
      </c>
      <c r="H410" s="5">
        <v>32779166666.666664</v>
      </c>
      <c r="I410" s="5">
        <v>31263958333.333336</v>
      </c>
      <c r="J410" s="5">
        <v>31263958333.333336</v>
      </c>
      <c r="K410" s="5">
        <v>-7.457085451752985E-12</v>
      </c>
      <c r="L410" s="5">
        <v>-7.457085451752985E-12</v>
      </c>
      <c r="M410" s="5">
        <v>0</v>
      </c>
      <c r="N410" s="5">
        <v>2.0000000000000001E-4</v>
      </c>
      <c r="O410" s="5">
        <v>70.134108946608933</v>
      </c>
      <c r="P410" s="5">
        <v>70.134108946608933</v>
      </c>
      <c r="Q410" s="5">
        <v>1.4234553626543208E-9</v>
      </c>
      <c r="R410" s="5">
        <v>0</v>
      </c>
      <c r="S410" s="5">
        <v>8.0469791666666661E-5</v>
      </c>
      <c r="T410" s="5">
        <v>6.532395833333332E-6</v>
      </c>
      <c r="U410" s="5">
        <v>6.532395833333332E-6</v>
      </c>
      <c r="V410" s="5">
        <v>0</v>
      </c>
      <c r="W410" s="5">
        <v>0</v>
      </c>
      <c r="X410" s="5">
        <v>1.5653819444444443</v>
      </c>
      <c r="Y410" s="5">
        <v>3226.7013888888887</v>
      </c>
      <c r="Z410" s="5">
        <f t="shared" ref="Z410:AA410" si="189">Z409+0.0002</f>
        <v>0</v>
      </c>
      <c r="AA410" s="5">
        <f t="shared" si="189"/>
        <v>2.0000000000000001E-4</v>
      </c>
      <c r="AB410" s="4">
        <v>2</v>
      </c>
    </row>
    <row r="411" spans="1:28" x14ac:dyDescent="0.25">
      <c r="C411" s="4">
        <v>8</v>
      </c>
      <c r="D411" s="5">
        <v>85453070232.693069</v>
      </c>
      <c r="E411" s="5">
        <v>85453070232.693069</v>
      </c>
      <c r="F411" s="5">
        <v>0.20914179340564956</v>
      </c>
      <c r="G411" s="5">
        <v>0</v>
      </c>
      <c r="H411" s="5">
        <v>31612500000</v>
      </c>
      <c r="I411" s="5">
        <v>31205625000</v>
      </c>
      <c r="J411" s="5">
        <v>31205625000</v>
      </c>
      <c r="K411" s="5">
        <v>-1.5219107483317443E-11</v>
      </c>
      <c r="L411" s="5">
        <v>-1.5219107483317443E-11</v>
      </c>
      <c r="M411" s="5">
        <v>0</v>
      </c>
      <c r="N411" s="5">
        <v>2.0000000000000001E-4</v>
      </c>
      <c r="O411" s="5">
        <v>56.674512987012974</v>
      </c>
      <c r="P411" s="5">
        <v>56.674512987012974</v>
      </c>
      <c r="Q411" s="5">
        <v>2.8470371527777784E-9</v>
      </c>
      <c r="R411" s="5">
        <v>0</v>
      </c>
      <c r="S411" s="5">
        <v>6.6178125000000004E-5</v>
      </c>
      <c r="T411" s="5">
        <v>7.0865624999999991E-6</v>
      </c>
      <c r="U411" s="5">
        <v>7.0865624999999991E-6</v>
      </c>
      <c r="V411" s="5">
        <v>0</v>
      </c>
      <c r="W411" s="5">
        <v>0</v>
      </c>
      <c r="X411" s="5">
        <v>1.6334374999999999</v>
      </c>
      <c r="Y411" s="5">
        <v>3275.3125</v>
      </c>
      <c r="Z411" s="5">
        <f t="shared" ref="Z411:AA411" si="190">Z410+0.0002</f>
        <v>2.0000000000000001E-4</v>
      </c>
      <c r="AA411" s="5">
        <f t="shared" si="190"/>
        <v>4.0000000000000002E-4</v>
      </c>
      <c r="AB411" s="4">
        <v>2</v>
      </c>
    </row>
    <row r="412" spans="1:28" x14ac:dyDescent="0.25">
      <c r="C412" s="4">
        <v>9</v>
      </c>
      <c r="D412" s="5">
        <v>81204240701.128708</v>
      </c>
      <c r="E412" s="5">
        <v>81204240701.128708</v>
      </c>
      <c r="F412" s="5">
        <v>0.20238739461553515</v>
      </c>
      <c r="G412" s="5">
        <v>0</v>
      </c>
      <c r="H412" s="5">
        <v>30279166666.666664</v>
      </c>
      <c r="I412" s="5">
        <v>31138958333.333336</v>
      </c>
      <c r="J412" s="5">
        <v>31138958333.333336</v>
      </c>
      <c r="K412" s="5">
        <v>-2.4089989805105386E-11</v>
      </c>
      <c r="L412" s="5">
        <v>-2.4089989805105386E-11</v>
      </c>
      <c r="M412" s="5">
        <v>0</v>
      </c>
      <c r="N412" s="5">
        <v>2.0000000000000001E-4</v>
      </c>
      <c r="O412" s="5">
        <v>41.292117604617587</v>
      </c>
      <c r="P412" s="5">
        <v>41.292117604617587</v>
      </c>
      <c r="Q412" s="5">
        <v>4.47398777006173E-9</v>
      </c>
      <c r="R412" s="5">
        <v>0</v>
      </c>
      <c r="S412" s="5">
        <v>4.9844791666666662E-5</v>
      </c>
      <c r="T412" s="5">
        <v>7.7198958333333312E-6</v>
      </c>
      <c r="U412" s="5">
        <v>7.7198958333333312E-6</v>
      </c>
      <c r="V412" s="5">
        <v>0</v>
      </c>
      <c r="W412" s="5">
        <v>0</v>
      </c>
      <c r="X412" s="5">
        <v>1.7112152777777778</v>
      </c>
      <c r="Y412" s="5">
        <v>3330.8680555555557</v>
      </c>
      <c r="Z412" s="5">
        <f t="shared" ref="Z412:AA412" si="191">Z411+0.0002</f>
        <v>4.0000000000000002E-4</v>
      </c>
      <c r="AA412" s="5">
        <f t="shared" si="191"/>
        <v>6.0000000000000006E-4</v>
      </c>
      <c r="AB412" s="4">
        <v>2</v>
      </c>
    </row>
    <row r="413" spans="1:28" x14ac:dyDescent="0.25">
      <c r="C413" s="4">
        <v>10</v>
      </c>
      <c r="D413" s="5">
        <v>76424307478.118805</v>
      </c>
      <c r="E413" s="5">
        <v>76424307478.118805</v>
      </c>
      <c r="F413" s="5">
        <v>0.19478869597665641</v>
      </c>
      <c r="G413" s="5">
        <v>0</v>
      </c>
      <c r="H413" s="5">
        <v>28779166666.666664</v>
      </c>
      <c r="I413" s="5">
        <v>31063958333.333336</v>
      </c>
      <c r="J413" s="5">
        <v>31063958333.333336</v>
      </c>
      <c r="K413" s="5">
        <v>-3.4069732417116841E-11</v>
      </c>
      <c r="L413" s="5">
        <v>-3.4069732417116841E-11</v>
      </c>
      <c r="M413" s="5">
        <v>0</v>
      </c>
      <c r="N413" s="5">
        <v>2.0000000000000001E-4</v>
      </c>
      <c r="O413" s="5">
        <v>23.986922799422771</v>
      </c>
      <c r="P413" s="5">
        <v>23.986922799422771</v>
      </c>
      <c r="Q413" s="5">
        <v>6.3043072145061763E-9</v>
      </c>
      <c r="R413" s="5">
        <v>0</v>
      </c>
      <c r="S413" s="5">
        <v>3.1469791666666636E-5</v>
      </c>
      <c r="T413" s="5">
        <v>8.4323958333333316E-6</v>
      </c>
      <c r="U413" s="5">
        <v>8.4323958333333316E-6</v>
      </c>
      <c r="V413" s="5">
        <v>0</v>
      </c>
      <c r="W413" s="5">
        <v>0</v>
      </c>
      <c r="X413" s="5">
        <v>1.7987152777777777</v>
      </c>
      <c r="Y413" s="5">
        <v>3393.3680555555557</v>
      </c>
      <c r="Z413" s="5">
        <f t="shared" ref="Z413:AA413" si="192">Z412+0.0002</f>
        <v>6.0000000000000006E-4</v>
      </c>
      <c r="AA413" s="5">
        <f t="shared" si="192"/>
        <v>8.0000000000000004E-4</v>
      </c>
      <c r="AB413" s="4">
        <v>2</v>
      </c>
    </row>
    <row r="414" spans="1:28" x14ac:dyDescent="0.25">
      <c r="C414" s="4">
        <v>11</v>
      </c>
      <c r="D414" s="5">
        <v>71113270563.663376</v>
      </c>
      <c r="E414" s="5">
        <v>71113270563.663376</v>
      </c>
      <c r="F414" s="5">
        <v>0.18634569748901345</v>
      </c>
      <c r="G414" s="5">
        <v>0</v>
      </c>
      <c r="H414" s="5">
        <v>27112500000</v>
      </c>
      <c r="I414" s="5">
        <v>30980625000</v>
      </c>
      <c r="J414" s="5">
        <v>30980625000</v>
      </c>
      <c r="K414" s="5">
        <v>-4.5158335319351756E-11</v>
      </c>
      <c r="L414" s="5">
        <v>-4.5158335319351756E-11</v>
      </c>
      <c r="M414" s="5">
        <v>0</v>
      </c>
      <c r="N414" s="5">
        <v>2.0000000000000001E-4</v>
      </c>
      <c r="O414" s="5">
        <v>4.7589285714285694</v>
      </c>
      <c r="P414" s="5">
        <v>4.7589285714285694</v>
      </c>
      <c r="Q414" s="5">
        <v>8.3379954861111133E-9</v>
      </c>
      <c r="R414" s="5">
        <v>0</v>
      </c>
      <c r="S414" s="5">
        <v>1.1053125000000006E-5</v>
      </c>
      <c r="T414" s="5">
        <v>9.2240624999999994E-6</v>
      </c>
      <c r="U414" s="5">
        <v>9.2240624999999994E-6</v>
      </c>
      <c r="V414" s="5">
        <v>0</v>
      </c>
      <c r="W414" s="5">
        <v>0</v>
      </c>
      <c r="X414" s="5">
        <v>1.8959375000000001</v>
      </c>
      <c r="Y414" s="5">
        <v>3462.8125</v>
      </c>
      <c r="Z414" s="5">
        <f t="shared" ref="Z414:AA414" si="193">Z413+0.0002</f>
        <v>8.0000000000000004E-4</v>
      </c>
      <c r="AA414" s="5">
        <f t="shared" si="193"/>
        <v>1E-3</v>
      </c>
      <c r="AB414" s="4">
        <v>2</v>
      </c>
    </row>
    <row r="415" spans="1:28" x14ac:dyDescent="0.25">
      <c r="B415" t="s">
        <v>187</v>
      </c>
      <c r="C415" s="11">
        <v>12</v>
      </c>
      <c r="D415" s="5">
        <v>65271129957.76236</v>
      </c>
      <c r="E415" s="5">
        <v>65271129957.76236</v>
      </c>
      <c r="F415" s="5">
        <v>0.1770583991526061</v>
      </c>
      <c r="G415" s="5">
        <v>0</v>
      </c>
      <c r="H415" s="5">
        <v>25279166666.666664</v>
      </c>
      <c r="I415" s="5">
        <v>30888958333.333336</v>
      </c>
      <c r="J415" s="5">
        <v>30888958333.333336</v>
      </c>
      <c r="K415" s="5">
        <v>-5.7355798511810198E-11</v>
      </c>
      <c r="L415" s="5">
        <v>-5.7355798511810198E-11</v>
      </c>
      <c r="M415" s="5">
        <v>0</v>
      </c>
      <c r="N415" s="5">
        <v>2.0000000000000001E-4</v>
      </c>
      <c r="O415" s="5">
        <v>-16.391865079365118</v>
      </c>
      <c r="P415" s="5">
        <v>-16.391865079365118</v>
      </c>
      <c r="Q415" s="5">
        <v>1.0575052584876548E-8</v>
      </c>
      <c r="R415" s="5">
        <v>0</v>
      </c>
      <c r="S415" s="5">
        <v>-1.1405208333333363E-5</v>
      </c>
      <c r="T415" s="5">
        <v>1.0094895833333331E-5</v>
      </c>
      <c r="U415" s="5">
        <v>1.0094895833333331E-5</v>
      </c>
      <c r="V415" s="5">
        <v>0</v>
      </c>
      <c r="W415" s="5">
        <v>0</v>
      </c>
      <c r="X415" s="5">
        <v>2.0028819444444448</v>
      </c>
      <c r="Y415" s="5">
        <v>3539.2013888888887</v>
      </c>
      <c r="Z415" s="5">
        <f t="shared" ref="Z415:AA415" si="194">Z414+0.0002</f>
        <v>1E-3</v>
      </c>
      <c r="AA415" s="5">
        <f t="shared" si="194"/>
        <v>1.2000000000000001E-3</v>
      </c>
      <c r="AB415" s="4">
        <v>2</v>
      </c>
    </row>
    <row r="418" spans="1:28" x14ac:dyDescent="0.25">
      <c r="A418" t="s">
        <v>83</v>
      </c>
    </row>
    <row r="419" spans="1:28" x14ac:dyDescent="0.25">
      <c r="A419" t="s">
        <v>83</v>
      </c>
    </row>
    <row r="420" spans="1:28" x14ac:dyDescent="0.25">
      <c r="A420" t="s">
        <v>83</v>
      </c>
    </row>
    <row r="421" spans="1:28" x14ac:dyDescent="0.25">
      <c r="A421" t="s">
        <v>83</v>
      </c>
    </row>
    <row r="422" spans="1:28" x14ac:dyDescent="0.25">
      <c r="A422" s="15" t="s">
        <v>74</v>
      </c>
      <c r="C422" s="10" t="s">
        <v>27</v>
      </c>
      <c r="D422" s="10" t="s">
        <v>28</v>
      </c>
      <c r="E422" s="10" t="s">
        <v>29</v>
      </c>
      <c r="F422" s="10" t="s">
        <v>30</v>
      </c>
      <c r="G422" s="10" t="s">
        <v>31</v>
      </c>
      <c r="H422" s="10" t="s">
        <v>75</v>
      </c>
      <c r="I422" s="10" t="s">
        <v>32</v>
      </c>
      <c r="J422" s="10" t="s">
        <v>33</v>
      </c>
      <c r="K422" s="10" t="s">
        <v>34</v>
      </c>
      <c r="L422" s="10" t="s">
        <v>35</v>
      </c>
      <c r="M422" s="10" t="s">
        <v>36</v>
      </c>
      <c r="N422" s="10" t="s">
        <v>37</v>
      </c>
      <c r="O422" s="10" t="s">
        <v>38</v>
      </c>
      <c r="P422" s="10" t="s">
        <v>39</v>
      </c>
      <c r="Q422" s="10" t="s">
        <v>40</v>
      </c>
      <c r="R422" s="10" t="s">
        <v>41</v>
      </c>
      <c r="S422" s="10" t="s">
        <v>42</v>
      </c>
      <c r="T422" s="10" t="s">
        <v>76</v>
      </c>
      <c r="U422" s="10" t="s">
        <v>77</v>
      </c>
      <c r="V422" s="10" t="s">
        <v>78</v>
      </c>
      <c r="W422" s="10" t="s">
        <v>79</v>
      </c>
      <c r="X422" s="10" t="s">
        <v>80</v>
      </c>
      <c r="Y422" s="10" t="s">
        <v>43</v>
      </c>
      <c r="Z422" s="10" t="s">
        <v>44</v>
      </c>
      <c r="AA422" s="10" t="s">
        <v>45</v>
      </c>
      <c r="AB422" s="10" t="s">
        <v>46</v>
      </c>
    </row>
    <row r="423" spans="1:28" x14ac:dyDescent="0.25">
      <c r="A423" s="12" t="s">
        <v>86</v>
      </c>
      <c r="B423" t="s">
        <v>183</v>
      </c>
      <c r="C423" s="11">
        <v>1</v>
      </c>
      <c r="D423" s="5">
        <v>154570780662.97134</v>
      </c>
      <c r="E423" s="5">
        <v>154570780662.97134</v>
      </c>
      <c r="F423" s="5">
        <v>0.36788301471656509</v>
      </c>
      <c r="G423" s="5">
        <v>0</v>
      </c>
      <c r="H423" s="5">
        <v>56499999999.999809</v>
      </c>
      <c r="I423" s="5">
        <v>52199999999.999992</v>
      </c>
      <c r="J423" s="5">
        <v>52199999999.999992</v>
      </c>
      <c r="K423" s="5">
        <v>-1.2592063653464866E-24</v>
      </c>
      <c r="L423" s="5">
        <v>-1.2592063653464866E-24</v>
      </c>
      <c r="M423" s="5">
        <v>0</v>
      </c>
      <c r="N423" s="5">
        <v>2.0000000000000001E-4</v>
      </c>
      <c r="O423" s="5">
        <v>138.44155844155623</v>
      </c>
      <c r="P423" s="5">
        <v>138.44155844155623</v>
      </c>
      <c r="Q423" s="5">
        <v>9.300000000023094E-11</v>
      </c>
      <c r="R423" s="5">
        <v>0</v>
      </c>
      <c r="S423" s="5">
        <v>1.5699999999999766E-4</v>
      </c>
      <c r="T423" s="5">
        <v>1.0000000000000091E-5</v>
      </c>
      <c r="U423" s="5">
        <v>1.0000000000000091E-5</v>
      </c>
      <c r="V423" s="5">
        <v>0</v>
      </c>
      <c r="W423" s="5">
        <v>0</v>
      </c>
      <c r="X423" s="5">
        <v>2.5000000000000111</v>
      </c>
      <c r="Y423" s="5">
        <v>5300.0000000000082</v>
      </c>
      <c r="Z423" s="5">
        <v>-1.1999999999999999E-3</v>
      </c>
      <c r="AA423" s="5">
        <v>-1E-3</v>
      </c>
      <c r="AB423" s="4">
        <v>2</v>
      </c>
    </row>
    <row r="424" spans="1:28" x14ac:dyDescent="0.25">
      <c r="C424" s="4">
        <v>2</v>
      </c>
      <c r="D424" s="5">
        <v>154570780627.35867</v>
      </c>
      <c r="E424" s="5">
        <v>154570780627.35867</v>
      </c>
      <c r="F424" s="5">
        <v>0.36788301465995132</v>
      </c>
      <c r="G424" s="5">
        <v>0</v>
      </c>
      <c r="H424" s="5">
        <v>56499999988.824127</v>
      </c>
      <c r="I424" s="5">
        <v>52199999999.441208</v>
      </c>
      <c r="J424" s="5">
        <v>52199999999.441208</v>
      </c>
      <c r="K424" s="5">
        <v>-7.4354876667346337E-20</v>
      </c>
      <c r="L424" s="5">
        <v>-7.4354876667346337E-20</v>
      </c>
      <c r="M424" s="5">
        <v>0</v>
      </c>
      <c r="N424" s="5">
        <v>2.0000000000000001E-4</v>
      </c>
      <c r="O424" s="5">
        <v>138.44155831262466</v>
      </c>
      <c r="P424" s="5">
        <v>138.44155831262466</v>
      </c>
      <c r="Q424" s="5">
        <v>9.3000013636942542E-11</v>
      </c>
      <c r="R424" s="5">
        <v>0</v>
      </c>
      <c r="S424" s="5">
        <v>1.5699999986309556E-4</v>
      </c>
      <c r="T424" s="5">
        <v>1.0000000005308539E-5</v>
      </c>
      <c r="U424" s="5">
        <v>1.0000000005308539E-5</v>
      </c>
      <c r="V424" s="5">
        <v>0</v>
      </c>
      <c r="W424" s="5">
        <v>0</v>
      </c>
      <c r="X424" s="5">
        <v>2.5000000006519256</v>
      </c>
      <c r="Y424" s="5">
        <v>5300.0000004656613</v>
      </c>
      <c r="Z424" s="5">
        <f t="shared" ref="Z424:AA424" si="195">Z423+0.0002</f>
        <v>-9.999999999999998E-4</v>
      </c>
      <c r="AA424" s="5">
        <f t="shared" si="195"/>
        <v>-8.0000000000000004E-4</v>
      </c>
      <c r="AB424" s="4">
        <v>2</v>
      </c>
    </row>
    <row r="425" spans="1:28" x14ac:dyDescent="0.25">
      <c r="C425" s="4">
        <v>3</v>
      </c>
      <c r="D425" s="5">
        <v>154570774773.18695</v>
      </c>
      <c r="E425" s="5">
        <v>154570774773.18695</v>
      </c>
      <c r="F425" s="5">
        <v>0.36788300535352697</v>
      </c>
      <c r="G425" s="5">
        <v>0</v>
      </c>
      <c r="H425" s="5">
        <v>56499998151.715286</v>
      </c>
      <c r="I425" s="5">
        <v>52199999907.585762</v>
      </c>
      <c r="J425" s="5">
        <v>52199999907.585762</v>
      </c>
      <c r="K425" s="5">
        <v>-1.2296937161587045E-17</v>
      </c>
      <c r="L425" s="5">
        <v>-1.2296937161587045E-17</v>
      </c>
      <c r="M425" s="5">
        <v>0</v>
      </c>
      <c r="N425" s="5">
        <v>2.0000000000000001E-4</v>
      </c>
      <c r="O425" s="5">
        <v>138.44153711827369</v>
      </c>
      <c r="P425" s="5">
        <v>138.44153711827369</v>
      </c>
      <c r="Q425" s="5">
        <v>9.3002255300970071E-11</v>
      </c>
      <c r="R425" s="5">
        <v>0</v>
      </c>
      <c r="S425" s="5">
        <v>1.5699997735851222E-4</v>
      </c>
      <c r="T425" s="5">
        <v>1.0000000877935241E-5</v>
      </c>
      <c r="U425" s="5">
        <v>1.0000000877935241E-5</v>
      </c>
      <c r="V425" s="5">
        <v>0</v>
      </c>
      <c r="W425" s="5">
        <v>0</v>
      </c>
      <c r="X425" s="5">
        <v>2.5000001078166085</v>
      </c>
      <c r="Y425" s="5">
        <v>5300.0000770118631</v>
      </c>
      <c r="Z425" s="5">
        <f t="shared" ref="Z425:AA425" si="196">Z424+0.0002</f>
        <v>-7.9999999999999982E-4</v>
      </c>
      <c r="AA425" s="5">
        <f t="shared" si="196"/>
        <v>-6.0000000000000006E-4</v>
      </c>
      <c r="AB425" s="4">
        <v>2</v>
      </c>
    </row>
    <row r="426" spans="1:28" x14ac:dyDescent="0.25">
      <c r="C426" s="4">
        <v>4</v>
      </c>
      <c r="D426" s="5">
        <v>154570610298.19873</v>
      </c>
      <c r="E426" s="5">
        <v>154570610298.19873</v>
      </c>
      <c r="F426" s="5">
        <v>0.36788274388630338</v>
      </c>
      <c r="G426" s="5">
        <v>0</v>
      </c>
      <c r="H426" s="5">
        <v>56499946537.504211</v>
      </c>
      <c r="I426" s="5">
        <v>52199997326.875214</v>
      </c>
      <c r="J426" s="5">
        <v>52199997326.875214</v>
      </c>
      <c r="K426" s="5">
        <v>-3.5569463159364114E-16</v>
      </c>
      <c r="L426" s="5">
        <v>-3.5569463159364114E-16</v>
      </c>
      <c r="M426" s="5">
        <v>0</v>
      </c>
      <c r="N426" s="5">
        <v>2.0000000000000001E-4</v>
      </c>
      <c r="O426" s="5">
        <v>138.44094165562211</v>
      </c>
      <c r="P426" s="5">
        <v>138.44094165562211</v>
      </c>
      <c r="Q426" s="5">
        <v>9.3065235630396597E-11</v>
      </c>
      <c r="R426" s="5">
        <v>0</v>
      </c>
      <c r="S426" s="5">
        <v>1.5699934508442656E-4</v>
      </c>
      <c r="T426" s="5">
        <v>1.0000025394685501E-5</v>
      </c>
      <c r="U426" s="5">
        <v>1.0000025394685501E-5</v>
      </c>
      <c r="V426" s="5">
        <v>0</v>
      </c>
      <c r="W426" s="5">
        <v>0</v>
      </c>
      <c r="X426" s="5">
        <v>2.500003118645588</v>
      </c>
      <c r="Y426" s="5">
        <v>5300.0022276039917</v>
      </c>
      <c r="Z426" s="5">
        <f t="shared" ref="Z426:AA426" si="197">Z425+0.0002</f>
        <v>-5.9999999999999984E-4</v>
      </c>
      <c r="AA426" s="5">
        <f t="shared" si="197"/>
        <v>-4.0000000000000007E-4</v>
      </c>
      <c r="AB426" s="4">
        <v>2</v>
      </c>
    </row>
    <row r="427" spans="1:28" x14ac:dyDescent="0.25">
      <c r="C427" s="4">
        <v>5</v>
      </c>
      <c r="D427" s="5">
        <v>154568677734.53552</v>
      </c>
      <c r="E427" s="5">
        <v>154568677734.53552</v>
      </c>
      <c r="F427" s="5">
        <v>0.36787967167416313</v>
      </c>
      <c r="G427" s="5">
        <v>0</v>
      </c>
      <c r="H427" s="5">
        <v>56499340075.999496</v>
      </c>
      <c r="I427" s="5">
        <v>52199967003.799973</v>
      </c>
      <c r="J427" s="5">
        <v>52199967003.799973</v>
      </c>
      <c r="K427" s="5">
        <v>-4.3905811123301336E-15</v>
      </c>
      <c r="L427" s="5">
        <v>-4.3905811123301336E-15</v>
      </c>
      <c r="M427" s="5">
        <v>0</v>
      </c>
      <c r="N427" s="5">
        <v>2.0000000000000001E-4</v>
      </c>
      <c r="O427" s="5">
        <v>138.43394503263488</v>
      </c>
      <c r="P427" s="5">
        <v>138.43394503263488</v>
      </c>
      <c r="Q427" s="5">
        <v>9.3805247819982474E-11</v>
      </c>
      <c r="R427" s="5">
        <v>0</v>
      </c>
      <c r="S427" s="5">
        <v>1.5699191593099385E-4</v>
      </c>
      <c r="T427" s="5">
        <v>1.0000313463900238E-5</v>
      </c>
      <c r="U427" s="5">
        <v>1.0000313463900238E-5</v>
      </c>
      <c r="V427" s="5">
        <v>0</v>
      </c>
      <c r="W427" s="5">
        <v>0</v>
      </c>
      <c r="X427" s="5">
        <v>2.5000384955666961</v>
      </c>
      <c r="Y427" s="5">
        <v>5300.0274968333542</v>
      </c>
      <c r="Z427" s="5">
        <f t="shared" ref="Z427:AA427" si="198">Z426+0.0002</f>
        <v>-3.9999999999999986E-4</v>
      </c>
      <c r="AA427" s="5">
        <f t="shared" si="198"/>
        <v>-2.0000000000000006E-4</v>
      </c>
      <c r="AB427" s="4">
        <v>2</v>
      </c>
    </row>
    <row r="428" spans="1:28" x14ac:dyDescent="0.25">
      <c r="C428" s="4">
        <v>6</v>
      </c>
      <c r="D428" s="5">
        <v>154555137439.44891</v>
      </c>
      <c r="E428" s="5">
        <v>154555137439.44891</v>
      </c>
      <c r="F428" s="5">
        <v>0.36785814655717003</v>
      </c>
      <c r="G428" s="5">
        <v>0</v>
      </c>
      <c r="H428" s="5">
        <v>56495090970.06385</v>
      </c>
      <c r="I428" s="5">
        <v>52199754548.503189</v>
      </c>
      <c r="J428" s="5">
        <v>52199754548.503189</v>
      </c>
      <c r="K428" s="5">
        <v>-3.2660570158274453E-14</v>
      </c>
      <c r="L428" s="5">
        <v>-3.2660570158274453E-14</v>
      </c>
      <c r="M428" s="5">
        <v>0</v>
      </c>
      <c r="N428" s="5">
        <v>2.0000000000000001E-4</v>
      </c>
      <c r="O428" s="5">
        <v>138.38492396199203</v>
      </c>
      <c r="P428" s="5">
        <v>138.38492396199203</v>
      </c>
      <c r="Q428" s="5">
        <v>9.8990061963660517E-11</v>
      </c>
      <c r="R428" s="5">
        <v>0</v>
      </c>
      <c r="S428" s="5">
        <v>1.5693986438328219E-4</v>
      </c>
      <c r="T428" s="5">
        <v>1.0002331789219671E-5</v>
      </c>
      <c r="U428" s="5">
        <v>1.0002331789219671E-5</v>
      </c>
      <c r="V428" s="5">
        <v>0</v>
      </c>
      <c r="W428" s="5">
        <v>0</v>
      </c>
      <c r="X428" s="5">
        <v>2.5002863600796088</v>
      </c>
      <c r="Y428" s="5">
        <v>5300.2045429140062</v>
      </c>
      <c r="Z428" s="5">
        <f t="shared" ref="Z428:AA428" si="199">Z427+0.0002</f>
        <v>-1.9999999999999985E-4</v>
      </c>
      <c r="AA428" s="5">
        <f t="shared" si="199"/>
        <v>0</v>
      </c>
      <c r="AB428" s="4">
        <v>2</v>
      </c>
    </row>
    <row r="429" spans="1:28" x14ac:dyDescent="0.25">
      <c r="C429" s="4">
        <v>7</v>
      </c>
      <c r="D429" s="5">
        <v>154487636278.52686</v>
      </c>
      <c r="E429" s="5">
        <v>154487636278.52686</v>
      </c>
      <c r="F429" s="5">
        <v>0.36775083941380821</v>
      </c>
      <c r="G429" s="5">
        <v>0</v>
      </c>
      <c r="H429" s="5">
        <v>56473908301.46595</v>
      </c>
      <c r="I429" s="5">
        <v>52198695415.073296</v>
      </c>
      <c r="J429" s="5">
        <v>52198695415.073296</v>
      </c>
      <c r="K429" s="5">
        <v>-1.735922904533313E-13</v>
      </c>
      <c r="L429" s="5">
        <v>-1.735922904533313E-13</v>
      </c>
      <c r="M429" s="5">
        <v>0</v>
      </c>
      <c r="N429" s="5">
        <v>2.0000000000000001E-4</v>
      </c>
      <c r="O429" s="5">
        <v>138.14054382427167</v>
      </c>
      <c r="P429" s="5">
        <v>138.14054382427167</v>
      </c>
      <c r="Q429" s="5">
        <v>1.2483742877696733E-10</v>
      </c>
      <c r="R429" s="5">
        <v>0</v>
      </c>
      <c r="S429" s="5">
        <v>1.5668037669295791E-4</v>
      </c>
      <c r="T429" s="5">
        <v>1.0012393556803674E-5</v>
      </c>
      <c r="U429" s="5">
        <v>1.0012393556803674E-5</v>
      </c>
      <c r="V429" s="5">
        <v>0</v>
      </c>
      <c r="W429" s="5">
        <v>0</v>
      </c>
      <c r="X429" s="5">
        <v>2.5015220157478195</v>
      </c>
      <c r="Y429" s="5">
        <v>5301.0871541055849</v>
      </c>
      <c r="Z429" s="5">
        <f t="shared" ref="Z429:AA429" si="200">Z428+0.0002</f>
        <v>0</v>
      </c>
      <c r="AA429" s="5">
        <f t="shared" si="200"/>
        <v>2.0000000000000001E-4</v>
      </c>
      <c r="AB429" s="4">
        <v>2</v>
      </c>
    </row>
    <row r="430" spans="1:28" x14ac:dyDescent="0.25">
      <c r="C430" s="4">
        <v>8</v>
      </c>
      <c r="D430" s="5">
        <v>154222994747.67947</v>
      </c>
      <c r="E430" s="5">
        <v>154222994747.67947</v>
      </c>
      <c r="F430" s="5">
        <v>0.36733013662437169</v>
      </c>
      <c r="G430" s="5">
        <v>0</v>
      </c>
      <c r="H430" s="5">
        <v>56390860635.787247</v>
      </c>
      <c r="I430" s="5">
        <v>52194543031.78936</v>
      </c>
      <c r="J430" s="5">
        <v>52194543031.78936</v>
      </c>
      <c r="K430" s="5">
        <v>-7.2612184245455407E-13</v>
      </c>
      <c r="L430" s="5">
        <v>-7.2612184245455407E-13</v>
      </c>
      <c r="M430" s="5">
        <v>0</v>
      </c>
      <c r="N430" s="5">
        <v>2.0000000000000001E-4</v>
      </c>
      <c r="O430" s="5">
        <v>137.18243980248056</v>
      </c>
      <c r="P430" s="5">
        <v>137.18243980248056</v>
      </c>
      <c r="Q430" s="5">
        <v>2.2617326698193537E-10</v>
      </c>
      <c r="R430" s="5">
        <v>0</v>
      </c>
      <c r="S430" s="5">
        <v>1.5566304278839379E-4</v>
      </c>
      <c r="T430" s="5">
        <v>1.0051841198001058E-5</v>
      </c>
      <c r="U430" s="5">
        <v>1.0051841198001058E-5</v>
      </c>
      <c r="V430" s="5">
        <v>0</v>
      </c>
      <c r="W430" s="5">
        <v>0</v>
      </c>
      <c r="X430" s="5">
        <v>2.5063664629124105</v>
      </c>
      <c r="Y430" s="5">
        <v>5304.5474735088646</v>
      </c>
      <c r="Z430" s="5">
        <f t="shared" ref="Z430:AA430" si="201">Z429+0.0002</f>
        <v>2.0000000000000001E-4</v>
      </c>
      <c r="AA430" s="5">
        <f t="shared" si="201"/>
        <v>4.0000000000000002E-4</v>
      </c>
      <c r="AB430" s="4">
        <v>2</v>
      </c>
    </row>
    <row r="431" spans="1:28" x14ac:dyDescent="0.25">
      <c r="C431" s="4">
        <v>9</v>
      </c>
      <c r="D431" s="5">
        <v>153354906547.05957</v>
      </c>
      <c r="E431" s="5">
        <v>153354906547.05957</v>
      </c>
      <c r="F431" s="5">
        <v>0.36595012976638397</v>
      </c>
      <c r="G431" s="5">
        <v>0</v>
      </c>
      <c r="H431" s="5">
        <v>56118444214.850327</v>
      </c>
      <c r="I431" s="5">
        <v>52180922210.742516</v>
      </c>
      <c r="J431" s="5">
        <v>52180922210.742516</v>
      </c>
      <c r="K431" s="5">
        <v>-2.5385523519451286E-12</v>
      </c>
      <c r="L431" s="5">
        <v>-2.5385523519451286E-12</v>
      </c>
      <c r="M431" s="5">
        <v>0</v>
      </c>
      <c r="N431" s="5">
        <v>2.0000000000000001E-4</v>
      </c>
      <c r="O431" s="5">
        <v>134.03962698084896</v>
      </c>
      <c r="P431" s="5">
        <v>134.03962698084896</v>
      </c>
      <c r="Q431" s="5">
        <v>5.5857931513314485E-10</v>
      </c>
      <c r="R431" s="5">
        <v>0</v>
      </c>
      <c r="S431" s="5">
        <v>1.5232594163191649E-4</v>
      </c>
      <c r="T431" s="5">
        <v>1.0181238997946096E-5</v>
      </c>
      <c r="U431" s="5">
        <v>1.0181238997946096E-5</v>
      </c>
      <c r="V431" s="5">
        <v>0</v>
      </c>
      <c r="W431" s="5">
        <v>0</v>
      </c>
      <c r="X431" s="5">
        <v>2.5222574208003978</v>
      </c>
      <c r="Y431" s="5">
        <v>5315.8981577145696</v>
      </c>
      <c r="Z431" s="5">
        <f t="shared" ref="Z431:AA431" si="202">Z430+0.0002</f>
        <v>4.0000000000000002E-4</v>
      </c>
      <c r="AA431" s="5">
        <f t="shared" si="202"/>
        <v>6.0000000000000006E-4</v>
      </c>
      <c r="AB431" s="4">
        <v>2</v>
      </c>
    </row>
    <row r="432" spans="1:28" x14ac:dyDescent="0.25">
      <c r="C432" s="4">
        <v>10</v>
      </c>
      <c r="D432" s="5">
        <v>150873048857.26376</v>
      </c>
      <c r="E432" s="5">
        <v>150873048857.26376</v>
      </c>
      <c r="F432" s="5">
        <v>0.36200470045399141</v>
      </c>
      <c r="G432" s="5">
        <v>0</v>
      </c>
      <c r="H432" s="5">
        <v>55339607699.567482</v>
      </c>
      <c r="I432" s="5">
        <v>52141980384.978371</v>
      </c>
      <c r="J432" s="5">
        <v>52141980384.978371</v>
      </c>
      <c r="K432" s="5">
        <v>-7.7202776581842645E-12</v>
      </c>
      <c r="L432" s="5">
        <v>-7.7202776581842645E-12</v>
      </c>
      <c r="M432" s="5">
        <v>0</v>
      </c>
      <c r="N432" s="5">
        <v>2.0000000000000001E-4</v>
      </c>
      <c r="O432" s="5">
        <v>125.05434856860316</v>
      </c>
      <c r="P432" s="5">
        <v>125.05434856860316</v>
      </c>
      <c r="Q432" s="5">
        <v>1.5089257271101739E-9</v>
      </c>
      <c r="R432" s="5">
        <v>0</v>
      </c>
      <c r="S432" s="5">
        <v>1.4278519431970162E-4</v>
      </c>
      <c r="T432" s="5">
        <v>1.0551186342705448E-5</v>
      </c>
      <c r="U432" s="5">
        <v>1.0551186342705448E-5</v>
      </c>
      <c r="V432" s="5">
        <v>0</v>
      </c>
      <c r="W432" s="5">
        <v>0</v>
      </c>
      <c r="X432" s="5">
        <v>2.5676895508585638</v>
      </c>
      <c r="Y432" s="5">
        <v>5348.3496791846883</v>
      </c>
      <c r="Z432" s="5">
        <f t="shared" ref="Z432:AA432" si="203">Z431+0.0002</f>
        <v>6.0000000000000006E-4</v>
      </c>
      <c r="AA432" s="5">
        <f t="shared" si="203"/>
        <v>8.0000000000000004E-4</v>
      </c>
      <c r="AB432" s="4">
        <v>2</v>
      </c>
    </row>
    <row r="433" spans="1:28" x14ac:dyDescent="0.25">
      <c r="C433" s="4">
        <v>11</v>
      </c>
      <c r="D433" s="5">
        <v>144510911169.62833</v>
      </c>
      <c r="E433" s="5">
        <v>144510911169.62833</v>
      </c>
      <c r="F433" s="5">
        <v>0.35189075853641949</v>
      </c>
      <c r="G433" s="5">
        <v>0</v>
      </c>
      <c r="H433" s="5">
        <v>53343093086.034058</v>
      </c>
      <c r="I433" s="5">
        <v>52042154654.301704</v>
      </c>
      <c r="J433" s="5">
        <v>52042154654.301704</v>
      </c>
      <c r="K433" s="5">
        <v>-2.1003412300972946E-11</v>
      </c>
      <c r="L433" s="5">
        <v>-2.1003412300972946E-11</v>
      </c>
      <c r="M433" s="5">
        <v>0</v>
      </c>
      <c r="N433" s="5">
        <v>2.0000000000000001E-4</v>
      </c>
      <c r="O433" s="5">
        <v>102.02096568952712</v>
      </c>
      <c r="P433" s="5">
        <v>102.02096568952712</v>
      </c>
      <c r="Q433" s="5">
        <v>3.9450987392886447E-9</v>
      </c>
      <c r="R433" s="5">
        <v>0</v>
      </c>
      <c r="S433" s="5">
        <v>1.1832789030391723E-4</v>
      </c>
      <c r="T433" s="5">
        <v>1.1499530784133822E-5</v>
      </c>
      <c r="U433" s="5">
        <v>1.1499530784133822E-5</v>
      </c>
      <c r="V433" s="5">
        <v>0</v>
      </c>
      <c r="W433" s="5">
        <v>0</v>
      </c>
      <c r="X433" s="5">
        <v>2.68415290331468</v>
      </c>
      <c r="Y433" s="5">
        <v>5431.5377880819142</v>
      </c>
      <c r="Z433" s="5">
        <f t="shared" ref="Z433:AA433" si="204">Z432+0.0002</f>
        <v>8.0000000000000004E-4</v>
      </c>
      <c r="AA433" s="5">
        <f t="shared" si="204"/>
        <v>1E-3</v>
      </c>
      <c r="AB433" s="4">
        <v>2</v>
      </c>
    </row>
    <row r="434" spans="1:28" x14ac:dyDescent="0.25">
      <c r="B434" t="s">
        <v>187</v>
      </c>
      <c r="C434" s="11">
        <v>12</v>
      </c>
      <c r="D434" s="5">
        <v>129585872382.24188</v>
      </c>
      <c r="E434" s="5">
        <v>129585872382.24188</v>
      </c>
      <c r="F434" s="5">
        <v>0.32816430324349155</v>
      </c>
      <c r="G434" s="5">
        <v>0</v>
      </c>
      <c r="H434" s="5">
        <v>48659438077.359627</v>
      </c>
      <c r="I434" s="5">
        <v>51807971903.867981</v>
      </c>
      <c r="J434" s="5">
        <v>51807971903.867981</v>
      </c>
      <c r="K434" s="5">
        <v>-5.216452661432565E-11</v>
      </c>
      <c r="L434" s="5">
        <v>-5.216452661432565E-11</v>
      </c>
      <c r="M434" s="5">
        <v>0</v>
      </c>
      <c r="N434" s="5">
        <v>2.0000000000000001E-4</v>
      </c>
      <c r="O434" s="5">
        <v>47.986590805902154</v>
      </c>
      <c r="P434" s="5">
        <v>47.986590805902154</v>
      </c>
      <c r="Q434" s="5">
        <v>9.660155294919599E-9</v>
      </c>
      <c r="R434" s="5">
        <v>0</v>
      </c>
      <c r="S434" s="5">
        <v>6.0953116447655389E-5</v>
      </c>
      <c r="T434" s="5">
        <v>1.3724266913254178E-5</v>
      </c>
      <c r="U434" s="5">
        <v>1.3724266913254178E-5</v>
      </c>
      <c r="V434" s="5">
        <v>0</v>
      </c>
      <c r="W434" s="5">
        <v>0</v>
      </c>
      <c r="X434" s="5">
        <v>2.957366112154022</v>
      </c>
      <c r="Y434" s="5">
        <v>5626.6900801100155</v>
      </c>
      <c r="Z434" s="5">
        <f t="shared" ref="Z434:AA434" si="205">Z433+0.0002</f>
        <v>1E-3</v>
      </c>
      <c r="AA434" s="5">
        <f t="shared" si="205"/>
        <v>1.2000000000000001E-3</v>
      </c>
      <c r="AB434" s="4">
        <v>2</v>
      </c>
    </row>
    <row r="438" spans="1:28" x14ac:dyDescent="0.25">
      <c r="A438" s="15" t="s">
        <v>82</v>
      </c>
      <c r="C438" s="10" t="s">
        <v>27</v>
      </c>
      <c r="D438" s="10" t="s">
        <v>28</v>
      </c>
      <c r="E438" s="10" t="s">
        <v>29</v>
      </c>
      <c r="F438" s="10" t="s">
        <v>30</v>
      </c>
      <c r="G438" s="10" t="s">
        <v>31</v>
      </c>
      <c r="H438" s="10" t="s">
        <v>75</v>
      </c>
      <c r="I438" s="10" t="s">
        <v>32</v>
      </c>
      <c r="J438" s="10" t="s">
        <v>33</v>
      </c>
      <c r="K438" s="10" t="s">
        <v>34</v>
      </c>
      <c r="L438" s="10" t="s">
        <v>35</v>
      </c>
      <c r="M438" s="10" t="s">
        <v>36</v>
      </c>
      <c r="N438" s="10" t="s">
        <v>37</v>
      </c>
      <c r="O438" s="10" t="s">
        <v>38</v>
      </c>
      <c r="P438" s="10" t="s">
        <v>39</v>
      </c>
      <c r="Q438" s="10" t="s">
        <v>40</v>
      </c>
      <c r="R438" s="10" t="s">
        <v>41</v>
      </c>
      <c r="S438" s="10" t="s">
        <v>42</v>
      </c>
      <c r="T438" s="10" t="s">
        <v>76</v>
      </c>
      <c r="U438" s="10" t="s">
        <v>77</v>
      </c>
      <c r="V438" s="10" t="s">
        <v>78</v>
      </c>
      <c r="W438" s="10" t="s">
        <v>79</v>
      </c>
      <c r="X438" s="10" t="s">
        <v>80</v>
      </c>
      <c r="Y438" s="10" t="s">
        <v>43</v>
      </c>
      <c r="Z438" s="10" t="s">
        <v>44</v>
      </c>
      <c r="AA438" s="10" t="s">
        <v>45</v>
      </c>
      <c r="AB438" s="10" t="s">
        <v>46</v>
      </c>
    </row>
    <row r="439" spans="1:28" x14ac:dyDescent="0.25">
      <c r="A439" s="12" t="s">
        <v>86</v>
      </c>
      <c r="B439" t="s">
        <v>183</v>
      </c>
      <c r="C439" s="11">
        <v>1</v>
      </c>
      <c r="D439" s="5">
        <v>127480571108.78488</v>
      </c>
      <c r="E439" s="5">
        <v>127480571108.78488</v>
      </c>
      <c r="F439" s="5">
        <v>0.30038537068435484</v>
      </c>
      <c r="G439" s="5">
        <v>0</v>
      </c>
      <c r="H439" s="5">
        <v>46399999999.999809</v>
      </c>
      <c r="I439" s="5">
        <v>41819999999.999992</v>
      </c>
      <c r="J439" s="5">
        <v>41819999999.999992</v>
      </c>
      <c r="K439" s="5">
        <v>7.9837940896078915E-12</v>
      </c>
      <c r="L439" s="5">
        <v>7.9837940896078915E-12</v>
      </c>
      <c r="M439" s="5">
        <v>0</v>
      </c>
      <c r="N439" s="5">
        <v>2.0000000000000001E-4</v>
      </c>
      <c r="O439" s="5">
        <v>124.59740259740039</v>
      </c>
      <c r="P439" s="5">
        <v>124.59740259740039</v>
      </c>
      <c r="Q439" s="5">
        <v>-1.3898555555553248E-9</v>
      </c>
      <c r="R439" s="5">
        <v>0</v>
      </c>
      <c r="S439" s="5">
        <v>1.4029999999999766E-4</v>
      </c>
      <c r="T439" s="5">
        <v>7.4300000000000898E-6</v>
      </c>
      <c r="U439" s="5">
        <v>7.4300000000000898E-6</v>
      </c>
      <c r="V439" s="5">
        <v>0</v>
      </c>
      <c r="W439" s="5">
        <v>0</v>
      </c>
      <c r="X439" s="5">
        <v>1.930000000000011</v>
      </c>
      <c r="Y439" s="5">
        <v>4190.0000000000082</v>
      </c>
      <c r="Z439" s="5">
        <v>-1.1999999999999999E-3</v>
      </c>
      <c r="AA439" s="5">
        <v>-1E-3</v>
      </c>
      <c r="AB439" s="4">
        <v>2</v>
      </c>
    </row>
    <row r="440" spans="1:28" x14ac:dyDescent="0.25">
      <c r="C440" s="4">
        <v>2</v>
      </c>
      <c r="D440" s="5">
        <v>127480571073.17221</v>
      </c>
      <c r="E440" s="5">
        <v>127480571073.17221</v>
      </c>
      <c r="F440" s="5">
        <v>0.30038537062774107</v>
      </c>
      <c r="G440" s="5">
        <v>0</v>
      </c>
      <c r="H440" s="5">
        <v>46399999988.824127</v>
      </c>
      <c r="I440" s="5">
        <v>41819999999.441208</v>
      </c>
      <c r="J440" s="5">
        <v>41819999999.441208</v>
      </c>
      <c r="K440" s="5">
        <v>7.9837940152542741E-12</v>
      </c>
      <c r="L440" s="5">
        <v>7.9837940152542741E-12</v>
      </c>
      <c r="M440" s="5">
        <v>0</v>
      </c>
      <c r="N440" s="5">
        <v>2.0000000000000001E-4</v>
      </c>
      <c r="O440" s="5">
        <v>124.59740246846883</v>
      </c>
      <c r="P440" s="5">
        <v>124.59740246846883</v>
      </c>
      <c r="Q440" s="5">
        <v>-1.3898555419186132E-9</v>
      </c>
      <c r="R440" s="5">
        <v>0</v>
      </c>
      <c r="S440" s="5">
        <v>1.4029999986309556E-4</v>
      </c>
      <c r="T440" s="5">
        <v>7.4300000053085385E-6</v>
      </c>
      <c r="U440" s="5">
        <v>7.4300000053085385E-6</v>
      </c>
      <c r="V440" s="5">
        <v>0</v>
      </c>
      <c r="W440" s="5">
        <v>0</v>
      </c>
      <c r="X440" s="5">
        <v>1.9300000006519256</v>
      </c>
      <c r="Y440" s="5">
        <v>4190.0000004656613</v>
      </c>
      <c r="Z440" s="5">
        <f t="shared" ref="Z440:AA440" si="206">Z439+0.0002</f>
        <v>-9.999999999999998E-4</v>
      </c>
      <c r="AA440" s="5">
        <f t="shared" si="206"/>
        <v>-8.0000000000000004E-4</v>
      </c>
      <c r="AB440" s="4">
        <v>2</v>
      </c>
    </row>
    <row r="441" spans="1:28" x14ac:dyDescent="0.25">
      <c r="C441" s="4">
        <v>3</v>
      </c>
      <c r="D441" s="5">
        <v>127480565219.00049</v>
      </c>
      <c r="E441" s="5">
        <v>127480565219.00049</v>
      </c>
      <c r="F441" s="5">
        <v>0.30038536132131671</v>
      </c>
      <c r="G441" s="5">
        <v>0</v>
      </c>
      <c r="H441" s="5">
        <v>46399998151.715286</v>
      </c>
      <c r="I441" s="5">
        <v>41819999907.585762</v>
      </c>
      <c r="J441" s="5">
        <v>41819999907.585762</v>
      </c>
      <c r="K441" s="5">
        <v>7.9837817926719891E-12</v>
      </c>
      <c r="L441" s="5">
        <v>7.9837817926719891E-12</v>
      </c>
      <c r="M441" s="5">
        <v>0</v>
      </c>
      <c r="N441" s="5">
        <v>2.0000000000000001E-4</v>
      </c>
      <c r="O441" s="5">
        <v>124.59738127411785</v>
      </c>
      <c r="P441" s="5">
        <v>124.59738127411785</v>
      </c>
      <c r="Q441" s="5">
        <v>-1.3898533002545856E-9</v>
      </c>
      <c r="R441" s="5">
        <v>0</v>
      </c>
      <c r="S441" s="5">
        <v>1.4029997735851222E-4</v>
      </c>
      <c r="T441" s="5">
        <v>7.4300008779352401E-6</v>
      </c>
      <c r="U441" s="5">
        <v>7.4300008779352401E-6</v>
      </c>
      <c r="V441" s="5">
        <v>0</v>
      </c>
      <c r="W441" s="5">
        <v>0</v>
      </c>
      <c r="X441" s="5">
        <v>1.9300001078166085</v>
      </c>
      <c r="Y441" s="5">
        <v>4190.0000770118631</v>
      </c>
      <c r="Z441" s="5">
        <f t="shared" ref="Z441:AA441" si="207">Z440+0.0002</f>
        <v>-7.9999999999999982E-4</v>
      </c>
      <c r="AA441" s="5">
        <f t="shared" si="207"/>
        <v>-6.0000000000000006E-4</v>
      </c>
      <c r="AB441" s="4">
        <v>2</v>
      </c>
    </row>
    <row r="442" spans="1:28" x14ac:dyDescent="0.25">
      <c r="C442" s="4">
        <v>4</v>
      </c>
      <c r="D442" s="5">
        <v>127480400744.01227</v>
      </c>
      <c r="E442" s="5">
        <v>127480400744.01227</v>
      </c>
      <c r="F442" s="5">
        <v>0.30038509985409312</v>
      </c>
      <c r="G442" s="5">
        <v>0</v>
      </c>
      <c r="H442" s="5">
        <v>46399946537.504211</v>
      </c>
      <c r="I442" s="5">
        <v>41819997326.875214</v>
      </c>
      <c r="J442" s="5">
        <v>41819997326.875214</v>
      </c>
      <c r="K442" s="5">
        <v>7.9834383949775569E-12</v>
      </c>
      <c r="L442" s="5">
        <v>7.9834383949775569E-12</v>
      </c>
      <c r="M442" s="5">
        <v>0</v>
      </c>
      <c r="N442" s="5">
        <v>2.0000000000000001E-4</v>
      </c>
      <c r="O442" s="5">
        <v>124.59678581146628</v>
      </c>
      <c r="P442" s="5">
        <v>124.59678581146628</v>
      </c>
      <c r="Q442" s="5">
        <v>-1.3897903199251592E-9</v>
      </c>
      <c r="R442" s="5">
        <v>0</v>
      </c>
      <c r="S442" s="5">
        <v>1.4029934508442656E-4</v>
      </c>
      <c r="T442" s="5">
        <v>7.4300253946855E-6</v>
      </c>
      <c r="U442" s="5">
        <v>7.4300253946855E-6</v>
      </c>
      <c r="V442" s="5">
        <v>0</v>
      </c>
      <c r="W442" s="5">
        <v>0</v>
      </c>
      <c r="X442" s="5">
        <v>1.9300031186455879</v>
      </c>
      <c r="Y442" s="5">
        <v>4190.0022276039917</v>
      </c>
      <c r="Z442" s="5">
        <f t="shared" ref="Z442:AA442" si="208">Z441+0.0002</f>
        <v>-5.9999999999999984E-4</v>
      </c>
      <c r="AA442" s="5">
        <f t="shared" si="208"/>
        <v>-4.0000000000000007E-4</v>
      </c>
      <c r="AB442" s="4">
        <v>2</v>
      </c>
    </row>
    <row r="443" spans="1:28" x14ac:dyDescent="0.25">
      <c r="C443" s="4">
        <v>5</v>
      </c>
      <c r="D443" s="5">
        <v>127478468180.34906</v>
      </c>
      <c r="E443" s="5">
        <v>127478468180.34906</v>
      </c>
      <c r="F443" s="5">
        <v>0.30038202764195288</v>
      </c>
      <c r="G443" s="5">
        <v>0</v>
      </c>
      <c r="H443" s="5">
        <v>46399340075.999496</v>
      </c>
      <c r="I443" s="5">
        <v>41819967003.799973</v>
      </c>
      <c r="J443" s="5">
        <v>41819967003.799973</v>
      </c>
      <c r="K443" s="5">
        <v>7.9794035084968196E-12</v>
      </c>
      <c r="L443" s="5">
        <v>7.9794035084968196E-12</v>
      </c>
      <c r="M443" s="5">
        <v>0</v>
      </c>
      <c r="N443" s="5">
        <v>2.0000000000000001E-4</v>
      </c>
      <c r="O443" s="5">
        <v>124.58978918847905</v>
      </c>
      <c r="P443" s="5">
        <v>124.58978918847905</v>
      </c>
      <c r="Q443" s="5">
        <v>-1.3890503077355732E-9</v>
      </c>
      <c r="R443" s="5">
        <v>0</v>
      </c>
      <c r="S443" s="5">
        <v>1.4029191593099385E-4</v>
      </c>
      <c r="T443" s="5">
        <v>7.4303134639002377E-6</v>
      </c>
      <c r="U443" s="5">
        <v>7.4303134639002377E-6</v>
      </c>
      <c r="V443" s="5">
        <v>0</v>
      </c>
      <c r="W443" s="5">
        <v>0</v>
      </c>
      <c r="X443" s="5">
        <v>1.930038495566696</v>
      </c>
      <c r="Y443" s="5">
        <v>4190.0274968333542</v>
      </c>
      <c r="Z443" s="5">
        <f t="shared" ref="Z443:AA443" si="209">Z442+0.0002</f>
        <v>-3.9999999999999986E-4</v>
      </c>
      <c r="AA443" s="5">
        <f t="shared" si="209"/>
        <v>-2.0000000000000006E-4</v>
      </c>
      <c r="AB443" s="4">
        <v>2</v>
      </c>
    </row>
    <row r="444" spans="1:28" x14ac:dyDescent="0.25">
      <c r="C444" s="4">
        <v>6</v>
      </c>
      <c r="D444" s="5">
        <v>127464927885.26245</v>
      </c>
      <c r="E444" s="5">
        <v>127464927885.26245</v>
      </c>
      <c r="F444" s="5">
        <v>0.30036050252495977</v>
      </c>
      <c r="G444" s="5">
        <v>0</v>
      </c>
      <c r="H444" s="5">
        <v>46395090970.06385</v>
      </c>
      <c r="I444" s="5">
        <v>41819754548.503189</v>
      </c>
      <c r="J444" s="5">
        <v>41819754548.503189</v>
      </c>
      <c r="K444" s="5">
        <v>7.9511335194508749E-12</v>
      </c>
      <c r="L444" s="5">
        <v>7.9511335194508749E-12</v>
      </c>
      <c r="M444" s="5">
        <v>0</v>
      </c>
      <c r="N444" s="5">
        <v>2.0000000000000001E-4</v>
      </c>
      <c r="O444" s="5">
        <v>124.54076811783619</v>
      </c>
      <c r="P444" s="5">
        <v>124.54076811783619</v>
      </c>
      <c r="Q444" s="5">
        <v>-1.3838654935918952E-9</v>
      </c>
      <c r="R444" s="5">
        <v>0</v>
      </c>
      <c r="S444" s="5">
        <v>1.4023986438328219E-4</v>
      </c>
      <c r="T444" s="5">
        <v>7.4323317892196704E-6</v>
      </c>
      <c r="U444" s="5">
        <v>7.4323317892196704E-6</v>
      </c>
      <c r="V444" s="5">
        <v>0</v>
      </c>
      <c r="W444" s="5">
        <v>0</v>
      </c>
      <c r="X444" s="5">
        <v>1.9302863600796087</v>
      </c>
      <c r="Y444" s="5">
        <v>4190.2045429140062</v>
      </c>
      <c r="Z444" s="5">
        <f t="shared" ref="Z444:AA444" si="210">Z443+0.0002</f>
        <v>-1.9999999999999985E-4</v>
      </c>
      <c r="AA444" s="5">
        <f t="shared" si="210"/>
        <v>0</v>
      </c>
      <c r="AB444" s="4">
        <v>2</v>
      </c>
    </row>
    <row r="445" spans="1:28" x14ac:dyDescent="0.25">
      <c r="C445" s="4">
        <v>7</v>
      </c>
      <c r="D445" s="5">
        <v>127397426724.34039</v>
      </c>
      <c r="E445" s="5">
        <v>127397426724.34039</v>
      </c>
      <c r="F445" s="5">
        <v>0.30025319538159795</v>
      </c>
      <c r="G445" s="5">
        <v>0</v>
      </c>
      <c r="H445" s="5">
        <v>46373908301.46595</v>
      </c>
      <c r="I445" s="5">
        <v>41818695415.073296</v>
      </c>
      <c r="J445" s="5">
        <v>41818695415.073296</v>
      </c>
      <c r="K445" s="5">
        <v>7.8102017991558188E-12</v>
      </c>
      <c r="L445" s="5">
        <v>7.8102017991558188E-12</v>
      </c>
      <c r="M445" s="5">
        <v>0</v>
      </c>
      <c r="N445" s="5">
        <v>2.0000000000000001E-4</v>
      </c>
      <c r="O445" s="5">
        <v>124.29638798011584</v>
      </c>
      <c r="P445" s="5">
        <v>124.29638798011584</v>
      </c>
      <c r="Q445" s="5">
        <v>-1.3580181267785885E-9</v>
      </c>
      <c r="R445" s="5">
        <v>0</v>
      </c>
      <c r="S445" s="5">
        <v>1.3998037669295791E-4</v>
      </c>
      <c r="T445" s="5">
        <v>7.4423935568036733E-6</v>
      </c>
      <c r="U445" s="5">
        <v>7.4423935568036733E-6</v>
      </c>
      <c r="V445" s="5">
        <v>0</v>
      </c>
      <c r="W445" s="5">
        <v>0</v>
      </c>
      <c r="X445" s="5">
        <v>1.9315220157478195</v>
      </c>
      <c r="Y445" s="5">
        <v>4191.0871541055849</v>
      </c>
      <c r="Z445" s="5">
        <f t="shared" ref="Z445:AA445" si="211">Z444+0.0002</f>
        <v>0</v>
      </c>
      <c r="AA445" s="5">
        <f t="shared" si="211"/>
        <v>2.0000000000000001E-4</v>
      </c>
      <c r="AB445" s="4">
        <v>2</v>
      </c>
    </row>
    <row r="446" spans="1:28" x14ac:dyDescent="0.25">
      <c r="C446" s="4">
        <v>8</v>
      </c>
      <c r="D446" s="5">
        <v>127132785193.49301</v>
      </c>
      <c r="E446" s="5">
        <v>127132785193.49301</v>
      </c>
      <c r="F446" s="5">
        <v>0.29983249259216144</v>
      </c>
      <c r="G446" s="5">
        <v>0</v>
      </c>
      <c r="H446" s="5">
        <v>46290860635.787247</v>
      </c>
      <c r="I446" s="5">
        <v>41814543031.78936</v>
      </c>
      <c r="J446" s="5">
        <v>41814543031.78936</v>
      </c>
      <c r="K446" s="5">
        <v>7.2576722471545962E-12</v>
      </c>
      <c r="L446" s="5">
        <v>7.2576722471545962E-12</v>
      </c>
      <c r="M446" s="5">
        <v>0</v>
      </c>
      <c r="N446" s="5">
        <v>2.0000000000000001E-4</v>
      </c>
      <c r="O446" s="5">
        <v>123.33828395832472</v>
      </c>
      <c r="P446" s="5">
        <v>123.33828395832472</v>
      </c>
      <c r="Q446" s="5">
        <v>-1.2566822885736204E-9</v>
      </c>
      <c r="R446" s="5">
        <v>0</v>
      </c>
      <c r="S446" s="5">
        <v>1.3896304278839379E-4</v>
      </c>
      <c r="T446" s="5">
        <v>7.4818411980010569E-6</v>
      </c>
      <c r="U446" s="5">
        <v>7.4818411980010569E-6</v>
      </c>
      <c r="V446" s="5">
        <v>0</v>
      </c>
      <c r="W446" s="5">
        <v>0</v>
      </c>
      <c r="X446" s="5">
        <v>1.9363664629124104</v>
      </c>
      <c r="Y446" s="5">
        <v>4194.5474735088646</v>
      </c>
      <c r="Z446" s="5">
        <f t="shared" ref="Z446:AA446" si="212">Z445+0.0002</f>
        <v>2.0000000000000001E-4</v>
      </c>
      <c r="AA446" s="5">
        <f t="shared" si="212"/>
        <v>4.0000000000000002E-4</v>
      </c>
      <c r="AB446" s="4">
        <v>2</v>
      </c>
    </row>
    <row r="447" spans="1:28" x14ac:dyDescent="0.25">
      <c r="C447" s="4">
        <v>9</v>
      </c>
      <c r="D447" s="5">
        <v>126264696992.87311</v>
      </c>
      <c r="E447" s="5">
        <v>126264696992.87311</v>
      </c>
      <c r="F447" s="5">
        <v>0.29845248573417371</v>
      </c>
      <c r="G447" s="5">
        <v>0</v>
      </c>
      <c r="H447" s="5">
        <v>46018444214.850327</v>
      </c>
      <c r="I447" s="5">
        <v>41800922210.742516</v>
      </c>
      <c r="J447" s="5">
        <v>41800922210.742516</v>
      </c>
      <c r="K447" s="5">
        <v>5.4452417376640214E-12</v>
      </c>
      <c r="L447" s="5">
        <v>5.4452417376640214E-12</v>
      </c>
      <c r="M447" s="5">
        <v>0</v>
      </c>
      <c r="N447" s="5">
        <v>2.0000000000000001E-4</v>
      </c>
      <c r="O447" s="5">
        <v>120.19547113669313</v>
      </c>
      <c r="P447" s="5">
        <v>120.19547113669313</v>
      </c>
      <c r="Q447" s="5">
        <v>-9.2427624042241088E-10</v>
      </c>
      <c r="R447" s="5">
        <v>0</v>
      </c>
      <c r="S447" s="5">
        <v>1.3562594163191649E-4</v>
      </c>
      <c r="T447" s="5">
        <v>7.6112389979460951E-6</v>
      </c>
      <c r="U447" s="5">
        <v>7.6112389979460951E-6</v>
      </c>
      <c r="V447" s="5">
        <v>0</v>
      </c>
      <c r="W447" s="5">
        <v>0</v>
      </c>
      <c r="X447" s="5">
        <v>1.9522574208003978</v>
      </c>
      <c r="Y447" s="5">
        <v>4205.8981577145696</v>
      </c>
      <c r="Z447" s="5">
        <f t="shared" ref="Z447:AA447" si="213">Z446+0.0002</f>
        <v>4.0000000000000002E-4</v>
      </c>
      <c r="AA447" s="5">
        <f t="shared" si="213"/>
        <v>6.0000000000000006E-4</v>
      </c>
      <c r="AB447" s="4">
        <v>2</v>
      </c>
    </row>
    <row r="448" spans="1:28" x14ac:dyDescent="0.25">
      <c r="C448" s="4">
        <v>10</v>
      </c>
      <c r="D448" s="5">
        <v>123782839303.0773</v>
      </c>
      <c r="E448" s="5">
        <v>123782839303.0773</v>
      </c>
      <c r="F448" s="5">
        <v>0.29450705642178115</v>
      </c>
      <c r="G448" s="5">
        <v>0</v>
      </c>
      <c r="H448" s="5">
        <v>45239607699.567482</v>
      </c>
      <c r="I448" s="5">
        <v>41761980384.978371</v>
      </c>
      <c r="J448" s="5">
        <v>41761980384.978371</v>
      </c>
      <c r="K448" s="5">
        <v>2.6351643142488552E-13</v>
      </c>
      <c r="L448" s="5">
        <v>2.6351643142488552E-13</v>
      </c>
      <c r="M448" s="5">
        <v>0</v>
      </c>
      <c r="N448" s="5">
        <v>2.0000000000000001E-4</v>
      </c>
      <c r="O448" s="5">
        <v>111.21019272444732</v>
      </c>
      <c r="P448" s="5">
        <v>111.21019272444732</v>
      </c>
      <c r="Q448" s="5">
        <v>2.607017155461816E-11</v>
      </c>
      <c r="R448" s="5">
        <v>0</v>
      </c>
      <c r="S448" s="5">
        <v>1.2608519431970162E-4</v>
      </c>
      <c r="T448" s="5">
        <v>7.9811863427054469E-6</v>
      </c>
      <c r="U448" s="5">
        <v>7.9811863427054469E-6</v>
      </c>
      <c r="V448" s="5">
        <v>0</v>
      </c>
      <c r="W448" s="5">
        <v>0</v>
      </c>
      <c r="X448" s="5">
        <v>1.9976895508585637</v>
      </c>
      <c r="Y448" s="5">
        <v>4238.3496791846883</v>
      </c>
      <c r="Z448" s="5">
        <f t="shared" ref="Z448:AA448" si="214">Z447+0.0002</f>
        <v>6.0000000000000006E-4</v>
      </c>
      <c r="AA448" s="5">
        <f t="shared" si="214"/>
        <v>8.0000000000000004E-4</v>
      </c>
      <c r="AB448" s="4">
        <v>2</v>
      </c>
    </row>
    <row r="449" spans="1:28" x14ac:dyDescent="0.25">
      <c r="C449" s="4">
        <v>11</v>
      </c>
      <c r="D449" s="5">
        <v>117420701615.44186</v>
      </c>
      <c r="E449" s="5">
        <v>117420701615.44186</v>
      </c>
      <c r="F449" s="5">
        <v>0.28439311450420923</v>
      </c>
      <c r="G449" s="5">
        <v>0</v>
      </c>
      <c r="H449" s="5">
        <v>43243093086.034058</v>
      </c>
      <c r="I449" s="5">
        <v>41662154654.301704</v>
      </c>
      <c r="J449" s="5">
        <v>41662154654.301704</v>
      </c>
      <c r="K449" s="5">
        <v>-1.3019618211363796E-11</v>
      </c>
      <c r="L449" s="5">
        <v>-1.3019618211363796E-11</v>
      </c>
      <c r="M449" s="5">
        <v>0</v>
      </c>
      <c r="N449" s="5">
        <v>2.0000000000000001E-4</v>
      </c>
      <c r="O449" s="5">
        <v>88.176809845371281</v>
      </c>
      <c r="P449" s="5">
        <v>88.176809845371281</v>
      </c>
      <c r="Q449" s="5">
        <v>2.4622431837330889E-9</v>
      </c>
      <c r="R449" s="5">
        <v>0</v>
      </c>
      <c r="S449" s="5">
        <v>1.0162789030391723E-4</v>
      </c>
      <c r="T449" s="5">
        <v>8.9295307841338207E-6</v>
      </c>
      <c r="U449" s="5">
        <v>8.9295307841338207E-6</v>
      </c>
      <c r="V449" s="5">
        <v>0</v>
      </c>
      <c r="W449" s="5">
        <v>0</v>
      </c>
      <c r="X449" s="5">
        <v>2.1141529033146798</v>
      </c>
      <c r="Y449" s="5">
        <v>4321.5377880819142</v>
      </c>
      <c r="Z449" s="5">
        <f t="shared" ref="Z449:AA449" si="215">Z448+0.0002</f>
        <v>8.0000000000000004E-4</v>
      </c>
      <c r="AA449" s="5">
        <f t="shared" si="215"/>
        <v>1E-3</v>
      </c>
      <c r="AB449" s="4">
        <v>2</v>
      </c>
    </row>
    <row r="450" spans="1:28" x14ac:dyDescent="0.25">
      <c r="B450" t="s">
        <v>187</v>
      </c>
      <c r="C450" s="11">
        <v>12</v>
      </c>
      <c r="D450" s="5">
        <v>102495662828.0554</v>
      </c>
      <c r="E450" s="5">
        <v>102495662828.0554</v>
      </c>
      <c r="F450" s="5">
        <v>0.26066665921128129</v>
      </c>
      <c r="G450" s="5">
        <v>0</v>
      </c>
      <c r="H450" s="5">
        <v>38559438077.359627</v>
      </c>
      <c r="I450" s="5">
        <v>41427971903.867981</v>
      </c>
      <c r="J450" s="5">
        <v>41427971903.867981</v>
      </c>
      <c r="K450" s="5">
        <v>-4.4180732524716502E-11</v>
      </c>
      <c r="L450" s="5">
        <v>-4.4180732524716502E-11</v>
      </c>
      <c r="M450" s="5">
        <v>0</v>
      </c>
      <c r="N450" s="5">
        <v>2.0000000000000001E-4</v>
      </c>
      <c r="O450" s="5">
        <v>34.142434961746311</v>
      </c>
      <c r="P450" s="5">
        <v>34.142434961746311</v>
      </c>
      <c r="Q450" s="5">
        <v>8.1772997393640437E-9</v>
      </c>
      <c r="R450" s="5">
        <v>0</v>
      </c>
      <c r="S450" s="5">
        <v>4.425311644765539E-5</v>
      </c>
      <c r="T450" s="5">
        <v>1.1154266913254177E-5</v>
      </c>
      <c r="U450" s="5">
        <v>1.1154266913254177E-5</v>
      </c>
      <c r="V450" s="5">
        <v>0</v>
      </c>
      <c r="W450" s="5">
        <v>0</v>
      </c>
      <c r="X450" s="5">
        <v>2.3873661121540222</v>
      </c>
      <c r="Y450" s="5">
        <v>4516.6900801100155</v>
      </c>
      <c r="Z450" s="5">
        <f t="shared" ref="Z450:AA450" si="216">Z449+0.0002</f>
        <v>1E-3</v>
      </c>
      <c r="AA450" s="5">
        <f t="shared" si="216"/>
        <v>1.2000000000000001E-3</v>
      </c>
      <c r="AB450" s="4">
        <v>2</v>
      </c>
    </row>
    <row r="454" spans="1:28" x14ac:dyDescent="0.25">
      <c r="A454" s="15" t="s">
        <v>252</v>
      </c>
      <c r="C454" s="10" t="s">
        <v>27</v>
      </c>
      <c r="D454" s="10" t="s">
        <v>28</v>
      </c>
      <c r="E454" s="10" t="s">
        <v>29</v>
      </c>
      <c r="F454" s="10" t="s">
        <v>30</v>
      </c>
      <c r="G454" s="10" t="s">
        <v>31</v>
      </c>
      <c r="H454" s="10" t="s">
        <v>75</v>
      </c>
      <c r="I454" s="10" t="s">
        <v>32</v>
      </c>
      <c r="J454" s="10" t="s">
        <v>33</v>
      </c>
      <c r="K454" s="10" t="s">
        <v>34</v>
      </c>
      <c r="L454" s="10" t="s">
        <v>35</v>
      </c>
      <c r="M454" s="10" t="s">
        <v>36</v>
      </c>
      <c r="N454" s="10" t="s">
        <v>37</v>
      </c>
      <c r="O454" s="10" t="s">
        <v>38</v>
      </c>
      <c r="P454" s="10" t="s">
        <v>39</v>
      </c>
      <c r="Q454" s="10" t="s">
        <v>40</v>
      </c>
      <c r="R454" s="10" t="s">
        <v>41</v>
      </c>
      <c r="S454" s="10" t="s">
        <v>42</v>
      </c>
      <c r="T454" s="10" t="s">
        <v>76</v>
      </c>
      <c r="U454" s="10" t="s">
        <v>77</v>
      </c>
      <c r="V454" s="10" t="s">
        <v>78</v>
      </c>
      <c r="W454" s="10" t="s">
        <v>79</v>
      </c>
      <c r="X454" s="10" t="s">
        <v>80</v>
      </c>
      <c r="Y454" s="10" t="s">
        <v>43</v>
      </c>
      <c r="Z454" s="10" t="s">
        <v>44</v>
      </c>
      <c r="AA454" s="10" t="s">
        <v>45</v>
      </c>
      <c r="AB454" s="10" t="s">
        <v>46</v>
      </c>
    </row>
    <row r="455" spans="1:28" x14ac:dyDescent="0.25">
      <c r="A455" s="12" t="s">
        <v>86</v>
      </c>
      <c r="B455" t="s">
        <v>183</v>
      </c>
      <c r="C455" s="11">
        <v>1</v>
      </c>
      <c r="D455" s="5">
        <v>113935466331.69165</v>
      </c>
      <c r="E455" s="5">
        <v>113935466331.69165</v>
      </c>
      <c r="F455" s="5">
        <v>0.26663654866824976</v>
      </c>
      <c r="G455" s="5">
        <v>0</v>
      </c>
      <c r="H455" s="5">
        <v>41349999999.999809</v>
      </c>
      <c r="I455" s="5">
        <v>36629999999.999992</v>
      </c>
      <c r="J455" s="5">
        <v>36629999999.999992</v>
      </c>
      <c r="K455" s="5">
        <v>1.1975691134412466E-11</v>
      </c>
      <c r="L455" s="5">
        <v>1.1975691134412466E-11</v>
      </c>
      <c r="M455" s="5">
        <v>0</v>
      </c>
      <c r="N455" s="5">
        <v>2.0000000000000001E-4</v>
      </c>
      <c r="O455" s="5">
        <v>117.67532467532246</v>
      </c>
      <c r="P455" s="5">
        <v>117.67532467532246</v>
      </c>
      <c r="Q455" s="5">
        <v>-2.1312833333331026E-9</v>
      </c>
      <c r="R455" s="5">
        <v>0</v>
      </c>
      <c r="S455" s="5">
        <v>1.3194999999999765E-4</v>
      </c>
      <c r="T455" s="5">
        <v>6.1450000000000902E-6</v>
      </c>
      <c r="U455" s="5">
        <v>6.1450000000000902E-6</v>
      </c>
      <c r="V455" s="5">
        <v>0</v>
      </c>
      <c r="W455" s="5">
        <v>0</v>
      </c>
      <c r="X455" s="5">
        <v>1.6450000000000111</v>
      </c>
      <c r="Y455" s="5">
        <v>3635.0000000000082</v>
      </c>
      <c r="Z455" s="5">
        <v>-1.1999999999999999E-3</v>
      </c>
      <c r="AA455" s="5">
        <v>-1E-3</v>
      </c>
      <c r="AB455" s="4">
        <v>2</v>
      </c>
    </row>
    <row r="456" spans="1:28" x14ac:dyDescent="0.25">
      <c r="C456" s="4">
        <v>2</v>
      </c>
      <c r="D456" s="5">
        <v>113935466296.07898</v>
      </c>
      <c r="E456" s="5">
        <v>113935466296.07898</v>
      </c>
      <c r="F456" s="5">
        <v>0.26663654861163599</v>
      </c>
      <c r="G456" s="5">
        <v>0</v>
      </c>
      <c r="H456" s="5">
        <v>41349999988.824127</v>
      </c>
      <c r="I456" s="5">
        <v>36629999999.441208</v>
      </c>
      <c r="J456" s="5">
        <v>36629999999.441208</v>
      </c>
      <c r="K456" s="5">
        <v>1.1975691060058848E-11</v>
      </c>
      <c r="L456" s="5">
        <v>1.1975691060058848E-11</v>
      </c>
      <c r="M456" s="5">
        <v>0</v>
      </c>
      <c r="N456" s="5">
        <v>2.0000000000000001E-4</v>
      </c>
      <c r="O456" s="5">
        <v>117.6753245463909</v>
      </c>
      <c r="P456" s="5">
        <v>117.6753245463909</v>
      </c>
      <c r="Q456" s="5">
        <v>-2.1312833196963908E-9</v>
      </c>
      <c r="R456" s="5">
        <v>0</v>
      </c>
      <c r="S456" s="5">
        <v>1.3194999986309555E-4</v>
      </c>
      <c r="T456" s="5">
        <v>6.1450000053085389E-6</v>
      </c>
      <c r="U456" s="5">
        <v>6.1450000053085389E-6</v>
      </c>
      <c r="V456" s="5">
        <v>0</v>
      </c>
      <c r="W456" s="5">
        <v>0</v>
      </c>
      <c r="X456" s="5">
        <v>1.6450000006519256</v>
      </c>
      <c r="Y456" s="5">
        <v>3635.0000004656613</v>
      </c>
      <c r="Z456" s="5">
        <f t="shared" ref="Z456:AA456" si="217">Z455+0.0002</f>
        <v>-9.999999999999998E-4</v>
      </c>
      <c r="AA456" s="5">
        <f t="shared" si="217"/>
        <v>-8.0000000000000004E-4</v>
      </c>
      <c r="AB456" s="4">
        <v>2</v>
      </c>
    </row>
    <row r="457" spans="1:28" x14ac:dyDescent="0.25">
      <c r="C457" s="4">
        <v>3</v>
      </c>
      <c r="D457" s="5">
        <v>113935460441.90726</v>
      </c>
      <c r="E457" s="5">
        <v>113935460441.90726</v>
      </c>
      <c r="F457" s="5">
        <v>0.26663653930521164</v>
      </c>
      <c r="G457" s="5">
        <v>0</v>
      </c>
      <c r="H457" s="5">
        <v>41349998151.715286</v>
      </c>
      <c r="I457" s="5">
        <v>36629999907.585762</v>
      </c>
      <c r="J457" s="5">
        <v>36629999907.585762</v>
      </c>
      <c r="K457" s="5">
        <v>1.1975678837476563E-11</v>
      </c>
      <c r="L457" s="5">
        <v>1.1975678837476563E-11</v>
      </c>
      <c r="M457" s="5">
        <v>0</v>
      </c>
      <c r="N457" s="5">
        <v>2.0000000000000001E-4</v>
      </c>
      <c r="O457" s="5">
        <v>117.67530335203992</v>
      </c>
      <c r="P457" s="5">
        <v>117.67530335203992</v>
      </c>
      <c r="Q457" s="5">
        <v>-2.1312810780323635E-9</v>
      </c>
      <c r="R457" s="5">
        <v>0</v>
      </c>
      <c r="S457" s="5">
        <v>1.3194997735851223E-4</v>
      </c>
      <c r="T457" s="5">
        <v>6.1450008779352406E-6</v>
      </c>
      <c r="U457" s="5">
        <v>6.1450008779352406E-6</v>
      </c>
      <c r="V457" s="5">
        <v>0</v>
      </c>
      <c r="W457" s="5">
        <v>0</v>
      </c>
      <c r="X457" s="5">
        <v>1.6450001078166085</v>
      </c>
      <c r="Y457" s="5">
        <v>3635.0000770118631</v>
      </c>
      <c r="Z457" s="5">
        <f t="shared" ref="Z457:AA457" si="218">Z456+0.0002</f>
        <v>-7.9999999999999982E-4</v>
      </c>
      <c r="AA457" s="5">
        <f t="shared" si="218"/>
        <v>-6.0000000000000006E-4</v>
      </c>
      <c r="AB457" s="4">
        <v>2</v>
      </c>
    </row>
    <row r="458" spans="1:28" x14ac:dyDescent="0.25">
      <c r="C458" s="4">
        <v>4</v>
      </c>
      <c r="D458" s="5">
        <v>113935295966.91904</v>
      </c>
      <c r="E458" s="5">
        <v>113935295966.91904</v>
      </c>
      <c r="F458" s="5">
        <v>0.26663627783798804</v>
      </c>
      <c r="G458" s="5">
        <v>0</v>
      </c>
      <c r="H458" s="5">
        <v>41349946537.504211</v>
      </c>
      <c r="I458" s="5">
        <v>36629997326.875214</v>
      </c>
      <c r="J458" s="5">
        <v>36629997326.875214</v>
      </c>
      <c r="K458" s="5">
        <v>1.1975335439782131E-11</v>
      </c>
      <c r="L458" s="5">
        <v>1.1975335439782131E-11</v>
      </c>
      <c r="M458" s="5">
        <v>0</v>
      </c>
      <c r="N458" s="5">
        <v>2.0000000000000001E-4</v>
      </c>
      <c r="O458" s="5">
        <v>117.67470788938834</v>
      </c>
      <c r="P458" s="5">
        <v>117.67470788938834</v>
      </c>
      <c r="Q458" s="5">
        <v>-2.1312180977029366E-9</v>
      </c>
      <c r="R458" s="5">
        <v>0</v>
      </c>
      <c r="S458" s="5">
        <v>1.3194934508442655E-4</v>
      </c>
      <c r="T458" s="5">
        <v>6.1450253946855004E-6</v>
      </c>
      <c r="U458" s="5">
        <v>6.1450253946855004E-6</v>
      </c>
      <c r="V458" s="5">
        <v>0</v>
      </c>
      <c r="W458" s="5">
        <v>0</v>
      </c>
      <c r="X458" s="5">
        <v>1.645003118645588</v>
      </c>
      <c r="Y458" s="5">
        <v>3635.0022276039917</v>
      </c>
      <c r="Z458" s="5">
        <f t="shared" ref="Z458:AA458" si="219">Z457+0.0002</f>
        <v>-5.9999999999999984E-4</v>
      </c>
      <c r="AA458" s="5">
        <f t="shared" si="219"/>
        <v>-4.0000000000000007E-4</v>
      </c>
      <c r="AB458" s="4">
        <v>2</v>
      </c>
    </row>
    <row r="459" spans="1:28" x14ac:dyDescent="0.25">
      <c r="C459" s="4">
        <v>5</v>
      </c>
      <c r="D459" s="5">
        <v>113933363403.25583</v>
      </c>
      <c r="E459" s="5">
        <v>113933363403.25583</v>
      </c>
      <c r="F459" s="5">
        <v>0.2666332056258478</v>
      </c>
      <c r="G459" s="5">
        <v>0</v>
      </c>
      <c r="H459" s="5">
        <v>41349340075.999496</v>
      </c>
      <c r="I459" s="5">
        <v>36629967003.799973</v>
      </c>
      <c r="J459" s="5">
        <v>36629967003.799973</v>
      </c>
      <c r="K459" s="5">
        <v>1.1971300553301394E-11</v>
      </c>
      <c r="L459" s="5">
        <v>1.1971300553301394E-11</v>
      </c>
      <c r="M459" s="5">
        <v>0</v>
      </c>
      <c r="N459" s="5">
        <v>2.0000000000000001E-4</v>
      </c>
      <c r="O459" s="5">
        <v>117.66771126640111</v>
      </c>
      <c r="P459" s="5">
        <v>117.66771126640111</v>
      </c>
      <c r="Q459" s="5">
        <v>-2.1304780855133511E-9</v>
      </c>
      <c r="R459" s="5">
        <v>0</v>
      </c>
      <c r="S459" s="5">
        <v>1.3194191593099387E-4</v>
      </c>
      <c r="T459" s="5">
        <v>6.1453134639002381E-6</v>
      </c>
      <c r="U459" s="5">
        <v>6.1453134639002381E-6</v>
      </c>
      <c r="V459" s="5">
        <v>0</v>
      </c>
      <c r="W459" s="5">
        <v>0</v>
      </c>
      <c r="X459" s="5">
        <v>1.6450384955666961</v>
      </c>
      <c r="Y459" s="5">
        <v>3635.0274968333542</v>
      </c>
      <c r="Z459" s="5">
        <f t="shared" ref="Z459:AA459" si="220">Z458+0.0002</f>
        <v>-3.9999999999999986E-4</v>
      </c>
      <c r="AA459" s="5">
        <f t="shared" si="220"/>
        <v>-2.0000000000000006E-4</v>
      </c>
      <c r="AB459" s="4">
        <v>2</v>
      </c>
    </row>
    <row r="460" spans="1:28" x14ac:dyDescent="0.25">
      <c r="C460" s="4">
        <v>6</v>
      </c>
      <c r="D460" s="5">
        <v>113919823108.16922</v>
      </c>
      <c r="E460" s="5">
        <v>113919823108.16922</v>
      </c>
      <c r="F460" s="5">
        <v>0.2666116805088547</v>
      </c>
      <c r="G460" s="5">
        <v>0</v>
      </c>
      <c r="H460" s="5">
        <v>41345090970.06385</v>
      </c>
      <c r="I460" s="5">
        <v>36629754548.503189</v>
      </c>
      <c r="J460" s="5">
        <v>36629754548.503189</v>
      </c>
      <c r="K460" s="5">
        <v>1.1943030564255449E-11</v>
      </c>
      <c r="L460" s="5">
        <v>1.1943030564255449E-11</v>
      </c>
      <c r="M460" s="5">
        <v>0</v>
      </c>
      <c r="N460" s="5">
        <v>2.0000000000000001E-4</v>
      </c>
      <c r="O460" s="5">
        <v>117.61869019575826</v>
      </c>
      <c r="P460" s="5">
        <v>117.61869019575826</v>
      </c>
      <c r="Q460" s="5">
        <v>-2.1252932713696731E-9</v>
      </c>
      <c r="R460" s="5">
        <v>0</v>
      </c>
      <c r="S460" s="5">
        <v>1.3188986438328218E-4</v>
      </c>
      <c r="T460" s="5">
        <v>6.1473317892196708E-6</v>
      </c>
      <c r="U460" s="5">
        <v>6.1473317892196708E-6</v>
      </c>
      <c r="V460" s="5">
        <v>0</v>
      </c>
      <c r="W460" s="5">
        <v>0</v>
      </c>
      <c r="X460" s="5">
        <v>1.6452863600796088</v>
      </c>
      <c r="Y460" s="5">
        <v>3635.2045429140062</v>
      </c>
      <c r="Z460" s="5">
        <f t="shared" ref="Z460:AA460" si="221">Z459+0.0002</f>
        <v>-1.9999999999999985E-4</v>
      </c>
      <c r="AA460" s="5">
        <f t="shared" si="221"/>
        <v>0</v>
      </c>
      <c r="AB460" s="4">
        <v>2</v>
      </c>
    </row>
    <row r="461" spans="1:28" x14ac:dyDescent="0.25">
      <c r="C461" s="4">
        <v>7</v>
      </c>
      <c r="D461" s="5">
        <v>113852321947.24716</v>
      </c>
      <c r="E461" s="5">
        <v>113852321947.24716</v>
      </c>
      <c r="F461" s="5">
        <v>0.26650437336549287</v>
      </c>
      <c r="G461" s="5">
        <v>0</v>
      </c>
      <c r="H461" s="5">
        <v>41323908301.46595</v>
      </c>
      <c r="I461" s="5">
        <v>36628695415.073296</v>
      </c>
      <c r="J461" s="5">
        <v>36628695415.073296</v>
      </c>
      <c r="K461" s="5">
        <v>1.1802098843960393E-11</v>
      </c>
      <c r="L461" s="5">
        <v>1.1802098843960393E-11</v>
      </c>
      <c r="M461" s="5">
        <v>0</v>
      </c>
      <c r="N461" s="5">
        <v>2.0000000000000001E-4</v>
      </c>
      <c r="O461" s="5">
        <v>117.37431005803791</v>
      </c>
      <c r="P461" s="5">
        <v>117.37431005803791</v>
      </c>
      <c r="Q461" s="5">
        <v>-2.0994459045563662E-9</v>
      </c>
      <c r="R461" s="5">
        <v>0</v>
      </c>
      <c r="S461" s="5">
        <v>1.316303766929579E-4</v>
      </c>
      <c r="T461" s="5">
        <v>6.1573935568036738E-6</v>
      </c>
      <c r="U461" s="5">
        <v>6.1573935568036738E-6</v>
      </c>
      <c r="V461" s="5">
        <v>0</v>
      </c>
      <c r="W461" s="5">
        <v>0</v>
      </c>
      <c r="X461" s="5">
        <v>1.6465220157478195</v>
      </c>
      <c r="Y461" s="5">
        <v>3636.0871541055849</v>
      </c>
      <c r="Z461" s="5">
        <f t="shared" ref="Z461:AA461" si="222">Z460+0.0002</f>
        <v>0</v>
      </c>
      <c r="AA461" s="5">
        <f t="shared" si="222"/>
        <v>2.0000000000000001E-4</v>
      </c>
      <c r="AB461" s="4">
        <v>2</v>
      </c>
    </row>
    <row r="462" spans="1:28" x14ac:dyDescent="0.25">
      <c r="C462" s="4">
        <v>8</v>
      </c>
      <c r="D462" s="5">
        <v>113587680416.39978</v>
      </c>
      <c r="E462" s="5">
        <v>113587680416.39978</v>
      </c>
      <c r="F462" s="5">
        <v>0.26608367057605636</v>
      </c>
      <c r="G462" s="5">
        <v>0</v>
      </c>
      <c r="H462" s="5">
        <v>41240860635.787247</v>
      </c>
      <c r="I462" s="5">
        <v>36624543031.78936</v>
      </c>
      <c r="J462" s="5">
        <v>36624543031.78936</v>
      </c>
      <c r="K462" s="5">
        <v>1.124956929195917E-11</v>
      </c>
      <c r="L462" s="5">
        <v>1.124956929195917E-11</v>
      </c>
      <c r="M462" s="5">
        <v>0</v>
      </c>
      <c r="N462" s="5">
        <v>2.0000000000000001E-4</v>
      </c>
      <c r="O462" s="5">
        <v>116.41620603624679</v>
      </c>
      <c r="P462" s="5">
        <v>116.41620603624679</v>
      </c>
      <c r="Q462" s="5">
        <v>-1.9981100663513981E-9</v>
      </c>
      <c r="R462" s="5">
        <v>0</v>
      </c>
      <c r="S462" s="5">
        <v>1.3061304278839378E-4</v>
      </c>
      <c r="T462" s="5">
        <v>6.1968411980010574E-6</v>
      </c>
      <c r="U462" s="5">
        <v>6.1968411980010574E-6</v>
      </c>
      <c r="V462" s="5">
        <v>0</v>
      </c>
      <c r="W462" s="5">
        <v>0</v>
      </c>
      <c r="X462" s="5">
        <v>1.6513664629124105</v>
      </c>
      <c r="Y462" s="5">
        <v>3639.5474735088646</v>
      </c>
      <c r="Z462" s="5">
        <f t="shared" ref="Z462:AA462" si="223">Z461+0.0002</f>
        <v>2.0000000000000001E-4</v>
      </c>
      <c r="AA462" s="5">
        <f t="shared" si="223"/>
        <v>4.0000000000000002E-4</v>
      </c>
      <c r="AB462" s="4">
        <v>2</v>
      </c>
    </row>
    <row r="463" spans="1:28" x14ac:dyDescent="0.25">
      <c r="C463" s="4">
        <v>9</v>
      </c>
      <c r="D463" s="5">
        <v>112719592215.77988</v>
      </c>
      <c r="E463" s="5">
        <v>112719592215.77988</v>
      </c>
      <c r="F463" s="5">
        <v>0.26470366371806864</v>
      </c>
      <c r="G463" s="5">
        <v>0</v>
      </c>
      <c r="H463" s="5">
        <v>40968444214.850327</v>
      </c>
      <c r="I463" s="5">
        <v>36610922210.742516</v>
      </c>
      <c r="J463" s="5">
        <v>36610922210.742516</v>
      </c>
      <c r="K463" s="5">
        <v>9.4371387824685964E-12</v>
      </c>
      <c r="L463" s="5">
        <v>9.4371387824685964E-12</v>
      </c>
      <c r="M463" s="5">
        <v>0</v>
      </c>
      <c r="N463" s="5">
        <v>2.0000000000000001E-4</v>
      </c>
      <c r="O463" s="5">
        <v>113.2733932146152</v>
      </c>
      <c r="P463" s="5">
        <v>113.2733932146152</v>
      </c>
      <c r="Q463" s="5">
        <v>-1.6657040182001884E-9</v>
      </c>
      <c r="R463" s="5">
        <v>0</v>
      </c>
      <c r="S463" s="5">
        <v>1.2727594163191647E-4</v>
      </c>
      <c r="T463" s="5">
        <v>6.3262389979460956E-6</v>
      </c>
      <c r="U463" s="5">
        <v>6.3262389979460956E-6</v>
      </c>
      <c r="V463" s="5">
        <v>0</v>
      </c>
      <c r="W463" s="5">
        <v>0</v>
      </c>
      <c r="X463" s="5">
        <v>1.6672574208003978</v>
      </c>
      <c r="Y463" s="5">
        <v>3650.8981577145696</v>
      </c>
      <c r="Z463" s="5">
        <f t="shared" ref="Z463:AA463" si="224">Z462+0.0002</f>
        <v>4.0000000000000002E-4</v>
      </c>
      <c r="AA463" s="5">
        <f t="shared" si="224"/>
        <v>6.0000000000000006E-4</v>
      </c>
      <c r="AB463" s="4">
        <v>2</v>
      </c>
    </row>
    <row r="464" spans="1:28" x14ac:dyDescent="0.25">
      <c r="C464" s="4">
        <v>10</v>
      </c>
      <c r="D464" s="5">
        <v>110237734525.98407</v>
      </c>
      <c r="E464" s="5">
        <v>110237734525.98407</v>
      </c>
      <c r="F464" s="5">
        <v>0.26075823440567608</v>
      </c>
      <c r="G464" s="5">
        <v>0</v>
      </c>
      <c r="H464" s="5">
        <v>40189607699.567482</v>
      </c>
      <c r="I464" s="5">
        <v>36571980384.978371</v>
      </c>
      <c r="J464" s="5">
        <v>36571980384.978371</v>
      </c>
      <c r="K464" s="5">
        <v>4.2554134762294597E-12</v>
      </c>
      <c r="L464" s="5">
        <v>4.2554134762294597E-12</v>
      </c>
      <c r="M464" s="5">
        <v>0</v>
      </c>
      <c r="N464" s="5">
        <v>2.0000000000000001E-4</v>
      </c>
      <c r="O464" s="5">
        <v>104.28811480236939</v>
      </c>
      <c r="P464" s="5">
        <v>104.28811480236939</v>
      </c>
      <c r="Q464" s="5">
        <v>-7.153576062231595E-10</v>
      </c>
      <c r="R464" s="5">
        <v>0</v>
      </c>
      <c r="S464" s="5">
        <v>1.1773519431970162E-4</v>
      </c>
      <c r="T464" s="5">
        <v>6.6961863427054473E-6</v>
      </c>
      <c r="U464" s="5">
        <v>6.6961863427054473E-6</v>
      </c>
      <c r="V464" s="5">
        <v>0</v>
      </c>
      <c r="W464" s="5">
        <v>0</v>
      </c>
      <c r="X464" s="5">
        <v>1.7126895508585638</v>
      </c>
      <c r="Y464" s="5">
        <v>3683.3496791846883</v>
      </c>
      <c r="Z464" s="5">
        <f t="shared" ref="Z464:AA464" si="225">Z463+0.0002</f>
        <v>6.0000000000000006E-4</v>
      </c>
      <c r="AA464" s="5">
        <f t="shared" si="225"/>
        <v>8.0000000000000004E-4</v>
      </c>
      <c r="AB464" s="4">
        <v>2</v>
      </c>
    </row>
    <row r="465" spans="1:28" x14ac:dyDescent="0.25">
      <c r="C465" s="4">
        <v>11</v>
      </c>
      <c r="D465" s="5">
        <v>103875596838.34863</v>
      </c>
      <c r="E465" s="5">
        <v>103875596838.34863</v>
      </c>
      <c r="F465" s="5">
        <v>0.25064429248810416</v>
      </c>
      <c r="G465" s="5">
        <v>0</v>
      </c>
      <c r="H465" s="5">
        <v>38193093086.034058</v>
      </c>
      <c r="I465" s="5">
        <v>36472154654.301704</v>
      </c>
      <c r="J465" s="5">
        <v>36472154654.301704</v>
      </c>
      <c r="K465" s="5">
        <v>-9.0277211665592217E-12</v>
      </c>
      <c r="L465" s="5">
        <v>-9.0277211665592217E-12</v>
      </c>
      <c r="M465" s="5">
        <v>0</v>
      </c>
      <c r="N465" s="5">
        <v>2.0000000000000001E-4</v>
      </c>
      <c r="O465" s="5">
        <v>81.254731923293349</v>
      </c>
      <c r="P465" s="5">
        <v>81.254731923293349</v>
      </c>
      <c r="Q465" s="5">
        <v>1.7208154059553113E-9</v>
      </c>
      <c r="R465" s="5">
        <v>0</v>
      </c>
      <c r="S465" s="5">
        <v>9.3277890303917227E-5</v>
      </c>
      <c r="T465" s="5">
        <v>7.644530784133822E-6</v>
      </c>
      <c r="U465" s="5">
        <v>7.644530784133822E-6</v>
      </c>
      <c r="V465" s="5">
        <v>0</v>
      </c>
      <c r="W465" s="5">
        <v>0</v>
      </c>
      <c r="X465" s="5">
        <v>1.8291529033146801</v>
      </c>
      <c r="Y465" s="5">
        <v>3766.5377880819142</v>
      </c>
      <c r="Z465" s="5">
        <f t="shared" ref="Z465:AA465" si="226">Z464+0.0002</f>
        <v>8.0000000000000004E-4</v>
      </c>
      <c r="AA465" s="5">
        <f t="shared" si="226"/>
        <v>1E-3</v>
      </c>
      <c r="AB465" s="4">
        <v>2</v>
      </c>
    </row>
    <row r="466" spans="1:28" x14ac:dyDescent="0.25">
      <c r="B466" t="s">
        <v>187</v>
      </c>
      <c r="C466" s="11">
        <v>12</v>
      </c>
      <c r="D466" s="5">
        <v>88950558050.962173</v>
      </c>
      <c r="E466" s="5">
        <v>88950558050.962173</v>
      </c>
      <c r="F466" s="5">
        <v>0.22691783719517622</v>
      </c>
      <c r="G466" s="5">
        <v>0</v>
      </c>
      <c r="H466" s="5">
        <v>33509438077.359627</v>
      </c>
      <c r="I466" s="5">
        <v>36237971903.867981</v>
      </c>
      <c r="J466" s="5">
        <v>36237971903.867981</v>
      </c>
      <c r="K466" s="5">
        <v>-4.0188835479911927E-11</v>
      </c>
      <c r="L466" s="5">
        <v>-4.0188835479911927E-11</v>
      </c>
      <c r="M466" s="5">
        <v>0</v>
      </c>
      <c r="N466" s="5">
        <v>2.0000000000000001E-4</v>
      </c>
      <c r="O466" s="5">
        <v>27.220357039668393</v>
      </c>
      <c r="P466" s="5">
        <v>27.220357039668393</v>
      </c>
      <c r="Q466" s="5">
        <v>7.4358719615862652E-9</v>
      </c>
      <c r="R466" s="5">
        <v>0</v>
      </c>
      <c r="S466" s="5">
        <v>3.590311644765539E-5</v>
      </c>
      <c r="T466" s="5">
        <v>9.8692669132541771E-6</v>
      </c>
      <c r="U466" s="5">
        <v>9.8692669132541771E-6</v>
      </c>
      <c r="V466" s="5">
        <v>0</v>
      </c>
      <c r="W466" s="5">
        <v>0</v>
      </c>
      <c r="X466" s="5">
        <v>2.102366112154022</v>
      </c>
      <c r="Y466" s="5">
        <v>3961.6900801100155</v>
      </c>
      <c r="Z466" s="5">
        <f t="shared" ref="Z466:AA466" si="227">Z465+0.0002</f>
        <v>1E-3</v>
      </c>
      <c r="AA466" s="5">
        <f t="shared" si="227"/>
        <v>1.2000000000000001E-3</v>
      </c>
      <c r="AB466" s="4">
        <v>2</v>
      </c>
    </row>
    <row r="467" spans="1:28" x14ac:dyDescent="0.25">
      <c r="C467" s="11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8" x14ac:dyDescent="0.25">
      <c r="C468" s="11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8" x14ac:dyDescent="0.25">
      <c r="A469" s="15" t="s">
        <v>253</v>
      </c>
      <c r="C469" s="11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8" x14ac:dyDescent="0.25">
      <c r="A470" s="12" t="s">
        <v>180</v>
      </c>
      <c r="C470" s="10" t="s">
        <v>27</v>
      </c>
      <c r="D470" s="10" t="s">
        <v>28</v>
      </c>
      <c r="E470" s="10" t="s">
        <v>29</v>
      </c>
      <c r="F470" s="10" t="s">
        <v>30</v>
      </c>
      <c r="G470" s="10" t="s">
        <v>31</v>
      </c>
      <c r="H470" s="10" t="s">
        <v>47</v>
      </c>
      <c r="I470" s="10" t="s">
        <v>32</v>
      </c>
      <c r="J470" s="10" t="s">
        <v>33</v>
      </c>
      <c r="K470" s="10" t="s">
        <v>34</v>
      </c>
      <c r="L470" s="10" t="s">
        <v>35</v>
      </c>
      <c r="M470" s="10" t="s">
        <v>36</v>
      </c>
      <c r="N470" s="10" t="s">
        <v>37</v>
      </c>
      <c r="O470" s="10" t="s">
        <v>38</v>
      </c>
      <c r="P470" s="10" t="s">
        <v>39</v>
      </c>
      <c r="Q470" s="10" t="s">
        <v>40</v>
      </c>
      <c r="R470" s="10" t="s">
        <v>41</v>
      </c>
      <c r="S470" s="10" t="s">
        <v>42</v>
      </c>
      <c r="T470" s="10" t="s">
        <v>48</v>
      </c>
      <c r="U470" s="10" t="s">
        <v>77</v>
      </c>
      <c r="V470" s="10" t="s">
        <v>78</v>
      </c>
      <c r="W470" s="10" t="s">
        <v>79</v>
      </c>
      <c r="X470" s="10" t="s">
        <v>49</v>
      </c>
      <c r="Y470" s="10" t="s">
        <v>43</v>
      </c>
      <c r="Z470" s="10" t="s">
        <v>44</v>
      </c>
      <c r="AA470" s="10" t="s">
        <v>45</v>
      </c>
      <c r="AB470" s="10" t="s">
        <v>46</v>
      </c>
    </row>
    <row r="471" spans="1:28" s="5" customFormat="1" x14ac:dyDescent="0.25">
      <c r="B471" s="5" t="s">
        <v>183</v>
      </c>
      <c r="C471" s="11">
        <v>1</v>
      </c>
      <c r="D471" s="5">
        <v>100390361554.5984</v>
      </c>
      <c r="E471" s="5">
        <v>100390361554.5984</v>
      </c>
      <c r="F471" s="5">
        <v>0.23288772665214461</v>
      </c>
      <c r="G471" s="5">
        <v>0</v>
      </c>
      <c r="H471" s="5">
        <v>36299999999.999809</v>
      </c>
      <c r="I471" s="5">
        <v>31439999999.999992</v>
      </c>
      <c r="J471" s="5">
        <v>31439999999.999992</v>
      </c>
      <c r="K471" s="5">
        <v>1.596758817921704E-11</v>
      </c>
      <c r="L471" s="5">
        <v>1.596758817921704E-11</v>
      </c>
      <c r="M471" s="5">
        <v>0</v>
      </c>
      <c r="N471" s="5">
        <v>2.0000000000000001E-4</v>
      </c>
      <c r="O471" s="5">
        <v>110.75324675324454</v>
      </c>
      <c r="P471" s="5">
        <v>110.75324675324454</v>
      </c>
      <c r="Q471" s="5">
        <v>-2.8727111111108807E-9</v>
      </c>
      <c r="R471" s="5">
        <v>0</v>
      </c>
      <c r="S471" s="5">
        <v>1.2359999999999766E-4</v>
      </c>
      <c r="T471" s="5">
        <v>4.8600000000000898E-6</v>
      </c>
      <c r="U471" s="5">
        <v>4.8600000000000898E-6</v>
      </c>
      <c r="V471" s="5">
        <v>0</v>
      </c>
      <c r="W471" s="5">
        <v>0</v>
      </c>
      <c r="X471" s="5">
        <v>1.360000000000011</v>
      </c>
      <c r="Y471" s="5">
        <v>3080.0000000000082</v>
      </c>
      <c r="Z471" s="5">
        <v>-1.1999999999999999E-3</v>
      </c>
      <c r="AA471" s="5">
        <v>-1E-3</v>
      </c>
      <c r="AB471" s="4">
        <v>2</v>
      </c>
    </row>
    <row r="472" spans="1:28" s="5" customFormat="1" x14ac:dyDescent="0.25">
      <c r="C472" s="4">
        <v>2</v>
      </c>
      <c r="D472" s="5">
        <v>100390361518.98573</v>
      </c>
      <c r="E472" s="5">
        <v>100390361518.98573</v>
      </c>
      <c r="F472" s="5">
        <v>0.23288772659553084</v>
      </c>
      <c r="G472" s="5">
        <v>0</v>
      </c>
      <c r="H472" s="5">
        <v>36299999988.824127</v>
      </c>
      <c r="I472" s="5">
        <v>31439999999.441208</v>
      </c>
      <c r="J472" s="5">
        <v>31439999999.441208</v>
      </c>
      <c r="K472" s="5">
        <v>1.5967588104863422E-11</v>
      </c>
      <c r="L472" s="5">
        <v>1.5967588104863422E-11</v>
      </c>
      <c r="M472" s="5">
        <v>0</v>
      </c>
      <c r="N472" s="5">
        <v>2.0000000000000001E-4</v>
      </c>
      <c r="O472" s="5">
        <v>110.75324662431298</v>
      </c>
      <c r="P472" s="5">
        <v>110.75324662431298</v>
      </c>
      <c r="Q472" s="5">
        <v>-2.8727110974741689E-9</v>
      </c>
      <c r="R472" s="5">
        <v>0</v>
      </c>
      <c r="S472" s="5">
        <v>1.2359999986309556E-4</v>
      </c>
      <c r="T472" s="5">
        <v>4.8600000053085385E-6</v>
      </c>
      <c r="U472" s="5">
        <v>4.8600000053085385E-6</v>
      </c>
      <c r="V472" s="5">
        <v>0</v>
      </c>
      <c r="W472" s="5">
        <v>0</v>
      </c>
      <c r="X472" s="5">
        <v>1.3600000006519255</v>
      </c>
      <c r="Y472" s="5">
        <v>3080.0000004656613</v>
      </c>
      <c r="Z472" s="5">
        <f t="shared" ref="Z472:AA472" si="228">Z471+0.0002</f>
        <v>-9.999999999999998E-4</v>
      </c>
      <c r="AA472" s="5">
        <f t="shared" si="228"/>
        <v>-8.0000000000000004E-4</v>
      </c>
      <c r="AB472" s="4">
        <v>2</v>
      </c>
    </row>
    <row r="473" spans="1:28" s="5" customFormat="1" x14ac:dyDescent="0.25">
      <c r="C473" s="4">
        <v>3</v>
      </c>
      <c r="D473" s="5">
        <v>100390355664.81401</v>
      </c>
      <c r="E473" s="5">
        <v>100390355664.81401</v>
      </c>
      <c r="F473" s="5">
        <v>0.23288771728910648</v>
      </c>
      <c r="G473" s="5">
        <v>0</v>
      </c>
      <c r="H473" s="5">
        <v>36299998151.715286</v>
      </c>
      <c r="I473" s="5">
        <v>31439999907.585762</v>
      </c>
      <c r="J473" s="5">
        <v>31439999907.585762</v>
      </c>
      <c r="K473" s="5">
        <v>1.5967575882281139E-11</v>
      </c>
      <c r="L473" s="5">
        <v>1.5967575882281139E-11</v>
      </c>
      <c r="M473" s="5">
        <v>0</v>
      </c>
      <c r="N473" s="5">
        <v>2.0000000000000001E-4</v>
      </c>
      <c r="O473" s="5">
        <v>110.753225429962</v>
      </c>
      <c r="P473" s="5">
        <v>110.753225429962</v>
      </c>
      <c r="Q473" s="5">
        <v>-2.8727088558101416E-9</v>
      </c>
      <c r="R473" s="5">
        <v>0</v>
      </c>
      <c r="S473" s="5">
        <v>1.2359997735851222E-4</v>
      </c>
      <c r="T473" s="5">
        <v>4.8600008779352402E-6</v>
      </c>
      <c r="U473" s="5">
        <v>4.8600008779352402E-6</v>
      </c>
      <c r="V473" s="5">
        <v>0</v>
      </c>
      <c r="W473" s="5">
        <v>0</v>
      </c>
      <c r="X473" s="5">
        <v>1.3600001078166084</v>
      </c>
      <c r="Y473" s="5">
        <v>3080.0000770118631</v>
      </c>
      <c r="Z473" s="5">
        <f t="shared" ref="Z473:AA473" si="229">Z472+0.0002</f>
        <v>-7.9999999999999982E-4</v>
      </c>
      <c r="AA473" s="5">
        <f t="shared" si="229"/>
        <v>-6.0000000000000006E-4</v>
      </c>
      <c r="AB473" s="4">
        <v>2</v>
      </c>
    </row>
    <row r="474" spans="1:28" s="5" customFormat="1" x14ac:dyDescent="0.25">
      <c r="C474" s="4">
        <v>4</v>
      </c>
      <c r="D474" s="5">
        <v>100390191189.82579</v>
      </c>
      <c r="E474" s="5">
        <v>100390191189.82579</v>
      </c>
      <c r="F474" s="5">
        <v>0.23288745582188289</v>
      </c>
      <c r="G474" s="5">
        <v>0</v>
      </c>
      <c r="H474" s="5">
        <v>36299946537.504211</v>
      </c>
      <c r="I474" s="5">
        <v>31439997326.875214</v>
      </c>
      <c r="J474" s="5">
        <v>31439997326.875214</v>
      </c>
      <c r="K474" s="5">
        <v>1.5967232484586707E-11</v>
      </c>
      <c r="L474" s="5">
        <v>1.5967232484586707E-11</v>
      </c>
      <c r="M474" s="5">
        <v>0</v>
      </c>
      <c r="N474" s="5">
        <v>2.0000000000000001E-4</v>
      </c>
      <c r="O474" s="5">
        <v>110.75262996731043</v>
      </c>
      <c r="P474" s="5">
        <v>110.75262996731043</v>
      </c>
      <c r="Q474" s="5">
        <v>-2.8726458754807147E-9</v>
      </c>
      <c r="R474" s="5">
        <v>0</v>
      </c>
      <c r="S474" s="5">
        <v>1.2359934508442656E-4</v>
      </c>
      <c r="T474" s="5">
        <v>4.8600253946855E-6</v>
      </c>
      <c r="U474" s="5">
        <v>4.8600253946855E-6</v>
      </c>
      <c r="V474" s="5">
        <v>0</v>
      </c>
      <c r="W474" s="5">
        <v>0</v>
      </c>
      <c r="X474" s="5">
        <v>1.3600031186455879</v>
      </c>
      <c r="Y474" s="5">
        <v>3080.0022276039917</v>
      </c>
      <c r="Z474" s="5">
        <f t="shared" ref="Z474:AA474" si="230">Z473+0.0002</f>
        <v>-5.9999999999999984E-4</v>
      </c>
      <c r="AA474" s="5">
        <f t="shared" si="230"/>
        <v>-4.0000000000000007E-4</v>
      </c>
      <c r="AB474" s="4">
        <v>2</v>
      </c>
    </row>
    <row r="475" spans="1:28" s="5" customFormat="1" x14ac:dyDescent="0.25">
      <c r="C475" s="4">
        <v>5</v>
      </c>
      <c r="D475" s="5">
        <v>100388258626.16258</v>
      </c>
      <c r="E475" s="5">
        <v>100388258626.16258</v>
      </c>
      <c r="F475" s="5">
        <v>0.23288438360974265</v>
      </c>
      <c r="G475" s="5">
        <v>0</v>
      </c>
      <c r="H475" s="5">
        <v>36299340075.999496</v>
      </c>
      <c r="I475" s="5">
        <v>31439967003.799973</v>
      </c>
      <c r="J475" s="5">
        <v>31439967003.799973</v>
      </c>
      <c r="K475" s="5">
        <v>1.596319759810597E-11</v>
      </c>
      <c r="L475" s="5">
        <v>1.596319759810597E-11</v>
      </c>
      <c r="M475" s="5">
        <v>0</v>
      </c>
      <c r="N475" s="5">
        <v>2.0000000000000001E-4</v>
      </c>
      <c r="O475" s="5">
        <v>110.7456333443232</v>
      </c>
      <c r="P475" s="5">
        <v>110.7456333443232</v>
      </c>
      <c r="Q475" s="5">
        <v>-2.8719058632911292E-9</v>
      </c>
      <c r="R475" s="5">
        <v>0</v>
      </c>
      <c r="S475" s="5">
        <v>1.2359191593099385E-4</v>
      </c>
      <c r="T475" s="5">
        <v>4.8603134639002377E-6</v>
      </c>
      <c r="U475" s="5">
        <v>4.8603134639002377E-6</v>
      </c>
      <c r="V475" s="5">
        <v>0</v>
      </c>
      <c r="W475" s="5">
        <v>0</v>
      </c>
      <c r="X475" s="5">
        <v>1.360038495566696</v>
      </c>
      <c r="Y475" s="5">
        <v>3080.0274968333542</v>
      </c>
      <c r="Z475" s="5">
        <f t="shared" ref="Z475:AA475" si="231">Z474+0.0002</f>
        <v>-3.9999999999999986E-4</v>
      </c>
      <c r="AA475" s="5">
        <f t="shared" si="231"/>
        <v>-2.0000000000000006E-4</v>
      </c>
      <c r="AB475" s="4">
        <v>2</v>
      </c>
    </row>
    <row r="476" spans="1:28" s="5" customFormat="1" x14ac:dyDescent="0.25">
      <c r="C476" s="4">
        <v>6</v>
      </c>
      <c r="D476" s="5">
        <v>100374718331.07597</v>
      </c>
      <c r="E476" s="5">
        <v>100374718331.07597</v>
      </c>
      <c r="F476" s="5">
        <v>0.23286285849274954</v>
      </c>
      <c r="G476" s="5">
        <v>0</v>
      </c>
      <c r="H476" s="5">
        <v>36295090970.06385</v>
      </c>
      <c r="I476" s="5">
        <v>31439754548.503189</v>
      </c>
      <c r="J476" s="5">
        <v>31439754548.503189</v>
      </c>
      <c r="K476" s="5">
        <v>1.5934927609060027E-11</v>
      </c>
      <c r="L476" s="5">
        <v>1.5934927609060027E-11</v>
      </c>
      <c r="M476" s="5">
        <v>0</v>
      </c>
      <c r="N476" s="5">
        <v>2.0000000000000001E-4</v>
      </c>
      <c r="O476" s="5">
        <v>110.69661227368034</v>
      </c>
      <c r="P476" s="5">
        <v>110.69661227368034</v>
      </c>
      <c r="Q476" s="5">
        <v>-2.8667210491474511E-9</v>
      </c>
      <c r="R476" s="5">
        <v>0</v>
      </c>
      <c r="S476" s="5">
        <v>1.2353986438328219E-4</v>
      </c>
      <c r="T476" s="5">
        <v>4.8623317892196704E-6</v>
      </c>
      <c r="U476" s="5">
        <v>4.8623317892196704E-6</v>
      </c>
      <c r="V476" s="5">
        <v>0</v>
      </c>
      <c r="W476" s="5">
        <v>0</v>
      </c>
      <c r="X476" s="5">
        <v>1.3602863600796087</v>
      </c>
      <c r="Y476" s="5">
        <v>3080.2045429140062</v>
      </c>
      <c r="Z476" s="5">
        <f t="shared" ref="Z476:AA476" si="232">Z475+0.0002</f>
        <v>-1.9999999999999985E-4</v>
      </c>
      <c r="AA476" s="5">
        <f t="shared" si="232"/>
        <v>0</v>
      </c>
      <c r="AB476" s="4">
        <v>2</v>
      </c>
    </row>
    <row r="477" spans="1:28" s="5" customFormat="1" x14ac:dyDescent="0.25">
      <c r="C477" s="4">
        <v>7</v>
      </c>
      <c r="D477" s="5">
        <v>100307217170.15392</v>
      </c>
      <c r="E477" s="5">
        <v>100307217170.15392</v>
      </c>
      <c r="F477" s="5">
        <v>0.23275555134938772</v>
      </c>
      <c r="G477" s="5">
        <v>0</v>
      </c>
      <c r="H477" s="5">
        <v>36273908301.46595</v>
      </c>
      <c r="I477" s="5">
        <v>31438695415.073296</v>
      </c>
      <c r="J477" s="5">
        <v>31438695415.073296</v>
      </c>
      <c r="K477" s="5">
        <v>1.5793995888764969E-11</v>
      </c>
      <c r="L477" s="5">
        <v>1.5793995888764969E-11</v>
      </c>
      <c r="M477" s="5">
        <v>0</v>
      </c>
      <c r="N477" s="5">
        <v>2.0000000000000001E-4</v>
      </c>
      <c r="O477" s="5">
        <v>110.45223213595999</v>
      </c>
      <c r="P477" s="5">
        <v>110.45223213595999</v>
      </c>
      <c r="Q477" s="5">
        <v>-2.8408736823341442E-9</v>
      </c>
      <c r="R477" s="5">
        <v>0</v>
      </c>
      <c r="S477" s="5">
        <v>1.2328037669295791E-4</v>
      </c>
      <c r="T477" s="5">
        <v>4.8723935568036734E-6</v>
      </c>
      <c r="U477" s="5">
        <v>4.8723935568036734E-6</v>
      </c>
      <c r="V477" s="5">
        <v>0</v>
      </c>
      <c r="W477" s="5">
        <v>0</v>
      </c>
      <c r="X477" s="5">
        <v>1.3615220157478194</v>
      </c>
      <c r="Y477" s="5">
        <v>3081.0871541055849</v>
      </c>
      <c r="Z477" s="5">
        <f t="shared" ref="Z477:AA477" si="233">Z476+0.0002</f>
        <v>0</v>
      </c>
      <c r="AA477" s="5">
        <f t="shared" si="233"/>
        <v>2.0000000000000001E-4</v>
      </c>
      <c r="AB477" s="4">
        <v>2</v>
      </c>
    </row>
    <row r="478" spans="1:28" s="5" customFormat="1" x14ac:dyDescent="0.25">
      <c r="C478" s="4">
        <v>8</v>
      </c>
      <c r="D478" s="5">
        <v>100042575639.30653</v>
      </c>
      <c r="E478" s="5">
        <v>100042575639.30653</v>
      </c>
      <c r="F478" s="5">
        <v>0.23233484855995121</v>
      </c>
      <c r="G478" s="5">
        <v>0</v>
      </c>
      <c r="H478" s="5">
        <v>36190860635.787247</v>
      </c>
      <c r="I478" s="5">
        <v>31434543031.78936</v>
      </c>
      <c r="J478" s="5">
        <v>31434543031.78936</v>
      </c>
      <c r="K478" s="5">
        <v>1.5241466336763745E-11</v>
      </c>
      <c r="L478" s="5">
        <v>1.5241466336763745E-11</v>
      </c>
      <c r="M478" s="5">
        <v>0</v>
      </c>
      <c r="N478" s="5">
        <v>2.0000000000000001E-4</v>
      </c>
      <c r="O478" s="5">
        <v>109.49412811416887</v>
      </c>
      <c r="P478" s="5">
        <v>109.49412811416887</v>
      </c>
      <c r="Q478" s="5">
        <v>-2.7395378441291761E-9</v>
      </c>
      <c r="R478" s="5">
        <v>0</v>
      </c>
      <c r="S478" s="5">
        <v>1.2226304278839379E-4</v>
      </c>
      <c r="T478" s="5">
        <v>4.911841198001057E-6</v>
      </c>
      <c r="U478" s="5">
        <v>4.911841198001057E-6</v>
      </c>
      <c r="V478" s="5">
        <v>0</v>
      </c>
      <c r="W478" s="5">
        <v>0</v>
      </c>
      <c r="X478" s="5">
        <v>1.3663664629124104</v>
      </c>
      <c r="Y478" s="5">
        <v>3084.5474735088646</v>
      </c>
      <c r="Z478" s="5">
        <f t="shared" ref="Z478:AA478" si="234">Z477+0.0002</f>
        <v>2.0000000000000001E-4</v>
      </c>
      <c r="AA478" s="5">
        <f t="shared" si="234"/>
        <v>4.0000000000000002E-4</v>
      </c>
      <c r="AB478" s="4">
        <v>2</v>
      </c>
    </row>
    <row r="479" spans="1:28" s="5" customFormat="1" x14ac:dyDescent="0.25">
      <c r="C479" s="4">
        <v>9</v>
      </c>
      <c r="D479" s="5">
        <v>99174487438.68663</v>
      </c>
      <c r="E479" s="5">
        <v>99174487438.68663</v>
      </c>
      <c r="F479" s="5">
        <v>0.23095484170196348</v>
      </c>
      <c r="G479" s="5">
        <v>0</v>
      </c>
      <c r="H479" s="5">
        <v>35918444214.850327</v>
      </c>
      <c r="I479" s="5">
        <v>31420922210.742516</v>
      </c>
      <c r="J479" s="5">
        <v>31420922210.742516</v>
      </c>
      <c r="K479" s="5">
        <v>1.3429035827273171E-11</v>
      </c>
      <c r="L479" s="5">
        <v>1.3429035827273171E-11</v>
      </c>
      <c r="M479" s="5">
        <v>0</v>
      </c>
      <c r="N479" s="5">
        <v>2.0000000000000001E-4</v>
      </c>
      <c r="O479" s="5">
        <v>106.35131529253728</v>
      </c>
      <c r="P479" s="5">
        <v>106.35131529253728</v>
      </c>
      <c r="Q479" s="5">
        <v>-2.4071317959779665E-9</v>
      </c>
      <c r="R479" s="5">
        <v>0</v>
      </c>
      <c r="S479" s="5">
        <v>1.1892594163191649E-4</v>
      </c>
      <c r="T479" s="5">
        <v>5.0412389979460952E-6</v>
      </c>
      <c r="U479" s="5">
        <v>5.0412389979460952E-6</v>
      </c>
      <c r="V479" s="5">
        <v>0</v>
      </c>
      <c r="W479" s="5">
        <v>0</v>
      </c>
      <c r="X479" s="5">
        <v>1.3822574208003977</v>
      </c>
      <c r="Y479" s="5">
        <v>3095.8981577145696</v>
      </c>
      <c r="Z479" s="5">
        <f t="shared" ref="Z479:AA479" si="235">Z478+0.0002</f>
        <v>4.0000000000000002E-4</v>
      </c>
      <c r="AA479" s="5">
        <f t="shared" si="235"/>
        <v>6.0000000000000006E-4</v>
      </c>
      <c r="AB479" s="4">
        <v>2</v>
      </c>
    </row>
    <row r="480" spans="1:28" s="5" customFormat="1" x14ac:dyDescent="0.25">
      <c r="C480" s="4">
        <v>10</v>
      </c>
      <c r="D480" s="5">
        <v>96692629748.890823</v>
      </c>
      <c r="E480" s="5">
        <v>96692629748.890823</v>
      </c>
      <c r="F480" s="5">
        <v>0.22700941238957092</v>
      </c>
      <c r="G480" s="5">
        <v>0</v>
      </c>
      <c r="H480" s="5">
        <v>35139607699.567482</v>
      </c>
      <c r="I480" s="5">
        <v>31381980384.978371</v>
      </c>
      <c r="J480" s="5">
        <v>31381980384.978371</v>
      </c>
      <c r="K480" s="5">
        <v>8.2473105210340355E-12</v>
      </c>
      <c r="L480" s="5">
        <v>8.2473105210340355E-12</v>
      </c>
      <c r="M480" s="5">
        <v>0</v>
      </c>
      <c r="N480" s="5">
        <v>2.0000000000000001E-4</v>
      </c>
      <c r="O480" s="5">
        <v>97.366036880291475</v>
      </c>
      <c r="P480" s="5">
        <v>97.366036880291475</v>
      </c>
      <c r="Q480" s="5">
        <v>-1.4567853840009376E-9</v>
      </c>
      <c r="R480" s="5">
        <v>0</v>
      </c>
      <c r="S480" s="5">
        <v>1.0938519431970162E-4</v>
      </c>
      <c r="T480" s="5">
        <v>5.4111863427054469E-6</v>
      </c>
      <c r="U480" s="5">
        <v>5.4111863427054469E-6</v>
      </c>
      <c r="V480" s="5">
        <v>0</v>
      </c>
      <c r="W480" s="5">
        <v>0</v>
      </c>
      <c r="X480" s="5">
        <v>1.4276895508585636</v>
      </c>
      <c r="Y480" s="5">
        <v>3128.3496791846883</v>
      </c>
      <c r="Z480" s="5">
        <f t="shared" ref="Z480:AA480" si="236">Z479+0.0002</f>
        <v>6.0000000000000006E-4</v>
      </c>
      <c r="AA480" s="5">
        <f t="shared" si="236"/>
        <v>8.0000000000000004E-4</v>
      </c>
      <c r="AB480" s="4">
        <v>2</v>
      </c>
    </row>
    <row r="481" spans="1:28" s="5" customFormat="1" x14ac:dyDescent="0.25">
      <c r="C481" s="4">
        <v>11</v>
      </c>
      <c r="D481" s="5">
        <v>90330492061.255386</v>
      </c>
      <c r="E481" s="5">
        <v>90330492061.255386</v>
      </c>
      <c r="F481" s="5">
        <v>0.216895470471999</v>
      </c>
      <c r="G481" s="5">
        <v>0</v>
      </c>
      <c r="H481" s="5">
        <v>33143093086.034058</v>
      </c>
      <c r="I481" s="5">
        <v>31282154654.301704</v>
      </c>
      <c r="J481" s="5">
        <v>31282154654.301704</v>
      </c>
      <c r="K481" s="5">
        <v>-5.0358241217546459E-12</v>
      </c>
      <c r="L481" s="5">
        <v>-5.0358241217546459E-12</v>
      </c>
      <c r="M481" s="5">
        <v>0</v>
      </c>
      <c r="N481" s="5">
        <v>2.0000000000000001E-4</v>
      </c>
      <c r="O481" s="5">
        <v>74.332654001215431</v>
      </c>
      <c r="P481" s="5">
        <v>74.332654001215431</v>
      </c>
      <c r="Q481" s="5">
        <v>9.7938762817753319E-10</v>
      </c>
      <c r="R481" s="5">
        <v>0</v>
      </c>
      <c r="S481" s="5">
        <v>8.4927890303917227E-5</v>
      </c>
      <c r="T481" s="5">
        <v>6.3595307841338207E-6</v>
      </c>
      <c r="U481" s="5">
        <v>6.3595307841338207E-6</v>
      </c>
      <c r="V481" s="5">
        <v>0</v>
      </c>
      <c r="W481" s="5">
        <v>0</v>
      </c>
      <c r="X481" s="5">
        <v>1.5441529033146799</v>
      </c>
      <c r="Y481" s="5">
        <v>3211.5377880819142</v>
      </c>
      <c r="Z481" s="5">
        <f t="shared" ref="Z481:AA481" si="237">Z480+0.0002</f>
        <v>8.0000000000000004E-4</v>
      </c>
      <c r="AA481" s="5">
        <f t="shared" si="237"/>
        <v>1E-3</v>
      </c>
      <c r="AB481" s="4">
        <v>2</v>
      </c>
    </row>
    <row r="482" spans="1:28" s="5" customFormat="1" x14ac:dyDescent="0.25">
      <c r="B482" s="5" t="s">
        <v>187</v>
      </c>
      <c r="C482" s="11">
        <v>12</v>
      </c>
      <c r="D482" s="5">
        <v>75405453273.868927</v>
      </c>
      <c r="E482" s="5">
        <v>75405453273.868927</v>
      </c>
      <c r="F482" s="5">
        <v>0.19316901517907106</v>
      </c>
      <c r="G482" s="5">
        <v>0</v>
      </c>
      <c r="H482" s="5">
        <v>28459438077.359627</v>
      </c>
      <c r="I482" s="5">
        <v>31047971903.867981</v>
      </c>
      <c r="J482" s="5">
        <v>31047971903.867981</v>
      </c>
      <c r="K482" s="5">
        <v>-3.6196938435107347E-11</v>
      </c>
      <c r="L482" s="5">
        <v>-3.6196938435107347E-11</v>
      </c>
      <c r="M482" s="5">
        <v>0</v>
      </c>
      <c r="N482" s="5">
        <v>2.0000000000000001E-4</v>
      </c>
      <c r="O482" s="5">
        <v>20.298279117590468</v>
      </c>
      <c r="P482" s="5">
        <v>20.298279117590468</v>
      </c>
      <c r="Q482" s="5">
        <v>6.6944441838084875E-9</v>
      </c>
      <c r="R482" s="5">
        <v>0</v>
      </c>
      <c r="S482" s="5">
        <v>2.7553116447655391E-5</v>
      </c>
      <c r="T482" s="5">
        <v>8.5842669132541783E-6</v>
      </c>
      <c r="U482" s="5">
        <v>8.5842669132541783E-6</v>
      </c>
      <c r="V482" s="5">
        <v>0</v>
      </c>
      <c r="W482" s="5">
        <v>0</v>
      </c>
      <c r="X482" s="5">
        <v>1.8173661121540219</v>
      </c>
      <c r="Y482" s="5">
        <v>3406.6900801100155</v>
      </c>
      <c r="Z482" s="5">
        <f t="shared" ref="Z482:AA482" si="238">Z481+0.0002</f>
        <v>1E-3</v>
      </c>
      <c r="AA482" s="5">
        <f t="shared" si="238"/>
        <v>1.2000000000000001E-3</v>
      </c>
      <c r="AB482" s="4">
        <v>2</v>
      </c>
    </row>
    <row r="485" spans="1:28" x14ac:dyDescent="0.25">
      <c r="A485" t="s">
        <v>83</v>
      </c>
    </row>
    <row r="486" spans="1:28" x14ac:dyDescent="0.25">
      <c r="A486" t="s">
        <v>83</v>
      </c>
    </row>
    <row r="487" spans="1:28" x14ac:dyDescent="0.25">
      <c r="A487" t="s">
        <v>83</v>
      </c>
    </row>
    <row r="488" spans="1:28" x14ac:dyDescent="0.25">
      <c r="A488" t="s">
        <v>83</v>
      </c>
    </row>
    <row r="680" spans="28:28" x14ac:dyDescent="0.25">
      <c r="AB680" s="10"/>
    </row>
    <row r="681" spans="28:28" x14ac:dyDescent="0.25">
      <c r="AB681" s="4"/>
    </row>
    <row r="682" spans="28:28" x14ac:dyDescent="0.25">
      <c r="AB682" s="4"/>
    </row>
    <row r="683" spans="28:28" x14ac:dyDescent="0.25">
      <c r="AB683" s="4"/>
    </row>
    <row r="684" spans="28:28" x14ac:dyDescent="0.25">
      <c r="AB684" s="4"/>
    </row>
    <row r="685" spans="28:28" x14ac:dyDescent="0.25">
      <c r="AB685" s="4"/>
    </row>
    <row r="686" spans="28:28" x14ac:dyDescent="0.25">
      <c r="AB686" s="4"/>
    </row>
    <row r="687" spans="28:28" x14ac:dyDescent="0.25">
      <c r="AB687" s="4"/>
    </row>
    <row r="688" spans="28:28" x14ac:dyDescent="0.25">
      <c r="AB688" s="4"/>
    </row>
    <row r="689" spans="1:28" x14ac:dyDescent="0.25">
      <c r="AB689" s="4"/>
    </row>
    <row r="690" spans="1:28" x14ac:dyDescent="0.25">
      <c r="AB690" s="4"/>
    </row>
    <row r="691" spans="1:28" x14ac:dyDescent="0.25">
      <c r="AB691" s="4"/>
    </row>
    <row r="692" spans="1:28" x14ac:dyDescent="0.25">
      <c r="AB692" s="4"/>
    </row>
    <row r="693" spans="1:28" x14ac:dyDescent="0.25">
      <c r="A693" s="2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8" x14ac:dyDescent="0.25">
      <c r="C694" s="11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8" x14ac:dyDescent="0.25">
      <c r="C695" s="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8" x14ac:dyDescent="0.25">
      <c r="C696" s="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10"/>
    </row>
    <row r="697" spans="1:28" x14ac:dyDescent="0.25">
      <c r="C697" s="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4"/>
    </row>
    <row r="698" spans="1:28" x14ac:dyDescent="0.25">
      <c r="C698" s="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4"/>
    </row>
    <row r="699" spans="1:28" x14ac:dyDescent="0.25">
      <c r="C699" s="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4"/>
    </row>
    <row r="700" spans="1:28" x14ac:dyDescent="0.25">
      <c r="C700" s="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4"/>
    </row>
    <row r="701" spans="1:28" x14ac:dyDescent="0.25">
      <c r="C701" s="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4"/>
    </row>
    <row r="702" spans="1:28" x14ac:dyDescent="0.25">
      <c r="C702" s="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4"/>
    </row>
    <row r="703" spans="1:28" x14ac:dyDescent="0.25">
      <c r="C703" s="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4"/>
    </row>
    <row r="704" spans="1:28" x14ac:dyDescent="0.25">
      <c r="C704" s="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4"/>
    </row>
    <row r="705" spans="1:28" x14ac:dyDescent="0.25">
      <c r="C705" s="11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4"/>
    </row>
    <row r="706" spans="1:28" x14ac:dyDescent="0.25">
      <c r="AB706" s="4"/>
    </row>
    <row r="707" spans="1:28" x14ac:dyDescent="0.25">
      <c r="AB707" s="4"/>
    </row>
    <row r="708" spans="1:28" x14ac:dyDescent="0.25">
      <c r="AB708" s="4"/>
    </row>
    <row r="709" spans="1:28" x14ac:dyDescent="0.25">
      <c r="A709" s="2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8" x14ac:dyDescent="0.25">
      <c r="C710" s="11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8" x14ac:dyDescent="0.25">
      <c r="C711" s="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8" x14ac:dyDescent="0.25">
      <c r="C712" s="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10"/>
    </row>
    <row r="713" spans="1:28" x14ac:dyDescent="0.25">
      <c r="C713" s="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4"/>
    </row>
    <row r="714" spans="1:28" x14ac:dyDescent="0.25">
      <c r="C714" s="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4"/>
    </row>
    <row r="715" spans="1:28" x14ac:dyDescent="0.25">
      <c r="C715" s="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4"/>
    </row>
    <row r="716" spans="1:28" x14ac:dyDescent="0.25">
      <c r="C716" s="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4"/>
    </row>
    <row r="717" spans="1:28" x14ac:dyDescent="0.25">
      <c r="C717" s="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4"/>
    </row>
    <row r="718" spans="1:28" x14ac:dyDescent="0.25">
      <c r="C718" s="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4"/>
    </row>
    <row r="719" spans="1:28" x14ac:dyDescent="0.25">
      <c r="C719" s="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4"/>
    </row>
    <row r="720" spans="1:28" x14ac:dyDescent="0.25">
      <c r="C720" s="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4"/>
    </row>
    <row r="721" spans="1:28" x14ac:dyDescent="0.25">
      <c r="C721" s="11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4"/>
    </row>
    <row r="722" spans="1:28" x14ac:dyDescent="0.25">
      <c r="AB722" s="4"/>
    </row>
    <row r="723" spans="1:28" x14ac:dyDescent="0.25">
      <c r="AB723" s="4"/>
    </row>
    <row r="724" spans="1:28" x14ac:dyDescent="0.25">
      <c r="AB724" s="4"/>
    </row>
    <row r="725" spans="1:28" x14ac:dyDescent="0.25">
      <c r="A725" s="2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8" x14ac:dyDescent="0.25">
      <c r="C726" s="11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8" x14ac:dyDescent="0.25">
      <c r="C727" s="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8" x14ac:dyDescent="0.25">
      <c r="C728" s="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10"/>
    </row>
    <row r="729" spans="1:28" x14ac:dyDescent="0.25">
      <c r="C729" s="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4"/>
    </row>
    <row r="730" spans="1:28" x14ac:dyDescent="0.25">
      <c r="C730" s="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4"/>
    </row>
    <row r="731" spans="1:28" x14ac:dyDescent="0.25">
      <c r="C731" s="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4"/>
    </row>
    <row r="732" spans="1:28" x14ac:dyDescent="0.25">
      <c r="C732" s="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4"/>
    </row>
    <row r="733" spans="1:28" x14ac:dyDescent="0.25">
      <c r="C733" s="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4"/>
    </row>
    <row r="734" spans="1:28" x14ac:dyDescent="0.25">
      <c r="C734" s="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4"/>
    </row>
    <row r="735" spans="1:28" x14ac:dyDescent="0.25">
      <c r="C735" s="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4"/>
    </row>
    <row r="736" spans="1:28" x14ac:dyDescent="0.25">
      <c r="C736" s="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4"/>
    </row>
    <row r="737" spans="1:28" x14ac:dyDescent="0.25">
      <c r="C737" s="11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4"/>
    </row>
    <row r="738" spans="1:28" x14ac:dyDescent="0.25">
      <c r="AB738" s="4"/>
    </row>
    <row r="739" spans="1:28" x14ac:dyDescent="0.25">
      <c r="AB739" s="4"/>
    </row>
    <row r="740" spans="1:28" x14ac:dyDescent="0.25">
      <c r="AB740" s="4"/>
    </row>
    <row r="741" spans="1:28" x14ac:dyDescent="0.25">
      <c r="A741" s="2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8" x14ac:dyDescent="0.25">
      <c r="C742" s="11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8" x14ac:dyDescent="0.25">
      <c r="C743" s="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8" x14ac:dyDescent="0.25">
      <c r="C744" s="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10"/>
    </row>
    <row r="745" spans="1:28" x14ac:dyDescent="0.25">
      <c r="C745" s="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4"/>
    </row>
    <row r="746" spans="1:28" x14ac:dyDescent="0.25">
      <c r="C746" s="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4"/>
    </row>
    <row r="747" spans="1:28" x14ac:dyDescent="0.25">
      <c r="C747" s="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4"/>
    </row>
    <row r="748" spans="1:28" x14ac:dyDescent="0.25">
      <c r="C748" s="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4"/>
    </row>
    <row r="749" spans="1:28" x14ac:dyDescent="0.25">
      <c r="C749" s="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4"/>
    </row>
    <row r="750" spans="1:28" x14ac:dyDescent="0.25">
      <c r="C750" s="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4"/>
    </row>
    <row r="751" spans="1:28" x14ac:dyDescent="0.25">
      <c r="C751" s="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4"/>
    </row>
    <row r="752" spans="1:28" x14ac:dyDescent="0.25">
      <c r="C752" s="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4"/>
    </row>
    <row r="753" spans="1:28" x14ac:dyDescent="0.25">
      <c r="C753" s="11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4"/>
    </row>
    <row r="754" spans="1:28" x14ac:dyDescent="0.25">
      <c r="AB754" s="4"/>
    </row>
    <row r="755" spans="1:28" x14ac:dyDescent="0.25">
      <c r="AB755" s="4"/>
    </row>
    <row r="756" spans="1:28" x14ac:dyDescent="0.25">
      <c r="AB756" s="4"/>
    </row>
    <row r="757" spans="1:28" x14ac:dyDescent="0.25">
      <c r="A757" s="2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8" x14ac:dyDescent="0.25">
      <c r="C758" s="11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8" x14ac:dyDescent="0.25">
      <c r="C759" s="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8" x14ac:dyDescent="0.25">
      <c r="C760" s="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8" x14ac:dyDescent="0.25">
      <c r="C761" s="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10"/>
    </row>
    <row r="762" spans="1:28" x14ac:dyDescent="0.25">
      <c r="C762" s="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4"/>
    </row>
    <row r="763" spans="1:28" x14ac:dyDescent="0.25">
      <c r="C763" s="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4"/>
    </row>
    <row r="764" spans="1:28" x14ac:dyDescent="0.25">
      <c r="C764" s="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4"/>
    </row>
    <row r="765" spans="1:28" x14ac:dyDescent="0.25">
      <c r="C765" s="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4"/>
    </row>
    <row r="766" spans="1:28" x14ac:dyDescent="0.25">
      <c r="C766" s="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4"/>
    </row>
    <row r="767" spans="1:28" x14ac:dyDescent="0.25">
      <c r="C767" s="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4"/>
    </row>
    <row r="768" spans="1:28" x14ac:dyDescent="0.25">
      <c r="C768" s="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4"/>
    </row>
    <row r="769" spans="1:28" x14ac:dyDescent="0.25">
      <c r="C769" s="11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4"/>
    </row>
    <row r="770" spans="1:28" x14ac:dyDescent="0.25">
      <c r="AB770" s="4"/>
    </row>
    <row r="771" spans="1:28" x14ac:dyDescent="0.25">
      <c r="AB771" s="4"/>
    </row>
    <row r="772" spans="1:28" x14ac:dyDescent="0.25">
      <c r="AB772" s="4"/>
    </row>
    <row r="773" spans="1:28" x14ac:dyDescent="0.25">
      <c r="AB773" s="4"/>
    </row>
    <row r="774" spans="1:28" x14ac:dyDescent="0.25">
      <c r="A774" s="2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8" x14ac:dyDescent="0.25">
      <c r="C775" s="11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8" x14ac:dyDescent="0.25">
      <c r="C776" s="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8" x14ac:dyDescent="0.25">
      <c r="C777" s="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8" x14ac:dyDescent="0.25">
      <c r="C778" s="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8" x14ac:dyDescent="0.25">
      <c r="C779" s="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8" x14ac:dyDescent="0.25">
      <c r="C780" s="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8" x14ac:dyDescent="0.25">
      <c r="C781" s="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8" x14ac:dyDescent="0.25">
      <c r="C782" s="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8" x14ac:dyDescent="0.25">
      <c r="C783" s="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8" x14ac:dyDescent="0.25">
      <c r="C784" s="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3:27" x14ac:dyDescent="0.25">
      <c r="C785" s="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3:27" x14ac:dyDescent="0.25">
      <c r="C786" s="11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91"/>
  <sheetViews>
    <sheetView topLeftCell="A360" zoomScale="90" zoomScaleNormal="90" workbookViewId="0">
      <selection activeCell="C380" sqref="C380"/>
    </sheetView>
  </sheetViews>
  <sheetFormatPr defaultRowHeight="14" x14ac:dyDescent="0.25"/>
  <cols>
    <col min="1" max="1" width="19.54296875" customWidth="1"/>
    <col min="2" max="2" width="12.6328125" customWidth="1"/>
    <col min="3" max="3" width="10.453125" bestFit="1" customWidth="1"/>
    <col min="4" max="4" width="11.90625" customWidth="1"/>
    <col min="5" max="5" width="13.1796875" customWidth="1"/>
    <col min="6" max="6" width="13" customWidth="1"/>
    <col min="7" max="7" width="10.54296875" bestFit="1" customWidth="1"/>
    <col min="8" max="8" width="12" customWidth="1"/>
    <col min="9" max="9" width="13" customWidth="1"/>
    <col min="10" max="10" width="12.7265625" customWidth="1"/>
    <col min="11" max="11" width="11.6328125" customWidth="1"/>
    <col min="12" max="12" width="12.453125" customWidth="1"/>
    <col min="13" max="13" width="12.26953125" customWidth="1"/>
    <col min="14" max="14" width="12" customWidth="1"/>
    <col min="15" max="15" width="11.54296875" customWidth="1"/>
    <col min="16" max="16" width="12.7265625" customWidth="1"/>
    <col min="17" max="17" width="11.6328125" customWidth="1"/>
    <col min="18" max="18" width="12.453125" customWidth="1"/>
    <col min="19" max="19" width="12.6328125" customWidth="1"/>
    <col min="20" max="20" width="11.81640625" customWidth="1"/>
    <col min="21" max="22" width="12" customWidth="1"/>
    <col min="23" max="23" width="12.1796875" customWidth="1"/>
    <col min="24" max="24" width="11.36328125" bestFit="1" customWidth="1"/>
    <col min="25" max="25" width="11.6328125" customWidth="1"/>
    <col min="26" max="26" width="13.08984375" customWidth="1"/>
    <col min="27" max="27" width="13.36328125" customWidth="1"/>
    <col min="32" max="32" width="12.08984375" customWidth="1"/>
    <col min="33" max="33" width="10.54296875" customWidth="1"/>
    <col min="34" max="35" width="11" customWidth="1"/>
    <col min="36" max="36" width="11.26953125" customWidth="1"/>
    <col min="37" max="37" width="12" customWidth="1"/>
  </cols>
  <sheetData>
    <row r="1" spans="1:54" x14ac:dyDescent="0.25"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20" t="s">
        <v>40</v>
      </c>
      <c r="J1" s="20" t="s">
        <v>42</v>
      </c>
      <c r="K1" s="1" t="s">
        <v>244</v>
      </c>
      <c r="L1" t="s">
        <v>8</v>
      </c>
      <c r="M1" t="s">
        <v>9</v>
      </c>
      <c r="N1" t="s">
        <v>10</v>
      </c>
      <c r="O1" t="s">
        <v>245</v>
      </c>
      <c r="P1" t="s">
        <v>246</v>
      </c>
      <c r="AE1" s="2" t="s">
        <v>88</v>
      </c>
      <c r="BB1" s="3"/>
    </row>
    <row r="2" spans="1:54" x14ac:dyDescent="0.25">
      <c r="A2" s="1" t="s">
        <v>247</v>
      </c>
      <c r="B2" s="1">
        <v>128444444444.44444</v>
      </c>
      <c r="C2" s="1">
        <v>39444444444.444443</v>
      </c>
      <c r="D2" s="1">
        <v>44500000000</v>
      </c>
      <c r="E2" s="1">
        <v>43000000000</v>
      </c>
      <c r="F2" s="1">
        <v>43000000000</v>
      </c>
      <c r="G2" s="1">
        <v>-13.355555555555556</v>
      </c>
      <c r="H2" s="1">
        <v>0</v>
      </c>
      <c r="I2" s="1">
        <v>1.4735555555555557E-8</v>
      </c>
      <c r="J2" s="1">
        <v>1.0000000000000001E-5</v>
      </c>
      <c r="K2" s="1">
        <v>0</v>
      </c>
      <c r="L2" s="1">
        <v>1.5699999999999999E-5</v>
      </c>
      <c r="M2" s="1">
        <v>4.0024444444444442E-4</v>
      </c>
      <c r="N2" s="1">
        <v>4.0024444444444442E-4</v>
      </c>
      <c r="O2" s="1">
        <v>3.2</v>
      </c>
      <c r="P2" s="1">
        <v>5800</v>
      </c>
      <c r="BB2" s="3"/>
    </row>
    <row r="3" spans="1:54" x14ac:dyDescent="0.25">
      <c r="A3" s="1" t="s">
        <v>248</v>
      </c>
      <c r="B3" s="1">
        <v>178764378478.66418</v>
      </c>
      <c r="C3" s="1">
        <v>65764378478.6642</v>
      </c>
      <c r="D3" s="1">
        <v>56500000000</v>
      </c>
      <c r="E3" s="1">
        <v>45300000000</v>
      </c>
      <c r="F3" s="1">
        <v>45300000000</v>
      </c>
      <c r="G3" s="1">
        <v>0</v>
      </c>
      <c r="H3" s="1">
        <v>138.44155844155841</v>
      </c>
      <c r="I3" s="1">
        <v>9.3000000000000002E-11</v>
      </c>
      <c r="J3" s="1">
        <v>1.5881818181818182E-4</v>
      </c>
      <c r="K3" s="1">
        <v>0</v>
      </c>
      <c r="L3" s="1">
        <v>1.0000000000000001E-5</v>
      </c>
      <c r="M3" s="1">
        <v>4.0024444444444442E-4</v>
      </c>
      <c r="N3" s="1">
        <v>4.0024444444444442E-4</v>
      </c>
      <c r="O3" s="1">
        <v>2.5</v>
      </c>
      <c r="P3" s="1">
        <v>5300</v>
      </c>
      <c r="AE3" t="s">
        <v>89</v>
      </c>
      <c r="AF3" t="s">
        <v>90</v>
      </c>
      <c r="AG3" t="s">
        <v>91</v>
      </c>
      <c r="AH3" t="s">
        <v>92</v>
      </c>
      <c r="AI3" t="s">
        <v>93</v>
      </c>
      <c r="AJ3" t="s">
        <v>94</v>
      </c>
      <c r="AK3" t="s">
        <v>95</v>
      </c>
      <c r="AL3" s="4" t="s">
        <v>96</v>
      </c>
      <c r="AM3" t="s">
        <v>97</v>
      </c>
      <c r="AN3" t="s">
        <v>98</v>
      </c>
      <c r="AO3" t="s">
        <v>99</v>
      </c>
      <c r="AP3" t="s">
        <v>100</v>
      </c>
      <c r="BB3" s="3"/>
    </row>
    <row r="4" spans="1:54" x14ac:dyDescent="0.25">
      <c r="AE4">
        <v>1</v>
      </c>
      <c r="AF4">
        <v>0.4</v>
      </c>
      <c r="AG4" s="5">
        <v>2.0000000000000001E-4</v>
      </c>
      <c r="AH4" s="6" t="e">
        <f>#REF!*AG4</f>
        <v>#REF!</v>
      </c>
      <c r="AI4" s="5">
        <f>AF4*AG4</f>
        <v>8.0000000000000007E-5</v>
      </c>
      <c r="AJ4" s="6">
        <f>SUM(AI4:AI22)</f>
        <v>1.4363347120585569E-4</v>
      </c>
      <c r="AK4" s="7" t="e">
        <f>AH4/AJ4</f>
        <v>#REF!</v>
      </c>
      <c r="AL4" s="8" t="e">
        <f>1-AM4</f>
        <v>#REF!</v>
      </c>
      <c r="AM4" s="8" t="e">
        <f>AH4/AJ4</f>
        <v>#REF!</v>
      </c>
      <c r="AN4" s="9">
        <v>20</v>
      </c>
      <c r="AO4">
        <v>300</v>
      </c>
      <c r="AP4" t="e">
        <f>AN4*AL4+AO4*AM4</f>
        <v>#REF!</v>
      </c>
      <c r="BB4" s="3"/>
    </row>
    <row r="5" spans="1:54" ht="14.5" customHeight="1" x14ac:dyDescent="0.25">
      <c r="AG5" s="5"/>
      <c r="AH5" s="6"/>
      <c r="AI5" s="5"/>
      <c r="AJ5" s="6"/>
      <c r="AK5" s="7"/>
      <c r="AL5" s="8"/>
      <c r="AM5" s="8"/>
      <c r="AN5" s="9"/>
      <c r="BB5" s="3"/>
    </row>
    <row r="6" spans="1:54" x14ac:dyDescent="0.25">
      <c r="B6" s="10" t="s">
        <v>27</v>
      </c>
      <c r="C6" s="10" t="s">
        <v>28</v>
      </c>
      <c r="D6" s="10" t="s">
        <v>29</v>
      </c>
      <c r="E6" s="10" t="s">
        <v>30</v>
      </c>
      <c r="F6" s="10" t="s">
        <v>31</v>
      </c>
      <c r="G6" s="10" t="s">
        <v>217</v>
      </c>
      <c r="H6" s="10" t="s">
        <v>32</v>
      </c>
      <c r="I6" s="10" t="s">
        <v>33</v>
      </c>
      <c r="J6" s="10" t="s">
        <v>34</v>
      </c>
      <c r="K6" s="10" t="s">
        <v>35</v>
      </c>
      <c r="L6" s="10" t="s">
        <v>36</v>
      </c>
      <c r="M6" s="10" t="s">
        <v>37</v>
      </c>
      <c r="N6" s="10" t="s">
        <v>38</v>
      </c>
      <c r="O6" s="10" t="s">
        <v>39</v>
      </c>
      <c r="P6" s="10" t="s">
        <v>40</v>
      </c>
      <c r="Q6" s="10" t="s">
        <v>41</v>
      </c>
      <c r="R6" s="10" t="s">
        <v>42</v>
      </c>
      <c r="S6" s="10" t="s">
        <v>218</v>
      </c>
      <c r="T6" s="10" t="s">
        <v>219</v>
      </c>
      <c r="U6" s="10" t="s">
        <v>220</v>
      </c>
      <c r="V6" s="10" t="s">
        <v>221</v>
      </c>
      <c r="W6" s="10" t="s">
        <v>222</v>
      </c>
      <c r="X6" s="10" t="s">
        <v>43</v>
      </c>
      <c r="Y6" s="10" t="s">
        <v>44</v>
      </c>
      <c r="Z6" s="10" t="s">
        <v>45</v>
      </c>
      <c r="AA6" s="10" t="s">
        <v>46</v>
      </c>
      <c r="BB6" s="3"/>
    </row>
    <row r="7" spans="1:54" x14ac:dyDescent="0.25">
      <c r="A7" t="s">
        <v>249</v>
      </c>
      <c r="B7" s="11">
        <v>1</v>
      </c>
      <c r="C7" s="5"/>
      <c r="D7" s="5"/>
      <c r="E7" s="5"/>
      <c r="F7" s="5">
        <v>0</v>
      </c>
      <c r="G7" s="5"/>
      <c r="H7" s="5"/>
      <c r="I7" s="5"/>
      <c r="J7" s="5"/>
      <c r="K7" s="5"/>
      <c r="L7" s="5">
        <v>0</v>
      </c>
      <c r="M7" s="5">
        <v>2.0000000000000001E-4</v>
      </c>
      <c r="N7" s="5"/>
      <c r="O7" s="5"/>
      <c r="P7" s="5"/>
      <c r="Q7" s="5">
        <v>0</v>
      </c>
      <c r="R7" s="5"/>
      <c r="S7" s="5"/>
      <c r="T7" s="5"/>
      <c r="U7" s="5">
        <v>0</v>
      </c>
      <c r="V7" s="5">
        <v>0</v>
      </c>
      <c r="W7" s="5"/>
      <c r="X7" s="5"/>
      <c r="Y7" s="5">
        <v>-1.1999999999999999E-3</v>
      </c>
      <c r="Z7" s="5">
        <v>-1E-3</v>
      </c>
      <c r="AA7" s="4">
        <v>2</v>
      </c>
    </row>
    <row r="8" spans="1:54" x14ac:dyDescent="0.25">
      <c r="B8" s="4">
        <v>2</v>
      </c>
      <c r="C8" s="5"/>
      <c r="D8" s="5"/>
      <c r="E8" s="5"/>
      <c r="F8" s="5">
        <v>0</v>
      </c>
      <c r="G8" s="5"/>
      <c r="H8" s="5"/>
      <c r="I8" s="5"/>
      <c r="J8" s="5"/>
      <c r="K8" s="5"/>
      <c r="L8" s="5">
        <v>0</v>
      </c>
      <c r="M8" s="5">
        <v>2.0000000000000001E-4</v>
      </c>
      <c r="N8" s="5"/>
      <c r="O8" s="5"/>
      <c r="P8" s="5"/>
      <c r="Q8" s="5">
        <v>0</v>
      </c>
      <c r="R8" s="5"/>
      <c r="S8" s="5"/>
      <c r="T8" s="5"/>
      <c r="U8" s="5">
        <v>0</v>
      </c>
      <c r="V8" s="5">
        <v>0</v>
      </c>
      <c r="W8" s="5"/>
      <c r="X8" s="5"/>
      <c r="Y8" s="5">
        <f t="shared" ref="Y8:Z18" si="0">Y7+0.0002</f>
        <v>-9.999999999999998E-4</v>
      </c>
      <c r="Z8" s="5">
        <f t="shared" si="0"/>
        <v>-8.0000000000000004E-4</v>
      </c>
      <c r="AA8" s="4">
        <v>2</v>
      </c>
    </row>
    <row r="9" spans="1:54" x14ac:dyDescent="0.25">
      <c r="B9" s="4">
        <v>3</v>
      </c>
      <c r="C9" s="5"/>
      <c r="D9" s="5"/>
      <c r="E9" s="5"/>
      <c r="F9" s="5">
        <v>0</v>
      </c>
      <c r="G9" s="5"/>
      <c r="H9" s="5"/>
      <c r="I9" s="5"/>
      <c r="J9" s="5"/>
      <c r="K9" s="5"/>
      <c r="L9" s="5">
        <v>0</v>
      </c>
      <c r="M9" s="5">
        <v>2.0000000000000001E-4</v>
      </c>
      <c r="N9" s="5"/>
      <c r="O9" s="5"/>
      <c r="P9" s="5"/>
      <c r="Q9" s="5">
        <v>0</v>
      </c>
      <c r="R9" s="5"/>
      <c r="S9" s="5"/>
      <c r="T9" s="5"/>
      <c r="U9" s="5">
        <v>0</v>
      </c>
      <c r="V9" s="5">
        <v>0</v>
      </c>
      <c r="W9" s="5"/>
      <c r="X9" s="5"/>
      <c r="Y9" s="5">
        <f t="shared" si="0"/>
        <v>-7.9999999999999982E-4</v>
      </c>
      <c r="Z9" s="5">
        <f t="shared" si="0"/>
        <v>-6.0000000000000006E-4</v>
      </c>
      <c r="AA9" s="4">
        <v>2</v>
      </c>
    </row>
    <row r="10" spans="1:54" x14ac:dyDescent="0.25">
      <c r="B10" s="4">
        <v>4</v>
      </c>
      <c r="C10" s="5"/>
      <c r="D10" s="5"/>
      <c r="E10" s="5"/>
      <c r="F10" s="5">
        <v>0</v>
      </c>
      <c r="G10" s="5"/>
      <c r="H10" s="5"/>
      <c r="I10" s="5"/>
      <c r="J10" s="5"/>
      <c r="K10" s="5"/>
      <c r="L10" s="5">
        <v>0</v>
      </c>
      <c r="M10" s="5">
        <v>2.0000000000000001E-4</v>
      </c>
      <c r="N10" s="5"/>
      <c r="O10" s="5"/>
      <c r="P10" s="5"/>
      <c r="Q10" s="5">
        <v>0</v>
      </c>
      <c r="R10" s="5"/>
      <c r="S10" s="5"/>
      <c r="T10" s="5"/>
      <c r="U10" s="5">
        <v>0</v>
      </c>
      <c r="V10" s="5">
        <v>0</v>
      </c>
      <c r="W10" s="5"/>
      <c r="X10" s="5"/>
      <c r="Y10" s="5">
        <f t="shared" si="0"/>
        <v>-5.9999999999999984E-4</v>
      </c>
      <c r="Z10" s="5">
        <f t="shared" si="0"/>
        <v>-4.0000000000000007E-4</v>
      </c>
      <c r="AA10" s="4">
        <v>2</v>
      </c>
    </row>
    <row r="11" spans="1:54" x14ac:dyDescent="0.25">
      <c r="B11" s="4">
        <v>5</v>
      </c>
      <c r="C11" s="5"/>
      <c r="D11" s="5"/>
      <c r="E11" s="5"/>
      <c r="F11" s="5">
        <v>0</v>
      </c>
      <c r="G11" s="5"/>
      <c r="H11" s="5"/>
      <c r="I11" s="5"/>
      <c r="J11" s="5"/>
      <c r="K11" s="5"/>
      <c r="L11" s="5">
        <v>0</v>
      </c>
      <c r="M11" s="5">
        <v>2.0000000000000001E-4</v>
      </c>
      <c r="N11" s="5"/>
      <c r="O11" s="5"/>
      <c r="P11" s="5"/>
      <c r="Q11" s="5">
        <v>0</v>
      </c>
      <c r="R11" s="5"/>
      <c r="S11" s="5"/>
      <c r="T11" s="5"/>
      <c r="U11" s="5">
        <v>0</v>
      </c>
      <c r="V11" s="5">
        <v>0</v>
      </c>
      <c r="W11" s="5"/>
      <c r="X11" s="5"/>
      <c r="Y11" s="5">
        <f t="shared" si="0"/>
        <v>-3.9999999999999986E-4</v>
      </c>
      <c r="Z11" s="5">
        <f t="shared" si="0"/>
        <v>-2.0000000000000006E-4</v>
      </c>
      <c r="AA11" s="4">
        <v>2</v>
      </c>
    </row>
    <row r="12" spans="1:54" x14ac:dyDescent="0.25">
      <c r="B12" s="4">
        <v>6</v>
      </c>
      <c r="C12" s="5"/>
      <c r="D12" s="5"/>
      <c r="E12" s="5"/>
      <c r="F12" s="5">
        <v>0</v>
      </c>
      <c r="G12" s="5"/>
      <c r="H12" s="5"/>
      <c r="I12" s="5"/>
      <c r="J12" s="5"/>
      <c r="K12" s="5"/>
      <c r="L12" s="5">
        <v>0</v>
      </c>
      <c r="M12" s="5">
        <v>2.0000000000000001E-4</v>
      </c>
      <c r="N12" s="5"/>
      <c r="O12" s="5"/>
      <c r="P12" s="5"/>
      <c r="Q12" s="5">
        <v>0</v>
      </c>
      <c r="R12" s="5"/>
      <c r="S12" s="5"/>
      <c r="T12" s="5"/>
      <c r="U12" s="5">
        <v>0</v>
      </c>
      <c r="V12" s="5">
        <v>0</v>
      </c>
      <c r="W12" s="5"/>
      <c r="X12" s="5"/>
      <c r="Y12" s="5">
        <f t="shared" si="0"/>
        <v>-1.9999999999999985E-4</v>
      </c>
      <c r="Z12" s="5">
        <f t="shared" si="0"/>
        <v>0</v>
      </c>
      <c r="AA12" s="4">
        <v>2</v>
      </c>
    </row>
    <row r="13" spans="1:54" x14ac:dyDescent="0.25">
      <c r="B13" s="4">
        <v>7</v>
      </c>
      <c r="C13" s="5"/>
      <c r="D13" s="5"/>
      <c r="E13" s="5"/>
      <c r="F13" s="5">
        <v>0</v>
      </c>
      <c r="G13" s="5"/>
      <c r="H13" s="5"/>
      <c r="I13" s="5"/>
      <c r="J13" s="5"/>
      <c r="K13" s="5"/>
      <c r="L13" s="5">
        <v>0</v>
      </c>
      <c r="M13" s="5">
        <v>2.0000000000000001E-4</v>
      </c>
      <c r="N13" s="5"/>
      <c r="O13" s="5"/>
      <c r="P13" s="5"/>
      <c r="Q13" s="5">
        <v>0</v>
      </c>
      <c r="R13" s="5"/>
      <c r="S13" s="5"/>
      <c r="T13" s="5"/>
      <c r="U13" s="5">
        <v>0</v>
      </c>
      <c r="V13" s="5">
        <v>0</v>
      </c>
      <c r="W13" s="5"/>
      <c r="X13" s="5"/>
      <c r="Y13" s="5">
        <f t="shared" si="0"/>
        <v>0</v>
      </c>
      <c r="Z13" s="5">
        <f t="shared" si="0"/>
        <v>2.0000000000000001E-4</v>
      </c>
      <c r="AA13" s="4">
        <v>2</v>
      </c>
    </row>
    <row r="14" spans="1:54" x14ac:dyDescent="0.25">
      <c r="B14" s="4">
        <v>8</v>
      </c>
      <c r="C14" s="5"/>
      <c r="D14" s="5"/>
      <c r="E14" s="5"/>
      <c r="F14" s="5">
        <v>0</v>
      </c>
      <c r="G14" s="5"/>
      <c r="H14" s="5"/>
      <c r="I14" s="5"/>
      <c r="J14" s="5"/>
      <c r="K14" s="5"/>
      <c r="L14" s="5">
        <v>0</v>
      </c>
      <c r="M14" s="5">
        <v>2.0000000000000001E-4</v>
      </c>
      <c r="N14" s="5"/>
      <c r="O14" s="5"/>
      <c r="P14" s="5"/>
      <c r="Q14" s="5">
        <v>0</v>
      </c>
      <c r="R14" s="5"/>
      <c r="S14" s="5"/>
      <c r="T14" s="5"/>
      <c r="U14" s="5">
        <v>0</v>
      </c>
      <c r="V14" s="5">
        <v>0</v>
      </c>
      <c r="W14" s="5"/>
      <c r="X14" s="5"/>
      <c r="Y14" s="5">
        <f t="shared" si="0"/>
        <v>2.0000000000000001E-4</v>
      </c>
      <c r="Z14" s="5">
        <f t="shared" si="0"/>
        <v>4.0000000000000002E-4</v>
      </c>
      <c r="AA14" s="4">
        <v>2</v>
      </c>
    </row>
    <row r="15" spans="1:54" x14ac:dyDescent="0.25">
      <c r="B15" s="4">
        <v>9</v>
      </c>
      <c r="C15" s="5"/>
      <c r="D15" s="5"/>
      <c r="E15" s="5"/>
      <c r="F15" s="5">
        <v>0</v>
      </c>
      <c r="G15" s="5"/>
      <c r="H15" s="5"/>
      <c r="I15" s="5"/>
      <c r="J15" s="5"/>
      <c r="K15" s="5"/>
      <c r="L15" s="5">
        <v>0</v>
      </c>
      <c r="M15" s="5">
        <v>2.0000000000000001E-4</v>
      </c>
      <c r="N15" s="5"/>
      <c r="O15" s="5"/>
      <c r="P15" s="5"/>
      <c r="Q15" s="5">
        <v>0</v>
      </c>
      <c r="R15" s="5"/>
      <c r="S15" s="5"/>
      <c r="T15" s="5"/>
      <c r="U15" s="5">
        <v>0</v>
      </c>
      <c r="V15" s="5">
        <v>0</v>
      </c>
      <c r="W15" s="5"/>
      <c r="X15" s="5"/>
      <c r="Y15" s="5">
        <f t="shared" si="0"/>
        <v>4.0000000000000002E-4</v>
      </c>
      <c r="Z15" s="5">
        <f t="shared" si="0"/>
        <v>6.0000000000000006E-4</v>
      </c>
      <c r="AA15" s="4">
        <v>2</v>
      </c>
    </row>
    <row r="16" spans="1:54" x14ac:dyDescent="0.25">
      <c r="B16" s="4">
        <v>10</v>
      </c>
      <c r="C16" s="5"/>
      <c r="D16" s="5"/>
      <c r="E16" s="5"/>
      <c r="F16" s="5">
        <v>0</v>
      </c>
      <c r="G16" s="5"/>
      <c r="H16" s="5"/>
      <c r="I16" s="5"/>
      <c r="J16" s="5"/>
      <c r="K16" s="5"/>
      <c r="L16" s="5">
        <v>0</v>
      </c>
      <c r="M16" s="5">
        <v>2.0000000000000001E-4</v>
      </c>
      <c r="N16" s="5"/>
      <c r="O16" s="5"/>
      <c r="P16" s="5"/>
      <c r="Q16" s="5">
        <v>0</v>
      </c>
      <c r="R16" s="5"/>
      <c r="S16" s="5"/>
      <c r="T16" s="5"/>
      <c r="U16" s="5">
        <v>0</v>
      </c>
      <c r="V16" s="5">
        <v>0</v>
      </c>
      <c r="W16" s="5"/>
      <c r="X16" s="5"/>
      <c r="Y16" s="5">
        <f t="shared" si="0"/>
        <v>6.0000000000000006E-4</v>
      </c>
      <c r="Z16" s="5">
        <f t="shared" si="0"/>
        <v>8.0000000000000004E-4</v>
      </c>
      <c r="AA16" s="4">
        <v>2</v>
      </c>
    </row>
    <row r="17" spans="1:54" x14ac:dyDescent="0.25">
      <c r="B17" s="4">
        <v>11</v>
      </c>
      <c r="C17" s="5"/>
      <c r="D17" s="5"/>
      <c r="E17" s="5"/>
      <c r="F17" s="5">
        <v>0</v>
      </c>
      <c r="G17" s="5"/>
      <c r="H17" s="5"/>
      <c r="I17" s="5"/>
      <c r="J17" s="5"/>
      <c r="K17" s="5"/>
      <c r="L17" s="5">
        <v>0</v>
      </c>
      <c r="M17" s="5">
        <v>2.0000000000000001E-4</v>
      </c>
      <c r="N17" s="5"/>
      <c r="O17" s="5"/>
      <c r="P17" s="5"/>
      <c r="Q17" s="5">
        <v>0</v>
      </c>
      <c r="R17" s="5"/>
      <c r="S17" s="5"/>
      <c r="T17" s="5"/>
      <c r="U17" s="5">
        <v>0</v>
      </c>
      <c r="V17" s="5">
        <v>0</v>
      </c>
      <c r="W17" s="5"/>
      <c r="X17" s="5"/>
      <c r="Y17" s="5">
        <f t="shared" si="0"/>
        <v>8.0000000000000004E-4</v>
      </c>
      <c r="Z17" s="5">
        <f t="shared" si="0"/>
        <v>1E-3</v>
      </c>
      <c r="AA17" s="4">
        <v>2</v>
      </c>
    </row>
    <row r="18" spans="1:54" x14ac:dyDescent="0.25">
      <c r="A18" t="s">
        <v>250</v>
      </c>
      <c r="B18" s="11">
        <v>12</v>
      </c>
      <c r="C18" s="5"/>
      <c r="D18" s="5"/>
      <c r="E18" s="5"/>
      <c r="F18" s="5">
        <v>0</v>
      </c>
      <c r="G18" s="5"/>
      <c r="H18" s="5"/>
      <c r="I18" s="5"/>
      <c r="J18" s="5"/>
      <c r="K18" s="5"/>
      <c r="L18" s="5">
        <v>0</v>
      </c>
      <c r="M18" s="5">
        <v>2.0000000000000001E-4</v>
      </c>
      <c r="N18" s="5"/>
      <c r="O18" s="5"/>
      <c r="P18" s="5"/>
      <c r="Q18" s="5">
        <v>0</v>
      </c>
      <c r="R18" s="5"/>
      <c r="S18" s="5"/>
      <c r="T18" s="5"/>
      <c r="U18" s="5">
        <v>0</v>
      </c>
      <c r="V18" s="5">
        <v>0</v>
      </c>
      <c r="W18" s="5"/>
      <c r="X18" s="5"/>
      <c r="Y18" s="5">
        <f t="shared" si="0"/>
        <v>1E-3</v>
      </c>
      <c r="Z18" s="5">
        <f t="shared" si="0"/>
        <v>1.2000000000000001E-3</v>
      </c>
      <c r="AA18" s="4">
        <v>2</v>
      </c>
    </row>
    <row r="19" spans="1:54" ht="14.5" customHeight="1" x14ac:dyDescent="0.25">
      <c r="B19" s="11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4"/>
      <c r="AG19" s="5"/>
      <c r="AH19" s="6"/>
      <c r="AI19" s="5"/>
      <c r="AJ19" s="6"/>
      <c r="AK19" s="7"/>
      <c r="AL19" s="8"/>
      <c r="AM19" s="8"/>
      <c r="AN19" s="9"/>
      <c r="BB19" s="3"/>
    </row>
    <row r="20" spans="1:54" ht="14.5" customHeight="1" x14ac:dyDescent="0.25">
      <c r="AG20" s="5"/>
      <c r="AH20" s="6"/>
      <c r="AI20" s="5"/>
      <c r="AJ20" s="6"/>
      <c r="AK20" s="7"/>
      <c r="AL20" s="8"/>
      <c r="AM20" s="8"/>
      <c r="AN20" s="9"/>
      <c r="BB20" s="3"/>
    </row>
    <row r="21" spans="1:54" ht="14.5" customHeight="1" x14ac:dyDescent="0.25">
      <c r="A21" s="1"/>
      <c r="B21" s="1"/>
      <c r="C21" s="1"/>
      <c r="AG21" s="5"/>
      <c r="AH21" s="6"/>
      <c r="AI21" s="5"/>
      <c r="AJ21" s="6"/>
      <c r="AK21" s="7"/>
      <c r="AL21" s="8"/>
      <c r="AM21" s="8"/>
      <c r="AN21" s="9"/>
      <c r="BB21" s="3"/>
    </row>
    <row r="22" spans="1:54" x14ac:dyDescent="0.25">
      <c r="A22" s="1"/>
      <c r="B22" s="1"/>
      <c r="C22" s="1"/>
      <c r="AE22">
        <v>2</v>
      </c>
      <c r="AF22" s="5">
        <v>0.31816735602927831</v>
      </c>
      <c r="AG22" s="5">
        <v>2.0000000000000001E-4</v>
      </c>
      <c r="AH22" s="6" t="e">
        <f t="shared" ref="AH22" si="1">AF22*AG22+AH4</f>
        <v>#REF!</v>
      </c>
      <c r="AI22" s="5">
        <f t="shared" ref="AI22" si="2">AF22*AG22</f>
        <v>6.3633471205855671E-5</v>
      </c>
      <c r="AJ22" s="6">
        <v>9.4613354369244734E-4</v>
      </c>
      <c r="AK22" s="7" t="e">
        <f t="shared" ref="AK22" si="3">AH22/AJ22</f>
        <v>#REF!</v>
      </c>
      <c r="AL22" s="8" t="e">
        <f t="shared" ref="AL22" si="4">1-AM22</f>
        <v>#REF!</v>
      </c>
      <c r="AM22" s="8" t="e">
        <f t="shared" ref="AM22" si="5">AH22/AJ22</f>
        <v>#REF!</v>
      </c>
      <c r="AN22" s="9">
        <v>20</v>
      </c>
      <c r="AO22">
        <v>300</v>
      </c>
      <c r="AP22" t="e">
        <f t="shared" ref="AP22" si="6">AN22*AL22+AO22*AM22</f>
        <v>#REF!</v>
      </c>
      <c r="BB22" s="3"/>
    </row>
    <row r="23" spans="1:54" x14ac:dyDescent="0.25">
      <c r="B23" s="11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4"/>
      <c r="BB23" s="3"/>
    </row>
    <row r="24" spans="1:54" x14ac:dyDescent="0.25">
      <c r="B24" s="11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4"/>
      <c r="BB24" s="3"/>
    </row>
    <row r="25" spans="1:54" x14ac:dyDescent="0.25">
      <c r="B25" s="11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4"/>
      <c r="BB25" s="3"/>
    </row>
    <row r="26" spans="1:54" x14ac:dyDescent="0.25">
      <c r="A26" s="12" t="s">
        <v>110</v>
      </c>
      <c r="B26" t="s">
        <v>111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4"/>
      <c r="BB26" s="3"/>
    </row>
    <row r="27" spans="1:54" x14ac:dyDescent="0.25">
      <c r="BB27" s="3"/>
    </row>
    <row r="28" spans="1:54" x14ac:dyDescent="0.25">
      <c r="BB28" s="3"/>
    </row>
    <row r="29" spans="1:54" x14ac:dyDescent="0.25">
      <c r="BB29" s="3"/>
    </row>
    <row r="30" spans="1:54" x14ac:dyDescent="0.25">
      <c r="A30" t="s">
        <v>112</v>
      </c>
      <c r="B30" s="2" t="s">
        <v>188</v>
      </c>
      <c r="C30" s="2" t="s">
        <v>189</v>
      </c>
      <c r="D30" s="2" t="s">
        <v>113</v>
      </c>
      <c r="E30" s="2" t="s">
        <v>114</v>
      </c>
      <c r="F30" s="2" t="s">
        <v>115</v>
      </c>
      <c r="G30" s="2" t="s">
        <v>116</v>
      </c>
      <c r="H30" s="2" t="s">
        <v>117</v>
      </c>
      <c r="I30" s="2" t="s">
        <v>118</v>
      </c>
      <c r="J30" s="2" t="s">
        <v>119</v>
      </c>
      <c r="K30" s="16"/>
      <c r="BB30" s="3"/>
    </row>
    <row r="31" spans="1:54" x14ac:dyDescent="0.25">
      <c r="B31" s="1">
        <v>154570780662.97195</v>
      </c>
      <c r="C31" s="1">
        <v>116331314878.89275</v>
      </c>
      <c r="D31" s="1">
        <v>2.3999999999999998E-3</v>
      </c>
      <c r="E31">
        <v>-1.1000000000000001E-3</v>
      </c>
      <c r="F31" s="1">
        <v>2</v>
      </c>
      <c r="G31">
        <f>(0.5+E31/D31)^F31</f>
        <v>1.7361111111111034E-3</v>
      </c>
      <c r="H31" s="1">
        <v>0.1</v>
      </c>
      <c r="I31" s="1">
        <f>1+2*E31/D31</f>
        <v>8.3333333333333148E-2</v>
      </c>
      <c r="J31" s="1">
        <f>(C31-B31)*G31+B31-(B31+C31)*(H31/2)*I31</f>
        <v>153375633970.11682</v>
      </c>
      <c r="BB31" s="3"/>
    </row>
    <row r="32" spans="1:54" x14ac:dyDescent="0.25">
      <c r="B32" s="1">
        <v>154570780662.97195</v>
      </c>
      <c r="C32" s="1">
        <v>116331314878.89275</v>
      </c>
      <c r="D32" s="1">
        <v>2.3999999999999998E-3</v>
      </c>
      <c r="E32">
        <f>-0.001+0.0001</f>
        <v>-8.9999999999999998E-4</v>
      </c>
      <c r="F32" s="1">
        <v>2</v>
      </c>
      <c r="G32">
        <f t="shared" ref="G32:G42" si="7">(0.5+E32/D32)^F32</f>
        <v>1.5625E-2</v>
      </c>
      <c r="H32" s="1">
        <v>0.1</v>
      </c>
      <c r="I32" s="1">
        <f t="shared" ref="I32:I42" si="8">1+2*E32/D32</f>
        <v>0.25</v>
      </c>
      <c r="J32" s="1">
        <f t="shared" ref="J32:J42" si="9">(C32-B32)*G32+B32-(B32+C32)*(H32/2)*I32</f>
        <v>150587012815.82239</v>
      </c>
      <c r="BB32" s="3"/>
    </row>
    <row r="33" spans="1:54" x14ac:dyDescent="0.25">
      <c r="A33" s="13"/>
      <c r="B33" s="1">
        <v>154570780662.97195</v>
      </c>
      <c r="C33" s="1">
        <v>116331314878.89275</v>
      </c>
      <c r="D33" s="1">
        <v>2.3999999999999998E-3</v>
      </c>
      <c r="E33">
        <f>E32+0.0002</f>
        <v>-6.9999999999999999E-4</v>
      </c>
      <c r="F33" s="1">
        <v>2</v>
      </c>
      <c r="G33">
        <f t="shared" si="7"/>
        <v>4.3402777777777769E-2</v>
      </c>
      <c r="H33" s="1">
        <v>0.1</v>
      </c>
      <c r="I33" s="1">
        <f t="shared" si="8"/>
        <v>0.41666666666666663</v>
      </c>
      <c r="J33" s="1">
        <f t="shared" si="9"/>
        <v>147267287970.08243</v>
      </c>
      <c r="BB33" s="3"/>
    </row>
    <row r="34" spans="1:54" x14ac:dyDescent="0.25">
      <c r="B34" s="1">
        <v>154570780662.97195</v>
      </c>
      <c r="C34" s="1">
        <v>116331314878.89275</v>
      </c>
      <c r="D34" s="1">
        <v>2.3999999999999998E-3</v>
      </c>
      <c r="E34">
        <f t="shared" ref="E34:E41" si="10">E33+0.0002</f>
        <v>-5.0000000000000001E-4</v>
      </c>
      <c r="F34" s="1">
        <v>2</v>
      </c>
      <c r="G34">
        <f t="shared" si="7"/>
        <v>8.506944444444442E-2</v>
      </c>
      <c r="H34" s="1">
        <v>0.1</v>
      </c>
      <c r="I34" s="1">
        <f t="shared" si="8"/>
        <v>0.58333333333333326</v>
      </c>
      <c r="J34" s="1">
        <f t="shared" si="9"/>
        <v>143416459432.89694</v>
      </c>
    </row>
    <row r="35" spans="1:54" x14ac:dyDescent="0.25">
      <c r="B35" s="1">
        <v>154570780662.97195</v>
      </c>
      <c r="C35" s="1">
        <v>116331314878.89275</v>
      </c>
      <c r="D35" s="1">
        <v>2.3999999999999998E-3</v>
      </c>
      <c r="E35">
        <f t="shared" si="10"/>
        <v>-3.0000000000000003E-4</v>
      </c>
      <c r="F35" s="1">
        <v>2</v>
      </c>
      <c r="G35">
        <f t="shared" si="7"/>
        <v>0.140625</v>
      </c>
      <c r="H35" s="1">
        <v>0.1</v>
      </c>
      <c r="I35" s="1">
        <f t="shared" si="8"/>
        <v>0.75</v>
      </c>
      <c r="J35" s="1">
        <f t="shared" si="9"/>
        <v>139034527204.2659</v>
      </c>
    </row>
    <row r="36" spans="1:54" x14ac:dyDescent="0.25">
      <c r="B36" s="1">
        <v>154570780662.97195</v>
      </c>
      <c r="C36" s="1">
        <v>116331314878.89275</v>
      </c>
      <c r="D36" s="1">
        <v>2.3999999999999998E-3</v>
      </c>
      <c r="E36">
        <f t="shared" si="10"/>
        <v>-1.0000000000000002E-4</v>
      </c>
      <c r="F36" s="1">
        <v>2</v>
      </c>
      <c r="G36">
        <f t="shared" si="7"/>
        <v>0.21006944444444442</v>
      </c>
      <c r="H36" s="1">
        <v>0.1</v>
      </c>
      <c r="I36" s="1">
        <f t="shared" si="8"/>
        <v>0.91666666666666663</v>
      </c>
      <c r="J36" s="1">
        <f t="shared" si="9"/>
        <v>134121491284.1893</v>
      </c>
    </row>
    <row r="37" spans="1:54" x14ac:dyDescent="0.25">
      <c r="B37" s="1">
        <v>154570780662.97195</v>
      </c>
      <c r="C37" s="1">
        <v>116331314878.89275</v>
      </c>
      <c r="D37" s="1">
        <v>2.3999999999999998E-3</v>
      </c>
      <c r="E37">
        <f t="shared" si="10"/>
        <v>9.9999999999999991E-5</v>
      </c>
      <c r="F37" s="1">
        <v>2</v>
      </c>
      <c r="G37">
        <f t="shared" si="7"/>
        <v>0.29340277777777773</v>
      </c>
      <c r="H37" s="1">
        <v>0.1</v>
      </c>
      <c r="I37" s="1">
        <f t="shared" si="8"/>
        <v>1.0833333333333333</v>
      </c>
      <c r="J37" s="1">
        <f t="shared" si="9"/>
        <v>128677351672.66714</v>
      </c>
    </row>
    <row r="38" spans="1:54" x14ac:dyDescent="0.25">
      <c r="B38" s="1">
        <v>154570780662.97195</v>
      </c>
      <c r="C38" s="1">
        <v>116331314878.89275</v>
      </c>
      <c r="D38" s="1">
        <v>2.3999999999999998E-3</v>
      </c>
      <c r="E38">
        <f t="shared" si="10"/>
        <v>3.0000000000000003E-4</v>
      </c>
      <c r="F38" s="1">
        <v>2</v>
      </c>
      <c r="G38">
        <f t="shared" si="7"/>
        <v>0.390625</v>
      </c>
      <c r="H38" s="1">
        <v>0.1</v>
      </c>
      <c r="I38" s="1">
        <f t="shared" si="8"/>
        <v>1.25</v>
      </c>
      <c r="J38" s="1">
        <f t="shared" si="9"/>
        <v>122702108369.69946</v>
      </c>
    </row>
    <row r="39" spans="1:54" x14ac:dyDescent="0.25">
      <c r="B39" s="1">
        <v>154570780662.97195</v>
      </c>
      <c r="C39" s="1">
        <v>116331314878.89275</v>
      </c>
      <c r="D39" s="1">
        <v>2.3999999999999998E-3</v>
      </c>
      <c r="E39">
        <f t="shared" si="10"/>
        <v>5.0000000000000001E-4</v>
      </c>
      <c r="F39" s="1">
        <v>2</v>
      </c>
      <c r="G39">
        <f t="shared" si="7"/>
        <v>0.50173611111111116</v>
      </c>
      <c r="H39" s="1">
        <v>0.1</v>
      </c>
      <c r="I39" s="1">
        <f t="shared" si="8"/>
        <v>1.4166666666666667</v>
      </c>
      <c r="J39" s="1">
        <f t="shared" si="9"/>
        <v>116195761375.28622</v>
      </c>
    </row>
    <row r="40" spans="1:54" x14ac:dyDescent="0.25">
      <c r="B40" s="1">
        <v>154570780662.97195</v>
      </c>
      <c r="C40" s="1">
        <v>116331314878.89275</v>
      </c>
      <c r="D40" s="1">
        <v>2.3999999999999998E-3</v>
      </c>
      <c r="E40">
        <f t="shared" si="10"/>
        <v>6.9999999999999999E-4</v>
      </c>
      <c r="F40" s="1">
        <v>2</v>
      </c>
      <c r="G40">
        <f t="shared" si="7"/>
        <v>0.62673611111111127</v>
      </c>
      <c r="H40" s="1">
        <v>0.1</v>
      </c>
      <c r="I40" s="1">
        <f t="shared" si="8"/>
        <v>1.5833333333333335</v>
      </c>
      <c r="J40" s="1">
        <f t="shared" si="9"/>
        <v>109158310689.42746</v>
      </c>
    </row>
    <row r="41" spans="1:54" x14ac:dyDescent="0.25">
      <c r="A41" s="1"/>
      <c r="B41" s="1">
        <v>154570780662.97195</v>
      </c>
      <c r="C41" s="1">
        <v>116331314878.89275</v>
      </c>
      <c r="D41" s="1">
        <v>2.3999999999999998E-3</v>
      </c>
      <c r="E41">
        <f t="shared" si="10"/>
        <v>8.9999999999999998E-4</v>
      </c>
      <c r="F41" s="1">
        <v>2</v>
      </c>
      <c r="G41">
        <f t="shared" si="7"/>
        <v>0.765625</v>
      </c>
      <c r="H41" s="1">
        <v>0.1</v>
      </c>
      <c r="I41" s="1">
        <f t="shared" si="8"/>
        <v>1.75</v>
      </c>
      <c r="J41" s="1">
        <f t="shared" si="9"/>
        <v>101589756312.12315</v>
      </c>
    </row>
    <row r="42" spans="1:54" x14ac:dyDescent="0.25">
      <c r="A42" s="1"/>
      <c r="B42" s="14">
        <v>154570780662.97198</v>
      </c>
      <c r="C42" s="14">
        <v>116331314878.89275</v>
      </c>
      <c r="D42" s="1">
        <v>2.3999999999999998E-3</v>
      </c>
      <c r="E42" s="13">
        <v>1.1000000000000001E-3</v>
      </c>
      <c r="F42" s="1">
        <v>2</v>
      </c>
      <c r="G42">
        <f t="shared" si="7"/>
        <v>0.91840277777777801</v>
      </c>
      <c r="H42" s="1">
        <v>0.1</v>
      </c>
      <c r="I42" s="1">
        <f t="shared" si="8"/>
        <v>1.916666666666667</v>
      </c>
      <c r="J42" s="1">
        <f t="shared" si="9"/>
        <v>93490098243.37326</v>
      </c>
    </row>
    <row r="43" spans="1:54" x14ac:dyDescent="0.25">
      <c r="A43" s="1"/>
      <c r="B43" s="1"/>
      <c r="C43" s="1"/>
      <c r="D43" s="1"/>
      <c r="F43" s="1"/>
      <c r="H43" s="1"/>
      <c r="J43" s="1"/>
    </row>
    <row r="44" spans="1:54" x14ac:dyDescent="0.25">
      <c r="A44" t="s">
        <v>120</v>
      </c>
      <c r="B44" s="2" t="s">
        <v>188</v>
      </c>
      <c r="C44" s="2" t="s">
        <v>189</v>
      </c>
      <c r="D44" s="2" t="s">
        <v>113</v>
      </c>
      <c r="E44" s="2" t="s">
        <v>114</v>
      </c>
      <c r="F44" s="2" t="s">
        <v>115</v>
      </c>
      <c r="G44" s="2" t="s">
        <v>116</v>
      </c>
      <c r="H44" s="2" t="s">
        <v>121</v>
      </c>
      <c r="I44" s="2" t="s">
        <v>118</v>
      </c>
      <c r="J44" s="2" t="s">
        <v>119</v>
      </c>
    </row>
    <row r="45" spans="1:54" x14ac:dyDescent="0.25">
      <c r="B45" s="1">
        <v>0.36788301471656604</v>
      </c>
      <c r="C45" s="1">
        <v>0.30709342560553632</v>
      </c>
      <c r="D45" s="1">
        <v>2.3999999999999998E-3</v>
      </c>
      <c r="E45">
        <v>-1.1000000000000001E-3</v>
      </c>
      <c r="F45" s="1">
        <v>2</v>
      </c>
      <c r="G45">
        <f>(0.5+E45/D45)^F45</f>
        <v>1.7361111111111034E-3</v>
      </c>
      <c r="H45" s="1">
        <v>0.1</v>
      </c>
      <c r="I45" s="1">
        <f>1+2*E45/D45</f>
        <v>8.3333333333333148E-2</v>
      </c>
      <c r="J45" s="1">
        <f>(C45-B45)*G45+B45-(B45+C45)*(H45/2)*I45</f>
        <v>0.36496507540079509</v>
      </c>
    </row>
    <row r="46" spans="1:54" x14ac:dyDescent="0.25">
      <c r="B46" s="1">
        <v>0.36788301471656604</v>
      </c>
      <c r="C46" s="1">
        <v>0.30709342560553632</v>
      </c>
      <c r="D46" s="1">
        <v>2.3999999999999998E-3</v>
      </c>
      <c r="E46">
        <f>-0.001+0.0001</f>
        <v>-8.9999999999999998E-4</v>
      </c>
      <c r="F46" s="1">
        <v>2</v>
      </c>
      <c r="G46">
        <f t="shared" ref="G46:G56" si="11">(0.5+E46/D46)^F46</f>
        <v>1.5625E-2</v>
      </c>
      <c r="H46" s="1">
        <v>0.1</v>
      </c>
      <c r="I46" s="1">
        <f t="shared" ref="I46:I56" si="12">1+2*E46/D46</f>
        <v>0.25</v>
      </c>
      <c r="J46" s="1">
        <f t="shared" ref="J46:J56" si="13">(C46-B46)*G46+B46-(B46+C46)*(H46/2)*I46</f>
        <v>0.35849597188267995</v>
      </c>
    </row>
    <row r="47" spans="1:54" x14ac:dyDescent="0.25">
      <c r="A47" s="13"/>
      <c r="B47" s="1">
        <v>0.36788301471656604</v>
      </c>
      <c r="C47" s="1">
        <v>0.30709342560553632</v>
      </c>
      <c r="D47" s="1">
        <v>2.3999999999999998E-3</v>
      </c>
      <c r="E47">
        <f>E46+0.0002</f>
        <v>-6.9999999999999999E-4</v>
      </c>
      <c r="F47" s="1">
        <v>2</v>
      </c>
      <c r="G47">
        <f t="shared" si="11"/>
        <v>4.3402777777777769E-2</v>
      </c>
      <c r="H47" s="1">
        <v>0.1</v>
      </c>
      <c r="I47" s="1">
        <f t="shared" si="12"/>
        <v>0.41666666666666663</v>
      </c>
      <c r="J47" s="1">
        <f t="shared" si="13"/>
        <v>0.35118256851580049</v>
      </c>
    </row>
    <row r="48" spans="1:54" x14ac:dyDescent="0.25">
      <c r="B48" s="1">
        <v>0.36788301471656604</v>
      </c>
      <c r="C48" s="1">
        <v>0.30709342560553632</v>
      </c>
      <c r="D48" s="1">
        <v>2.3999999999999998E-3</v>
      </c>
      <c r="E48">
        <f t="shared" ref="E48:E55" si="14">E47+0.0002</f>
        <v>-5.0000000000000001E-4</v>
      </c>
      <c r="F48" s="1">
        <v>2</v>
      </c>
      <c r="G48">
        <f t="shared" si="11"/>
        <v>8.506944444444442E-2</v>
      </c>
      <c r="H48" s="1">
        <v>0.1</v>
      </c>
      <c r="I48" s="1">
        <f t="shared" si="12"/>
        <v>0.58333333333333326</v>
      </c>
      <c r="J48" s="1">
        <f t="shared" si="13"/>
        <v>0.34302486530015669</v>
      </c>
    </row>
    <row r="49" spans="1:10" x14ac:dyDescent="0.25">
      <c r="B49" s="1">
        <v>0.36788301471656604</v>
      </c>
      <c r="C49" s="1">
        <v>0.30709342560553632</v>
      </c>
      <c r="D49" s="1">
        <v>2.3999999999999998E-3</v>
      </c>
      <c r="E49">
        <f t="shared" si="14"/>
        <v>-3.0000000000000003E-4</v>
      </c>
      <c r="F49" s="1">
        <v>2</v>
      </c>
      <c r="G49">
        <f t="shared" si="11"/>
        <v>0.140625</v>
      </c>
      <c r="H49" s="1">
        <v>0.1</v>
      </c>
      <c r="I49" s="1">
        <f t="shared" si="12"/>
        <v>0.75</v>
      </c>
      <c r="J49" s="1">
        <f t="shared" si="13"/>
        <v>0.33402286223574862</v>
      </c>
    </row>
    <row r="50" spans="1:10" x14ac:dyDescent="0.25">
      <c r="B50" s="1">
        <v>0.36788301471656604</v>
      </c>
      <c r="C50" s="1">
        <v>0.30709342560553632</v>
      </c>
      <c r="D50" s="1">
        <v>2.3999999999999998E-3</v>
      </c>
      <c r="E50">
        <f t="shared" si="14"/>
        <v>-1.0000000000000002E-4</v>
      </c>
      <c r="F50" s="1">
        <v>2</v>
      </c>
      <c r="G50">
        <f t="shared" si="11"/>
        <v>0.21006944444444442</v>
      </c>
      <c r="H50" s="1">
        <v>0.1</v>
      </c>
      <c r="I50" s="1">
        <f t="shared" si="12"/>
        <v>0.91666666666666663</v>
      </c>
      <c r="J50" s="1">
        <f t="shared" si="13"/>
        <v>0.32417655932257633</v>
      </c>
    </row>
    <row r="51" spans="1:10" x14ac:dyDescent="0.25">
      <c r="B51" s="1">
        <v>0.36788301471656604</v>
      </c>
      <c r="C51" s="1">
        <v>0.30709342560553632</v>
      </c>
      <c r="D51" s="1">
        <v>2.3999999999999998E-3</v>
      </c>
      <c r="E51">
        <f t="shared" si="14"/>
        <v>9.9999999999999991E-5</v>
      </c>
      <c r="F51" s="1">
        <v>2</v>
      </c>
      <c r="G51">
        <f t="shared" si="11"/>
        <v>0.29340277777777773</v>
      </c>
      <c r="H51" s="1">
        <v>0.1</v>
      </c>
      <c r="I51" s="1">
        <f t="shared" si="12"/>
        <v>1.0833333333333333</v>
      </c>
      <c r="J51" s="1">
        <f t="shared" si="13"/>
        <v>0.31348595656063966</v>
      </c>
    </row>
    <row r="52" spans="1:10" x14ac:dyDescent="0.25">
      <c r="B52" s="1">
        <v>0.36788301471656604</v>
      </c>
      <c r="C52" s="1">
        <v>0.30709342560553632</v>
      </c>
      <c r="D52" s="1">
        <v>2.3999999999999998E-3</v>
      </c>
      <c r="E52">
        <f t="shared" si="14"/>
        <v>3.0000000000000003E-4</v>
      </c>
      <c r="F52" s="1">
        <v>2</v>
      </c>
      <c r="G52">
        <f t="shared" si="11"/>
        <v>0.390625</v>
      </c>
      <c r="H52" s="1">
        <v>0.1</v>
      </c>
      <c r="I52" s="1">
        <f t="shared" si="12"/>
        <v>1.25</v>
      </c>
      <c r="J52" s="1">
        <f t="shared" si="13"/>
        <v>0.30195105394993865</v>
      </c>
    </row>
    <row r="53" spans="1:10" x14ac:dyDescent="0.25">
      <c r="B53" s="1">
        <v>0.36788301471656604</v>
      </c>
      <c r="C53" s="1">
        <v>0.30709342560553632</v>
      </c>
      <c r="D53" s="1">
        <v>2.3999999999999998E-3</v>
      </c>
      <c r="E53">
        <f t="shared" si="14"/>
        <v>5.0000000000000001E-4</v>
      </c>
      <c r="F53" s="1">
        <v>2</v>
      </c>
      <c r="G53">
        <f t="shared" si="11"/>
        <v>0.50173611111111116</v>
      </c>
      <c r="H53" s="1">
        <v>0.1</v>
      </c>
      <c r="I53" s="1">
        <f t="shared" si="12"/>
        <v>1.4166666666666667</v>
      </c>
      <c r="J53" s="1">
        <f t="shared" si="13"/>
        <v>0.28957185149047338</v>
      </c>
    </row>
    <row r="54" spans="1:10" x14ac:dyDescent="0.25">
      <c r="B54" s="1">
        <v>0.36788301471656604</v>
      </c>
      <c r="C54" s="1">
        <v>0.30709342560553632</v>
      </c>
      <c r="D54" s="1">
        <v>2.3999999999999998E-3</v>
      </c>
      <c r="E54">
        <f t="shared" si="14"/>
        <v>6.9999999999999999E-4</v>
      </c>
      <c r="F54" s="1">
        <v>2</v>
      </c>
      <c r="G54">
        <f t="shared" si="11"/>
        <v>0.62673611111111127</v>
      </c>
      <c r="H54" s="1">
        <v>0.1</v>
      </c>
      <c r="I54" s="1">
        <f t="shared" si="12"/>
        <v>1.5833333333333335</v>
      </c>
      <c r="J54" s="1">
        <f t="shared" si="13"/>
        <v>0.27634834918224377</v>
      </c>
    </row>
    <row r="55" spans="1:10" x14ac:dyDescent="0.25">
      <c r="B55" s="1">
        <v>0.36788301471656604</v>
      </c>
      <c r="C55" s="1">
        <v>0.30709342560553632</v>
      </c>
      <c r="D55" s="1">
        <v>2.3999999999999998E-3</v>
      </c>
      <c r="E55">
        <f t="shared" si="14"/>
        <v>8.9999999999999998E-4</v>
      </c>
      <c r="F55" s="1">
        <v>2</v>
      </c>
      <c r="G55">
        <f t="shared" si="11"/>
        <v>0.765625</v>
      </c>
      <c r="H55" s="1">
        <v>0.1</v>
      </c>
      <c r="I55" s="1">
        <f t="shared" si="12"/>
        <v>1.75</v>
      </c>
      <c r="J55" s="1">
        <f t="shared" si="13"/>
        <v>0.26228054702524994</v>
      </c>
    </row>
    <row r="56" spans="1:10" x14ac:dyDescent="0.25">
      <c r="B56" s="1">
        <v>0.36788301471656604</v>
      </c>
      <c r="C56" s="1">
        <v>0.30709342560553632</v>
      </c>
      <c r="D56" s="1">
        <v>2.3999999999999998E-3</v>
      </c>
      <c r="E56" s="13">
        <v>1.1000000000000001E-3</v>
      </c>
      <c r="F56" s="1">
        <v>2</v>
      </c>
      <c r="G56">
        <f t="shared" si="11"/>
        <v>0.91840277777777801</v>
      </c>
      <c r="H56" s="1">
        <v>0.1</v>
      </c>
      <c r="I56" s="1">
        <f t="shared" si="12"/>
        <v>1.916666666666667</v>
      </c>
      <c r="J56" s="1">
        <f t="shared" si="13"/>
        <v>0.24736844501949176</v>
      </c>
    </row>
    <row r="58" spans="1:10" x14ac:dyDescent="0.25">
      <c r="A58" t="s">
        <v>107</v>
      </c>
      <c r="B58" s="2" t="s">
        <v>188</v>
      </c>
      <c r="C58" s="2" t="s">
        <v>189</v>
      </c>
      <c r="D58" s="2" t="s">
        <v>113</v>
      </c>
      <c r="E58" s="2" t="s">
        <v>114</v>
      </c>
      <c r="F58" s="2" t="s">
        <v>115</v>
      </c>
      <c r="G58" s="2" t="s">
        <v>116</v>
      </c>
      <c r="H58" s="2" t="s">
        <v>121</v>
      </c>
      <c r="I58" s="2" t="s">
        <v>118</v>
      </c>
      <c r="J58" s="2" t="s">
        <v>119</v>
      </c>
    </row>
    <row r="59" spans="1:10" x14ac:dyDescent="0.25">
      <c r="B59" s="1">
        <v>56500000000</v>
      </c>
      <c r="C59" s="1">
        <v>44500000000</v>
      </c>
      <c r="D59" s="1">
        <v>2.3999999999999998E-3</v>
      </c>
      <c r="E59">
        <v>-1.1000000000000001E-3</v>
      </c>
      <c r="F59" s="1">
        <v>2</v>
      </c>
      <c r="G59">
        <f>(0.5+E59/D59)^F59</f>
        <v>1.7361111111111034E-3</v>
      </c>
      <c r="H59" s="1">
        <v>0.1</v>
      </c>
      <c r="I59" s="1">
        <f>1+2*E59/D59</f>
        <v>8.3333333333333148E-2</v>
      </c>
      <c r="J59" s="1">
        <f>(C59-B59)*G59+B59-(B59+C59)*(H59/2)*I59</f>
        <v>56058333333.333328</v>
      </c>
    </row>
    <row r="60" spans="1:10" x14ac:dyDescent="0.25">
      <c r="B60" s="1">
        <v>56500000000</v>
      </c>
      <c r="C60" s="1">
        <v>44500000000</v>
      </c>
      <c r="D60" s="1">
        <v>2.3999999999999998E-3</v>
      </c>
      <c r="E60">
        <f>-0.001+0.0001</f>
        <v>-8.9999999999999998E-4</v>
      </c>
      <c r="F60" s="1">
        <v>2</v>
      </c>
      <c r="G60">
        <f t="shared" ref="G60:G70" si="15">(0.5+E60/D60)^F60</f>
        <v>1.5625E-2</v>
      </c>
      <c r="H60" s="1">
        <v>0.1</v>
      </c>
      <c r="I60" s="1">
        <f t="shared" ref="I60:I70" si="16">1+2*E60/D60</f>
        <v>0.25</v>
      </c>
      <c r="J60" s="1">
        <f t="shared" ref="J60:J70" si="17">(C60-B60)*G60+B60-(B60+C60)*(H60/2)*I60</f>
        <v>55050000000</v>
      </c>
    </row>
    <row r="61" spans="1:10" x14ac:dyDescent="0.25">
      <c r="A61" s="13"/>
      <c r="B61" s="1">
        <v>56500000000</v>
      </c>
      <c r="C61" s="1">
        <v>44500000000</v>
      </c>
      <c r="D61" s="1">
        <v>2.3999999999999998E-3</v>
      </c>
      <c r="E61">
        <f>E60+0.0002</f>
        <v>-6.9999999999999999E-4</v>
      </c>
      <c r="F61" s="1">
        <v>2</v>
      </c>
      <c r="G61">
        <f t="shared" si="15"/>
        <v>4.3402777777777769E-2</v>
      </c>
      <c r="H61" s="1">
        <v>0.1</v>
      </c>
      <c r="I61" s="1">
        <f t="shared" si="16"/>
        <v>0.41666666666666663</v>
      </c>
      <c r="J61" s="1">
        <f t="shared" si="17"/>
        <v>53875000000</v>
      </c>
    </row>
    <row r="62" spans="1:10" x14ac:dyDescent="0.25">
      <c r="B62" s="1">
        <v>56500000000</v>
      </c>
      <c r="C62" s="1">
        <v>44500000000</v>
      </c>
      <c r="D62" s="1">
        <v>2.3999999999999998E-3</v>
      </c>
      <c r="E62">
        <f t="shared" ref="E62:E69" si="18">E61+0.0002</f>
        <v>-5.0000000000000001E-4</v>
      </c>
      <c r="F62" s="1">
        <v>2</v>
      </c>
      <c r="G62">
        <f t="shared" si="15"/>
        <v>8.506944444444442E-2</v>
      </c>
      <c r="H62" s="1">
        <v>0.1</v>
      </c>
      <c r="I62" s="1">
        <f t="shared" si="16"/>
        <v>0.58333333333333326</v>
      </c>
      <c r="J62" s="1">
        <f t="shared" si="17"/>
        <v>52533333333.333328</v>
      </c>
    </row>
    <row r="63" spans="1:10" x14ac:dyDescent="0.25">
      <c r="B63" s="1">
        <v>56500000000</v>
      </c>
      <c r="C63" s="1">
        <v>44500000000</v>
      </c>
      <c r="D63" s="1">
        <v>2.3999999999999998E-3</v>
      </c>
      <c r="E63">
        <f t="shared" si="18"/>
        <v>-3.0000000000000003E-4</v>
      </c>
      <c r="F63" s="1">
        <v>2</v>
      </c>
      <c r="G63">
        <f t="shared" si="15"/>
        <v>0.140625</v>
      </c>
      <c r="H63" s="1">
        <v>0.1</v>
      </c>
      <c r="I63" s="1">
        <f t="shared" si="16"/>
        <v>0.75</v>
      </c>
      <c r="J63" s="1">
        <f t="shared" si="17"/>
        <v>51025000000</v>
      </c>
    </row>
    <row r="64" spans="1:10" x14ac:dyDescent="0.25">
      <c r="B64" s="1">
        <v>56500000000</v>
      </c>
      <c r="C64" s="1">
        <v>44500000000</v>
      </c>
      <c r="D64" s="1">
        <v>2.3999999999999998E-3</v>
      </c>
      <c r="E64">
        <f t="shared" si="18"/>
        <v>-1.0000000000000002E-4</v>
      </c>
      <c r="F64" s="1">
        <v>2</v>
      </c>
      <c r="G64">
        <f t="shared" si="15"/>
        <v>0.21006944444444442</v>
      </c>
      <c r="H64" s="1">
        <v>0.1</v>
      </c>
      <c r="I64" s="1">
        <f t="shared" si="16"/>
        <v>0.91666666666666663</v>
      </c>
      <c r="J64" s="1">
        <f t="shared" si="17"/>
        <v>49350000000</v>
      </c>
    </row>
    <row r="65" spans="1:10" x14ac:dyDescent="0.25">
      <c r="B65" s="1">
        <v>56500000000</v>
      </c>
      <c r="C65" s="1">
        <v>44500000000</v>
      </c>
      <c r="D65" s="1">
        <v>2.3999999999999998E-3</v>
      </c>
      <c r="E65">
        <f t="shared" si="18"/>
        <v>9.9999999999999991E-5</v>
      </c>
      <c r="F65" s="1">
        <v>2</v>
      </c>
      <c r="G65">
        <f t="shared" si="15"/>
        <v>0.29340277777777773</v>
      </c>
      <c r="H65" s="1">
        <v>0.1</v>
      </c>
      <c r="I65" s="1">
        <f t="shared" si="16"/>
        <v>1.0833333333333333</v>
      </c>
      <c r="J65" s="1">
        <f t="shared" si="17"/>
        <v>47508333333.333328</v>
      </c>
    </row>
    <row r="66" spans="1:10" x14ac:dyDescent="0.25">
      <c r="B66" s="1">
        <v>56500000000</v>
      </c>
      <c r="C66" s="1">
        <v>44500000000</v>
      </c>
      <c r="D66" s="1">
        <v>2.3999999999999998E-3</v>
      </c>
      <c r="E66">
        <f t="shared" si="18"/>
        <v>3.0000000000000003E-4</v>
      </c>
      <c r="F66" s="1">
        <v>2</v>
      </c>
      <c r="G66">
        <f t="shared" si="15"/>
        <v>0.390625</v>
      </c>
      <c r="H66" s="1">
        <v>0.1</v>
      </c>
      <c r="I66" s="1">
        <f t="shared" si="16"/>
        <v>1.25</v>
      </c>
      <c r="J66" s="1">
        <f t="shared" si="17"/>
        <v>45500000000</v>
      </c>
    </row>
    <row r="67" spans="1:10" x14ac:dyDescent="0.25">
      <c r="B67" s="1">
        <v>56500000000</v>
      </c>
      <c r="C67" s="1">
        <v>44500000000</v>
      </c>
      <c r="D67" s="1">
        <v>2.3999999999999998E-3</v>
      </c>
      <c r="E67">
        <f t="shared" si="18"/>
        <v>5.0000000000000001E-4</v>
      </c>
      <c r="F67" s="1">
        <v>2</v>
      </c>
      <c r="G67">
        <f t="shared" si="15"/>
        <v>0.50173611111111116</v>
      </c>
      <c r="H67" s="1">
        <v>0.1</v>
      </c>
      <c r="I67" s="1">
        <f t="shared" si="16"/>
        <v>1.4166666666666667</v>
      </c>
      <c r="J67" s="1">
        <f t="shared" si="17"/>
        <v>43325000000</v>
      </c>
    </row>
    <row r="68" spans="1:10" x14ac:dyDescent="0.25">
      <c r="B68" s="1">
        <v>56500000000</v>
      </c>
      <c r="C68" s="1">
        <v>44500000000</v>
      </c>
      <c r="D68" s="1">
        <v>2.3999999999999998E-3</v>
      </c>
      <c r="E68">
        <f t="shared" si="18"/>
        <v>6.9999999999999999E-4</v>
      </c>
      <c r="F68" s="1">
        <v>2</v>
      </c>
      <c r="G68">
        <f t="shared" si="15"/>
        <v>0.62673611111111127</v>
      </c>
      <c r="H68" s="1">
        <v>0.1</v>
      </c>
      <c r="I68" s="1">
        <f t="shared" si="16"/>
        <v>1.5833333333333335</v>
      </c>
      <c r="J68" s="1">
        <f t="shared" si="17"/>
        <v>40983333333.333328</v>
      </c>
    </row>
    <row r="69" spans="1:10" x14ac:dyDescent="0.25">
      <c r="B69" s="1">
        <v>56500000000</v>
      </c>
      <c r="C69" s="1">
        <v>44500000000</v>
      </c>
      <c r="D69" s="1">
        <v>2.3999999999999998E-3</v>
      </c>
      <c r="E69">
        <f t="shared" si="18"/>
        <v>8.9999999999999998E-4</v>
      </c>
      <c r="F69" s="1">
        <v>2</v>
      </c>
      <c r="G69">
        <f t="shared" si="15"/>
        <v>0.765625</v>
      </c>
      <c r="H69" s="1">
        <v>0.1</v>
      </c>
      <c r="I69" s="1">
        <f t="shared" si="16"/>
        <v>1.75</v>
      </c>
      <c r="J69" s="1">
        <f t="shared" si="17"/>
        <v>38475000000</v>
      </c>
    </row>
    <row r="70" spans="1:10" x14ac:dyDescent="0.25">
      <c r="B70" s="1">
        <v>56500000000</v>
      </c>
      <c r="C70" s="1">
        <v>44500000000</v>
      </c>
      <c r="D70" s="1">
        <v>2.3999999999999998E-3</v>
      </c>
      <c r="E70" s="13">
        <v>1.1000000000000001E-3</v>
      </c>
      <c r="F70" s="1">
        <v>2</v>
      </c>
      <c r="G70">
        <f t="shared" si="15"/>
        <v>0.91840277777777801</v>
      </c>
      <c r="H70" s="1">
        <v>0.1</v>
      </c>
      <c r="I70" s="1">
        <f t="shared" si="16"/>
        <v>1.916666666666667</v>
      </c>
      <c r="J70" s="1">
        <f t="shared" si="17"/>
        <v>35800000000</v>
      </c>
    </row>
    <row r="72" spans="1:10" x14ac:dyDescent="0.25">
      <c r="A72" s="10" t="s">
        <v>32</v>
      </c>
      <c r="B72" s="2" t="s">
        <v>188</v>
      </c>
      <c r="C72" s="2" t="s">
        <v>189</v>
      </c>
      <c r="D72" s="2" t="s">
        <v>113</v>
      </c>
      <c r="E72" s="2" t="s">
        <v>114</v>
      </c>
      <c r="F72" s="2" t="s">
        <v>115</v>
      </c>
      <c r="G72" s="2" t="s">
        <v>116</v>
      </c>
      <c r="H72" s="2" t="s">
        <v>121</v>
      </c>
      <c r="I72" s="2" t="s">
        <v>118</v>
      </c>
      <c r="J72" s="2" t="s">
        <v>119</v>
      </c>
    </row>
    <row r="73" spans="1:10" x14ac:dyDescent="0.25">
      <c r="B73" s="1">
        <v>52200000000</v>
      </c>
      <c r="C73" s="1">
        <v>51600000000</v>
      </c>
      <c r="D73" s="1">
        <v>2.3999999999999998E-3</v>
      </c>
      <c r="E73">
        <v>-1.1000000000000001E-3</v>
      </c>
      <c r="F73" s="1">
        <v>2</v>
      </c>
      <c r="G73">
        <f>(0.5+E73/D73)^F73</f>
        <v>1.7361111111111034E-3</v>
      </c>
      <c r="H73" s="1">
        <v>0.1</v>
      </c>
      <c r="I73" s="1">
        <f>1+2*E73/D73</f>
        <v>8.3333333333333148E-2</v>
      </c>
      <c r="J73" s="1">
        <f>(C73-B73)*G73+B73-(B73+C73)*(H73/2)*I73</f>
        <v>51766458333.333336</v>
      </c>
    </row>
    <row r="74" spans="1:10" x14ac:dyDescent="0.25">
      <c r="B74" s="1">
        <v>52200000000</v>
      </c>
      <c r="C74" s="1">
        <v>51600000000</v>
      </c>
      <c r="D74" s="1">
        <v>2.3999999999999998E-3</v>
      </c>
      <c r="E74">
        <f>-0.001+0.0001</f>
        <v>-8.9999999999999998E-4</v>
      </c>
      <c r="F74" s="1">
        <v>2</v>
      </c>
      <c r="G74">
        <f t="shared" ref="G74:G84" si="19">(0.5+E74/D74)^F74</f>
        <v>1.5625E-2</v>
      </c>
      <c r="H74" s="1">
        <v>0.1</v>
      </c>
      <c r="I74" s="1">
        <f t="shared" ref="I74:I84" si="20">1+2*E74/D74</f>
        <v>0.25</v>
      </c>
      <c r="J74" s="1">
        <f t="shared" ref="J74:J84" si="21">(C74-B74)*G74+B74-(B74+C74)*(H74/2)*I74</f>
        <v>50893125000</v>
      </c>
    </row>
    <row r="75" spans="1:10" x14ac:dyDescent="0.25">
      <c r="B75" s="1">
        <v>52200000000</v>
      </c>
      <c r="C75" s="1">
        <v>51600000000</v>
      </c>
      <c r="D75" s="1">
        <v>2.3999999999999998E-3</v>
      </c>
      <c r="E75">
        <f>E74+0.0002</f>
        <v>-6.9999999999999999E-4</v>
      </c>
      <c r="F75" s="1">
        <v>2</v>
      </c>
      <c r="G75">
        <f t="shared" si="19"/>
        <v>4.3402777777777769E-2</v>
      </c>
      <c r="H75" s="1">
        <v>0.1</v>
      </c>
      <c r="I75" s="1">
        <f t="shared" si="20"/>
        <v>0.41666666666666663</v>
      </c>
      <c r="J75" s="1">
        <f t="shared" si="21"/>
        <v>50011458333.333336</v>
      </c>
    </row>
    <row r="76" spans="1:10" x14ac:dyDescent="0.25">
      <c r="B76" s="1">
        <v>52200000000</v>
      </c>
      <c r="C76" s="1">
        <v>51600000000</v>
      </c>
      <c r="D76" s="1">
        <v>2.3999999999999998E-3</v>
      </c>
      <c r="E76">
        <f t="shared" ref="E76:E83" si="22">E75+0.0002</f>
        <v>-5.0000000000000001E-4</v>
      </c>
      <c r="F76" s="1">
        <v>2</v>
      </c>
      <c r="G76">
        <f t="shared" si="19"/>
        <v>8.506944444444442E-2</v>
      </c>
      <c r="H76" s="1">
        <v>0.1</v>
      </c>
      <c r="I76" s="1">
        <f t="shared" si="20"/>
        <v>0.58333333333333326</v>
      </c>
      <c r="J76" s="1">
        <f t="shared" si="21"/>
        <v>49121458333.333336</v>
      </c>
    </row>
    <row r="77" spans="1:10" x14ac:dyDescent="0.25">
      <c r="B77" s="1">
        <v>52200000000</v>
      </c>
      <c r="C77" s="1">
        <v>51600000000</v>
      </c>
      <c r="D77" s="1">
        <v>2.3999999999999998E-3</v>
      </c>
      <c r="E77">
        <f t="shared" si="22"/>
        <v>-3.0000000000000003E-4</v>
      </c>
      <c r="F77" s="1">
        <v>2</v>
      </c>
      <c r="G77">
        <f t="shared" si="19"/>
        <v>0.140625</v>
      </c>
      <c r="H77" s="1">
        <v>0.1</v>
      </c>
      <c r="I77" s="1">
        <f t="shared" si="20"/>
        <v>0.75</v>
      </c>
      <c r="J77" s="1">
        <f t="shared" si="21"/>
        <v>48223125000</v>
      </c>
    </row>
    <row r="78" spans="1:10" x14ac:dyDescent="0.25">
      <c r="B78" s="1">
        <v>52200000000</v>
      </c>
      <c r="C78" s="1">
        <v>51600000000</v>
      </c>
      <c r="D78" s="1">
        <v>2.3999999999999998E-3</v>
      </c>
      <c r="E78">
        <f t="shared" si="22"/>
        <v>-1.0000000000000002E-4</v>
      </c>
      <c r="F78" s="1">
        <v>2</v>
      </c>
      <c r="G78">
        <f t="shared" si="19"/>
        <v>0.21006944444444442</v>
      </c>
      <c r="H78" s="1">
        <v>0.1</v>
      </c>
      <c r="I78" s="1">
        <f t="shared" si="20"/>
        <v>0.91666666666666663</v>
      </c>
      <c r="J78" s="1">
        <f t="shared" si="21"/>
        <v>47316458333.333336</v>
      </c>
    </row>
    <row r="79" spans="1:10" x14ac:dyDescent="0.25">
      <c r="B79" s="1">
        <v>52200000000</v>
      </c>
      <c r="C79" s="1">
        <v>51600000000</v>
      </c>
      <c r="D79" s="1">
        <v>2.3999999999999998E-3</v>
      </c>
      <c r="E79">
        <f t="shared" si="22"/>
        <v>9.9999999999999991E-5</v>
      </c>
      <c r="F79" s="1">
        <v>2</v>
      </c>
      <c r="G79">
        <f t="shared" si="19"/>
        <v>0.29340277777777773</v>
      </c>
      <c r="H79" s="1">
        <v>0.1</v>
      </c>
      <c r="I79" s="1">
        <f t="shared" si="20"/>
        <v>1.0833333333333333</v>
      </c>
      <c r="J79" s="1">
        <f t="shared" si="21"/>
        <v>46401458333.333336</v>
      </c>
    </row>
    <row r="80" spans="1:10" x14ac:dyDescent="0.25">
      <c r="B80" s="1">
        <v>52200000000</v>
      </c>
      <c r="C80" s="1">
        <v>51600000000</v>
      </c>
      <c r="D80" s="1">
        <v>2.3999999999999998E-3</v>
      </c>
      <c r="E80">
        <f t="shared" si="22"/>
        <v>3.0000000000000003E-4</v>
      </c>
      <c r="F80" s="1">
        <v>2</v>
      </c>
      <c r="G80">
        <f t="shared" si="19"/>
        <v>0.390625</v>
      </c>
      <c r="H80" s="1">
        <v>0.1</v>
      </c>
      <c r="I80" s="1">
        <f t="shared" si="20"/>
        <v>1.25</v>
      </c>
      <c r="J80" s="1">
        <f t="shared" si="21"/>
        <v>45478125000</v>
      </c>
    </row>
    <row r="81" spans="1:10" x14ac:dyDescent="0.25">
      <c r="B81" s="1">
        <v>52200000000</v>
      </c>
      <c r="C81" s="1">
        <v>51600000000</v>
      </c>
      <c r="D81" s="1">
        <v>2.3999999999999998E-3</v>
      </c>
      <c r="E81">
        <f t="shared" si="22"/>
        <v>5.0000000000000001E-4</v>
      </c>
      <c r="F81" s="1">
        <v>2</v>
      </c>
      <c r="G81">
        <f t="shared" si="19"/>
        <v>0.50173611111111116</v>
      </c>
      <c r="H81" s="1">
        <v>0.1</v>
      </c>
      <c r="I81" s="1">
        <f t="shared" si="20"/>
        <v>1.4166666666666667</v>
      </c>
      <c r="J81" s="1">
        <f t="shared" si="21"/>
        <v>44546458333.333336</v>
      </c>
    </row>
    <row r="82" spans="1:10" x14ac:dyDescent="0.25">
      <c r="B82" s="1">
        <v>52200000000</v>
      </c>
      <c r="C82" s="1">
        <v>51600000000</v>
      </c>
      <c r="D82" s="1">
        <v>2.3999999999999998E-3</v>
      </c>
      <c r="E82">
        <f t="shared" si="22"/>
        <v>6.9999999999999999E-4</v>
      </c>
      <c r="F82" s="1">
        <v>2</v>
      </c>
      <c r="G82">
        <f t="shared" si="19"/>
        <v>0.62673611111111127</v>
      </c>
      <c r="H82" s="1">
        <v>0.1</v>
      </c>
      <c r="I82" s="1">
        <f t="shared" si="20"/>
        <v>1.5833333333333335</v>
      </c>
      <c r="J82" s="1">
        <f t="shared" si="21"/>
        <v>43606458333.333336</v>
      </c>
    </row>
    <row r="83" spans="1:10" x14ac:dyDescent="0.25">
      <c r="B83" s="1">
        <v>52200000000</v>
      </c>
      <c r="C83" s="1">
        <v>51600000000</v>
      </c>
      <c r="D83" s="1">
        <v>2.3999999999999998E-3</v>
      </c>
      <c r="E83">
        <f t="shared" si="22"/>
        <v>8.9999999999999998E-4</v>
      </c>
      <c r="F83" s="1">
        <v>2</v>
      </c>
      <c r="G83">
        <f t="shared" si="19"/>
        <v>0.765625</v>
      </c>
      <c r="H83" s="1">
        <v>0.1</v>
      </c>
      <c r="I83" s="1">
        <f t="shared" si="20"/>
        <v>1.75</v>
      </c>
      <c r="J83" s="1">
        <f t="shared" si="21"/>
        <v>42658125000</v>
      </c>
    </row>
    <row r="84" spans="1:10" x14ac:dyDescent="0.25">
      <c r="B84" s="1">
        <v>52200000000</v>
      </c>
      <c r="C84" s="1">
        <v>51600000000</v>
      </c>
      <c r="D84" s="1">
        <v>2.3999999999999998E-3</v>
      </c>
      <c r="E84" s="13">
        <v>1.1000000000000001E-3</v>
      </c>
      <c r="F84" s="1">
        <v>2</v>
      </c>
      <c r="G84">
        <f t="shared" si="19"/>
        <v>0.91840277777777801</v>
      </c>
      <c r="H84" s="1">
        <v>0.1</v>
      </c>
      <c r="I84" s="1">
        <f t="shared" si="20"/>
        <v>1.916666666666667</v>
      </c>
      <c r="J84" s="1">
        <f t="shared" si="21"/>
        <v>41701458333.333336</v>
      </c>
    </row>
    <row r="86" spans="1:10" x14ac:dyDescent="0.25">
      <c r="A86" s="10" t="s">
        <v>122</v>
      </c>
      <c r="B86" s="2" t="s">
        <v>188</v>
      </c>
      <c r="C86" s="2" t="s">
        <v>189</v>
      </c>
      <c r="D86" s="2" t="s">
        <v>113</v>
      </c>
      <c r="E86" s="2" t="s">
        <v>114</v>
      </c>
      <c r="F86" s="2" t="s">
        <v>115</v>
      </c>
      <c r="G86" s="2" t="s">
        <v>116</v>
      </c>
      <c r="H86" s="2" t="s">
        <v>121</v>
      </c>
      <c r="I86" s="2" t="s">
        <v>118</v>
      </c>
      <c r="J86" s="2" t="s">
        <v>119</v>
      </c>
    </row>
    <row r="87" spans="1:10" x14ac:dyDescent="0.25">
      <c r="B87">
        <v>0</v>
      </c>
      <c r="C87" s="1">
        <v>-7.9837940896091497E-11</v>
      </c>
      <c r="D87" s="1">
        <v>2.3999999999999998E-3</v>
      </c>
      <c r="E87">
        <v>-1.1000000000000001E-3</v>
      </c>
      <c r="F87" s="1">
        <v>2</v>
      </c>
      <c r="G87">
        <f>(0.5+E87/D87)^F87</f>
        <v>1.7361111111111034E-3</v>
      </c>
      <c r="H87" s="1">
        <v>0.1</v>
      </c>
      <c r="I87" s="1">
        <f>1+2*E87/D87</f>
        <v>8.3333333333333148E-2</v>
      </c>
      <c r="J87" s="1">
        <f>(C87-B87)*G87+B87-(B87+C87)*(H87/2)*I87</f>
        <v>1.9405055078911115E-13</v>
      </c>
    </row>
    <row r="88" spans="1:10" x14ac:dyDescent="0.25">
      <c r="B88">
        <v>0</v>
      </c>
      <c r="C88" s="1">
        <v>-7.9837940896091497E-11</v>
      </c>
      <c r="D88" s="1">
        <v>2.3999999999999998E-3</v>
      </c>
      <c r="E88">
        <f>-0.001+0.0001</f>
        <v>-8.9999999999999998E-4</v>
      </c>
      <c r="F88" s="1">
        <v>2</v>
      </c>
      <c r="G88">
        <f t="shared" ref="G88:G98" si="23">(0.5+E88/D88)^F88</f>
        <v>1.5625E-2</v>
      </c>
      <c r="H88" s="1">
        <v>0.1</v>
      </c>
      <c r="I88" s="1">
        <f t="shared" ref="I88:I98" si="24">1+2*E88/D88</f>
        <v>0.25</v>
      </c>
      <c r="J88" s="1">
        <f t="shared" ref="J88:J98" si="25">(C88-B88)*G88+B88-(B88+C88)*(H88/2)*I88</f>
        <v>-2.4949356530028589E-13</v>
      </c>
    </row>
    <row r="89" spans="1:10" x14ac:dyDescent="0.25">
      <c r="B89">
        <v>0</v>
      </c>
      <c r="C89" s="1">
        <v>-7.9837940896091497E-11</v>
      </c>
      <c r="D89" s="1">
        <v>2.3999999999999998E-3</v>
      </c>
      <c r="E89">
        <f>E88+0.0002</f>
        <v>-6.9999999999999999E-4</v>
      </c>
      <c r="F89" s="1">
        <v>2</v>
      </c>
      <c r="G89">
        <f t="shared" si="23"/>
        <v>4.3402777777777769E-2</v>
      </c>
      <c r="H89" s="1">
        <v>0.1</v>
      </c>
      <c r="I89" s="1">
        <f t="shared" si="24"/>
        <v>0.41666666666666663</v>
      </c>
      <c r="J89" s="1">
        <f t="shared" si="25"/>
        <v>-1.8018979716131755E-12</v>
      </c>
    </row>
    <row r="90" spans="1:10" x14ac:dyDescent="0.25">
      <c r="B90">
        <v>0</v>
      </c>
      <c r="C90" s="1">
        <v>-7.9837940896091497E-11</v>
      </c>
      <c r="D90" s="1">
        <v>2.3999999999999998E-3</v>
      </c>
      <c r="E90">
        <f t="shared" ref="E90:E97" si="26">E89+0.0002</f>
        <v>-5.0000000000000001E-4</v>
      </c>
      <c r="F90" s="1">
        <v>2</v>
      </c>
      <c r="G90">
        <f t="shared" si="23"/>
        <v>8.506944444444442E-2</v>
      </c>
      <c r="H90" s="1">
        <v>0.1</v>
      </c>
      <c r="I90" s="1">
        <f t="shared" si="24"/>
        <v>0.58333333333333326</v>
      </c>
      <c r="J90" s="1">
        <f t="shared" si="25"/>
        <v>-4.4631626681495576E-12</v>
      </c>
    </row>
    <row r="91" spans="1:10" x14ac:dyDescent="0.25">
      <c r="B91">
        <v>0</v>
      </c>
      <c r="C91" s="1">
        <v>-7.9837940896091497E-11</v>
      </c>
      <c r="D91" s="1">
        <v>2.3999999999999998E-3</v>
      </c>
      <c r="E91">
        <f t="shared" si="26"/>
        <v>-3.0000000000000003E-4</v>
      </c>
      <c r="F91" s="1">
        <v>2</v>
      </c>
      <c r="G91">
        <f t="shared" si="23"/>
        <v>0.140625</v>
      </c>
      <c r="H91" s="1">
        <v>0.1</v>
      </c>
      <c r="I91" s="1">
        <f t="shared" si="24"/>
        <v>0.75</v>
      </c>
      <c r="J91" s="1">
        <f t="shared" si="25"/>
        <v>-8.2332876549094363E-12</v>
      </c>
    </row>
    <row r="92" spans="1:10" x14ac:dyDescent="0.25">
      <c r="B92">
        <v>0</v>
      </c>
      <c r="C92" s="1">
        <v>-7.9837940896091497E-11</v>
      </c>
      <c r="D92" s="1">
        <v>2.3999999999999998E-3</v>
      </c>
      <c r="E92">
        <f t="shared" si="26"/>
        <v>-1.0000000000000002E-4</v>
      </c>
      <c r="F92" s="1">
        <v>2</v>
      </c>
      <c r="G92">
        <f t="shared" si="23"/>
        <v>0.21006944444444442</v>
      </c>
      <c r="H92" s="1">
        <v>0.1</v>
      </c>
      <c r="I92" s="1">
        <f t="shared" si="24"/>
        <v>0.91666666666666663</v>
      </c>
      <c r="J92" s="1">
        <f t="shared" si="25"/>
        <v>-1.3112272931892802E-11</v>
      </c>
    </row>
    <row r="93" spans="1:10" x14ac:dyDescent="0.25">
      <c r="B93">
        <v>0</v>
      </c>
      <c r="C93" s="1">
        <v>-7.9837940896091497E-11</v>
      </c>
      <c r="D93" s="1">
        <v>2.3999999999999998E-3</v>
      </c>
      <c r="E93">
        <f t="shared" si="26"/>
        <v>9.9999999999999991E-5</v>
      </c>
      <c r="F93" s="1">
        <v>2</v>
      </c>
      <c r="G93">
        <f t="shared" si="23"/>
        <v>0.29340277777777773</v>
      </c>
      <c r="H93" s="1">
        <v>0.1</v>
      </c>
      <c r="I93" s="1">
        <f t="shared" si="24"/>
        <v>1.0833333333333333</v>
      </c>
      <c r="J93" s="1">
        <f t="shared" si="25"/>
        <v>-1.9100118499099664E-11</v>
      </c>
    </row>
    <row r="94" spans="1:10" x14ac:dyDescent="0.25">
      <c r="B94">
        <v>0</v>
      </c>
      <c r="C94" s="1">
        <v>-7.9837940896091497E-11</v>
      </c>
      <c r="D94" s="1">
        <v>2.3999999999999998E-3</v>
      </c>
      <c r="E94">
        <f t="shared" si="26"/>
        <v>3.0000000000000003E-4</v>
      </c>
      <c r="F94" s="1">
        <v>2</v>
      </c>
      <c r="G94">
        <f t="shared" si="23"/>
        <v>0.390625</v>
      </c>
      <c r="H94" s="1">
        <v>0.1</v>
      </c>
      <c r="I94" s="1">
        <f t="shared" si="24"/>
        <v>1.25</v>
      </c>
      <c r="J94" s="1">
        <f t="shared" si="25"/>
        <v>-2.6196824356530023E-11</v>
      </c>
    </row>
    <row r="95" spans="1:10" x14ac:dyDescent="0.25">
      <c r="B95">
        <v>0</v>
      </c>
      <c r="C95" s="1">
        <v>-7.9837940896091497E-11</v>
      </c>
      <c r="D95" s="1">
        <v>2.3999999999999998E-3</v>
      </c>
      <c r="E95">
        <f t="shared" si="26"/>
        <v>5.0000000000000001E-4</v>
      </c>
      <c r="F95" s="1">
        <v>2</v>
      </c>
      <c r="G95">
        <f t="shared" si="23"/>
        <v>0.50173611111111116</v>
      </c>
      <c r="H95" s="1">
        <v>0.1</v>
      </c>
      <c r="I95" s="1">
        <f t="shared" si="24"/>
        <v>1.4166666666666667</v>
      </c>
      <c r="J95" s="1">
        <f t="shared" si="25"/>
        <v>-3.4402390504183872E-11</v>
      </c>
    </row>
    <row r="96" spans="1:10" x14ac:dyDescent="0.25">
      <c r="B96">
        <v>0</v>
      </c>
      <c r="C96" s="1">
        <v>-7.9837940896091497E-11</v>
      </c>
      <c r="D96" s="1">
        <v>2.3999999999999998E-3</v>
      </c>
      <c r="E96">
        <f t="shared" si="26"/>
        <v>6.9999999999999999E-4</v>
      </c>
      <c r="F96" s="1">
        <v>2</v>
      </c>
      <c r="G96">
        <f t="shared" si="23"/>
        <v>0.62673611111111127</v>
      </c>
      <c r="H96" s="1">
        <v>0.1</v>
      </c>
      <c r="I96" s="1">
        <f t="shared" si="24"/>
        <v>1.5833333333333335</v>
      </c>
      <c r="J96" s="1">
        <f t="shared" si="25"/>
        <v>-4.3716816942061229E-11</v>
      </c>
    </row>
    <row r="97" spans="1:10" x14ac:dyDescent="0.25">
      <c r="B97">
        <v>0</v>
      </c>
      <c r="C97" s="1">
        <v>-7.9837940896091497E-11</v>
      </c>
      <c r="D97" s="1">
        <v>2.3999999999999998E-3</v>
      </c>
      <c r="E97">
        <f t="shared" si="26"/>
        <v>8.9999999999999998E-4</v>
      </c>
      <c r="F97" s="1">
        <v>2</v>
      </c>
      <c r="G97">
        <f t="shared" si="23"/>
        <v>0.765625</v>
      </c>
      <c r="H97" s="1">
        <v>0.1</v>
      </c>
      <c r="I97" s="1">
        <f t="shared" si="24"/>
        <v>1.75</v>
      </c>
      <c r="J97" s="1">
        <f t="shared" si="25"/>
        <v>-5.4140103670162043E-11</v>
      </c>
    </row>
    <row r="98" spans="1:10" x14ac:dyDescent="0.25">
      <c r="B98">
        <v>0</v>
      </c>
      <c r="C98" s="1">
        <v>-7.9837940896091497E-11</v>
      </c>
      <c r="D98" s="1">
        <v>2.3999999999999998E-3</v>
      </c>
      <c r="E98" s="13">
        <v>1.1000000000000001E-3</v>
      </c>
      <c r="F98" s="1">
        <v>2</v>
      </c>
      <c r="G98">
        <f t="shared" si="23"/>
        <v>0.91840277777777801</v>
      </c>
      <c r="H98" s="1">
        <v>0.1</v>
      </c>
      <c r="I98" s="1">
        <f t="shared" si="24"/>
        <v>1.916666666666667</v>
      </c>
      <c r="J98" s="1">
        <f t="shared" si="25"/>
        <v>-6.5672250688486397E-11</v>
      </c>
    </row>
    <row r="99" spans="1:10" x14ac:dyDescent="0.25">
      <c r="J99" s="1"/>
    </row>
    <row r="100" spans="1:10" x14ac:dyDescent="0.25">
      <c r="A100" s="10" t="s">
        <v>38</v>
      </c>
      <c r="B100" s="2" t="s">
        <v>188</v>
      </c>
      <c r="C100" s="2" t="s">
        <v>189</v>
      </c>
      <c r="D100" s="2" t="s">
        <v>113</v>
      </c>
      <c r="E100" s="2" t="s">
        <v>114</v>
      </c>
      <c r="F100" s="2" t="s">
        <v>115</v>
      </c>
      <c r="G100" s="2" t="s">
        <v>116</v>
      </c>
      <c r="H100" s="2" t="s">
        <v>121</v>
      </c>
      <c r="I100" s="2" t="s">
        <v>118</v>
      </c>
      <c r="J100" s="2" t="s">
        <v>119</v>
      </c>
    </row>
    <row r="101" spans="1:10" x14ac:dyDescent="0.25">
      <c r="B101" s="1">
        <v>138.44155844155841</v>
      </c>
      <c r="C101" s="1">
        <v>0</v>
      </c>
      <c r="D101" s="1">
        <v>2.3999999999999998E-3</v>
      </c>
      <c r="E101">
        <v>-1.1000000000000001E-3</v>
      </c>
      <c r="F101" s="1">
        <v>2</v>
      </c>
      <c r="G101">
        <f>(0.5+E101/D101)^F101</f>
        <v>1.7361111111111034E-3</v>
      </c>
      <c r="H101" s="1">
        <v>0.1</v>
      </c>
      <c r="I101" s="1">
        <f>1+2*E101/D101</f>
        <v>8.3333333333333148E-2</v>
      </c>
      <c r="J101" s="1">
        <f>(C101-B101)*G101+B101-(B101+C101)*(H101/2)*I101</f>
        <v>137.62436868686865</v>
      </c>
    </row>
    <row r="102" spans="1:10" x14ac:dyDescent="0.25">
      <c r="B102" s="1">
        <v>138.44155844155841</v>
      </c>
      <c r="C102" s="1">
        <v>0</v>
      </c>
      <c r="D102" s="1">
        <v>2.3999999999999998E-3</v>
      </c>
      <c r="E102">
        <f>-0.001+0.0001</f>
        <v>-8.9999999999999998E-4</v>
      </c>
      <c r="F102" s="1">
        <v>2</v>
      </c>
      <c r="G102">
        <f t="shared" ref="G102:G112" si="27">(0.5+E102/D102)^F102</f>
        <v>1.5625E-2</v>
      </c>
      <c r="H102" s="1">
        <v>0.1</v>
      </c>
      <c r="I102" s="1">
        <f t="shared" ref="I102:I112" si="28">1+2*E102/D102</f>
        <v>0.25</v>
      </c>
      <c r="J102" s="1">
        <f t="shared" ref="J102:J112" si="29">(C102-B102)*G102+B102-(B102+C102)*(H102/2)*I102</f>
        <v>134.54788961038957</v>
      </c>
    </row>
    <row r="103" spans="1:10" x14ac:dyDescent="0.25">
      <c r="B103" s="1">
        <v>138.44155844155841</v>
      </c>
      <c r="C103" s="1">
        <v>0</v>
      </c>
      <c r="D103" s="1">
        <v>2.3999999999999998E-3</v>
      </c>
      <c r="E103">
        <f>E102+0.0002</f>
        <v>-6.9999999999999999E-4</v>
      </c>
      <c r="F103" s="1">
        <v>2</v>
      </c>
      <c r="G103">
        <f t="shared" si="27"/>
        <v>4.3402777777777769E-2</v>
      </c>
      <c r="H103" s="1">
        <v>0.1</v>
      </c>
      <c r="I103" s="1">
        <f t="shared" si="28"/>
        <v>0.41666666666666663</v>
      </c>
      <c r="J103" s="1">
        <f t="shared" si="29"/>
        <v>129.54861111111109</v>
      </c>
    </row>
    <row r="104" spans="1:10" x14ac:dyDescent="0.25">
      <c r="B104" s="1">
        <v>138.44155844155841</v>
      </c>
      <c r="C104" s="1">
        <v>0</v>
      </c>
      <c r="D104" s="1">
        <v>2.3999999999999998E-3</v>
      </c>
      <c r="E104">
        <f t="shared" ref="E104:E111" si="30">E103+0.0002</f>
        <v>-5.0000000000000001E-4</v>
      </c>
      <c r="F104" s="1">
        <v>2</v>
      </c>
      <c r="G104">
        <f t="shared" si="27"/>
        <v>8.506944444444442E-2</v>
      </c>
      <c r="H104" s="1">
        <v>0.1</v>
      </c>
      <c r="I104" s="1">
        <f t="shared" si="28"/>
        <v>0.58333333333333326</v>
      </c>
      <c r="J104" s="1">
        <f t="shared" si="29"/>
        <v>122.62653318903317</v>
      </c>
    </row>
    <row r="105" spans="1:10" x14ac:dyDescent="0.25">
      <c r="B105" s="1">
        <v>138.44155844155841</v>
      </c>
      <c r="C105" s="1">
        <v>0</v>
      </c>
      <c r="D105" s="1">
        <v>2.3999999999999998E-3</v>
      </c>
      <c r="E105">
        <f t="shared" si="30"/>
        <v>-3.0000000000000003E-4</v>
      </c>
      <c r="F105" s="1">
        <v>2</v>
      </c>
      <c r="G105">
        <f t="shared" si="27"/>
        <v>0.140625</v>
      </c>
      <c r="H105" s="1">
        <v>0.1</v>
      </c>
      <c r="I105" s="1">
        <f t="shared" si="28"/>
        <v>0.75</v>
      </c>
      <c r="J105" s="1">
        <f t="shared" si="29"/>
        <v>113.78165584415582</v>
      </c>
    </row>
    <row r="106" spans="1:10" x14ac:dyDescent="0.25">
      <c r="B106" s="1">
        <v>138.44155844155841</v>
      </c>
      <c r="C106" s="1">
        <v>0</v>
      </c>
      <c r="D106" s="1">
        <v>2.3999999999999998E-3</v>
      </c>
      <c r="E106">
        <f t="shared" si="30"/>
        <v>-1.0000000000000002E-4</v>
      </c>
      <c r="F106" s="1">
        <v>2</v>
      </c>
      <c r="G106">
        <f t="shared" si="27"/>
        <v>0.21006944444444442</v>
      </c>
      <c r="H106" s="1">
        <v>0.1</v>
      </c>
      <c r="I106" s="1">
        <f t="shared" si="28"/>
        <v>0.91666666666666663</v>
      </c>
      <c r="J106" s="1">
        <f t="shared" si="29"/>
        <v>103.01397907647906</v>
      </c>
    </row>
    <row r="107" spans="1:10" x14ac:dyDescent="0.25">
      <c r="B107" s="1">
        <v>138.44155844155841</v>
      </c>
      <c r="C107" s="1">
        <v>0</v>
      </c>
      <c r="D107" s="1">
        <v>2.3999999999999998E-3</v>
      </c>
      <c r="E107">
        <f t="shared" si="30"/>
        <v>9.9999999999999991E-5</v>
      </c>
      <c r="F107" s="1">
        <v>2</v>
      </c>
      <c r="G107">
        <f t="shared" si="27"/>
        <v>0.29340277777777773</v>
      </c>
      <c r="H107" s="1">
        <v>0.1</v>
      </c>
      <c r="I107" s="1">
        <f t="shared" si="28"/>
        <v>1.0833333333333333</v>
      </c>
      <c r="J107" s="1">
        <f t="shared" si="29"/>
        <v>90.323502886002871</v>
      </c>
    </row>
    <row r="108" spans="1:10" x14ac:dyDescent="0.25">
      <c r="B108" s="1">
        <v>138.44155844155841</v>
      </c>
      <c r="C108" s="1">
        <v>0</v>
      </c>
      <c r="D108" s="1">
        <v>2.3999999999999998E-3</v>
      </c>
      <c r="E108">
        <f t="shared" si="30"/>
        <v>3.0000000000000003E-4</v>
      </c>
      <c r="F108" s="1">
        <v>2</v>
      </c>
      <c r="G108">
        <f t="shared" si="27"/>
        <v>0.390625</v>
      </c>
      <c r="H108" s="1">
        <v>0.1</v>
      </c>
      <c r="I108" s="1">
        <f t="shared" si="28"/>
        <v>1.25</v>
      </c>
      <c r="J108" s="1">
        <f t="shared" si="29"/>
        <v>75.710227272727252</v>
      </c>
    </row>
    <row r="109" spans="1:10" x14ac:dyDescent="0.25">
      <c r="B109" s="1">
        <v>138.44155844155841</v>
      </c>
      <c r="C109" s="1">
        <v>0</v>
      </c>
      <c r="D109" s="1">
        <v>2.3999999999999998E-3</v>
      </c>
      <c r="E109">
        <f t="shared" si="30"/>
        <v>5.0000000000000001E-4</v>
      </c>
      <c r="F109" s="1">
        <v>2</v>
      </c>
      <c r="G109">
        <f t="shared" si="27"/>
        <v>0.50173611111111116</v>
      </c>
      <c r="H109" s="1">
        <v>0.1</v>
      </c>
      <c r="I109" s="1">
        <f t="shared" si="28"/>
        <v>1.4166666666666667</v>
      </c>
      <c r="J109" s="1">
        <f t="shared" si="29"/>
        <v>59.174152236652219</v>
      </c>
    </row>
    <row r="110" spans="1:10" x14ac:dyDescent="0.25">
      <c r="B110" s="1">
        <v>138.44155844155841</v>
      </c>
      <c r="C110" s="1">
        <v>0</v>
      </c>
      <c r="D110" s="1">
        <v>2.3999999999999998E-3</v>
      </c>
      <c r="E110">
        <f t="shared" si="30"/>
        <v>6.9999999999999999E-4</v>
      </c>
      <c r="F110" s="1">
        <v>2</v>
      </c>
      <c r="G110">
        <f t="shared" si="27"/>
        <v>0.62673611111111127</v>
      </c>
      <c r="H110" s="1">
        <v>0.1</v>
      </c>
      <c r="I110" s="1">
        <f t="shared" si="28"/>
        <v>1.5833333333333335</v>
      </c>
      <c r="J110" s="1">
        <f t="shared" si="29"/>
        <v>40.715277777777743</v>
      </c>
    </row>
    <row r="111" spans="1:10" x14ac:dyDescent="0.25">
      <c r="B111" s="1">
        <v>138.44155844155841</v>
      </c>
      <c r="C111" s="1">
        <v>0</v>
      </c>
      <c r="D111" s="1">
        <v>2.3999999999999998E-3</v>
      </c>
      <c r="E111">
        <f t="shared" si="30"/>
        <v>8.9999999999999998E-4</v>
      </c>
      <c r="F111" s="1">
        <v>2</v>
      </c>
      <c r="G111">
        <f t="shared" si="27"/>
        <v>0.765625</v>
      </c>
      <c r="H111" s="1">
        <v>0.1</v>
      </c>
      <c r="I111" s="1">
        <f t="shared" si="28"/>
        <v>1.75</v>
      </c>
      <c r="J111" s="1">
        <f t="shared" si="29"/>
        <v>20.333603896103892</v>
      </c>
    </row>
    <row r="112" spans="1:10" x14ac:dyDescent="0.25">
      <c r="B112" s="1">
        <v>138.44155844155841</v>
      </c>
      <c r="C112" s="1">
        <v>0</v>
      </c>
      <c r="D112" s="1">
        <v>2.3999999999999998E-3</v>
      </c>
      <c r="E112" s="13">
        <v>1.1000000000000001E-3</v>
      </c>
      <c r="F112" s="1">
        <v>2</v>
      </c>
      <c r="G112">
        <f t="shared" si="27"/>
        <v>0.91840277777777801</v>
      </c>
      <c r="H112" s="1">
        <v>0.1</v>
      </c>
      <c r="I112" s="1">
        <f t="shared" si="28"/>
        <v>1.916666666666667</v>
      </c>
      <c r="J112" s="1">
        <f t="shared" si="29"/>
        <v>-1.9708694083694507</v>
      </c>
    </row>
    <row r="114" spans="1:10" x14ac:dyDescent="0.25">
      <c r="A114" s="10" t="s">
        <v>40</v>
      </c>
      <c r="B114" s="2" t="s">
        <v>188</v>
      </c>
      <c r="C114" s="2" t="s">
        <v>189</v>
      </c>
      <c r="D114" s="2" t="s">
        <v>113</v>
      </c>
      <c r="E114" s="2" t="s">
        <v>114</v>
      </c>
      <c r="F114" s="2" t="s">
        <v>115</v>
      </c>
      <c r="G114" s="2" t="s">
        <v>116</v>
      </c>
      <c r="H114" s="2" t="s">
        <v>121</v>
      </c>
      <c r="I114" s="2" t="s">
        <v>118</v>
      </c>
      <c r="J114" s="2" t="s">
        <v>119</v>
      </c>
    </row>
    <row r="115" spans="1:10" x14ac:dyDescent="0.25">
      <c r="B115">
        <v>9.3000000000000002E-11</v>
      </c>
      <c r="C115">
        <v>1.4735555555555557E-8</v>
      </c>
      <c r="D115" s="1">
        <v>2.3999999999999998E-3</v>
      </c>
      <c r="E115">
        <v>-1.1000000000000001E-3</v>
      </c>
      <c r="F115" s="1">
        <v>2</v>
      </c>
      <c r="G115">
        <f>(0.5+E115/D115)^F115</f>
        <v>1.7361111111111034E-3</v>
      </c>
      <c r="H115" s="1">
        <v>0.1</v>
      </c>
      <c r="I115" s="1">
        <f>1+2*E115/D115</f>
        <v>8.3333333333333148E-2</v>
      </c>
      <c r="J115" s="1">
        <f>(C115-B115)*G115+B115-(B115+C115)*(H115/2)*I115</f>
        <v>5.6635455246913611E-11</v>
      </c>
    </row>
    <row r="116" spans="1:10" x14ac:dyDescent="0.25">
      <c r="B116">
        <v>9.3000000000000002E-11</v>
      </c>
      <c r="C116">
        <v>1.4735555555555557E-8</v>
      </c>
      <c r="D116" s="1">
        <v>2.3999999999999998E-3</v>
      </c>
      <c r="E116">
        <f>-0.001+0.0001</f>
        <v>-8.9999999999999998E-4</v>
      </c>
      <c r="F116" s="1">
        <v>2</v>
      </c>
      <c r="G116">
        <f t="shared" ref="G116:G126" si="31">(0.5+E116/D116)^F116</f>
        <v>1.5625E-2</v>
      </c>
      <c r="H116" s="1">
        <v>0.1</v>
      </c>
      <c r="I116" s="1">
        <f t="shared" ref="I116:I126" si="32">1+2*E116/D116</f>
        <v>0.25</v>
      </c>
      <c r="J116" s="1">
        <f t="shared" ref="J116:J126" si="33">(C116-B116)*G116+B116-(B116+C116)*(H116/2)*I116</f>
        <v>1.3643298611111111E-10</v>
      </c>
    </row>
    <row r="117" spans="1:10" x14ac:dyDescent="0.25">
      <c r="B117">
        <v>9.3000000000000002E-11</v>
      </c>
      <c r="C117">
        <v>1.4735555555555557E-8</v>
      </c>
      <c r="D117" s="1">
        <v>2.3999999999999998E-3</v>
      </c>
      <c r="E117">
        <f>E116+0.0002</f>
        <v>-6.9999999999999999E-4</v>
      </c>
      <c r="F117" s="1">
        <v>2</v>
      </c>
      <c r="G117">
        <f t="shared" si="31"/>
        <v>4.3402777777777769E-2</v>
      </c>
      <c r="H117" s="1">
        <v>0.1</v>
      </c>
      <c r="I117" s="1">
        <f t="shared" si="32"/>
        <v>0.41666666666666663</v>
      </c>
      <c r="J117" s="1">
        <f t="shared" si="33"/>
        <v>4.1959934413580239E-10</v>
      </c>
    </row>
    <row r="118" spans="1:10" x14ac:dyDescent="0.25">
      <c r="B118">
        <v>9.3000000000000002E-11</v>
      </c>
      <c r="C118">
        <v>1.4735555555555557E-8</v>
      </c>
      <c r="D118" s="1">
        <v>2.3999999999999998E-3</v>
      </c>
      <c r="E118">
        <f t="shared" ref="E118:E125" si="34">E117+0.0002</f>
        <v>-5.0000000000000001E-4</v>
      </c>
      <c r="F118" s="1">
        <v>2</v>
      </c>
      <c r="G118">
        <f t="shared" si="31"/>
        <v>8.506944444444442E-2</v>
      </c>
      <c r="H118" s="1">
        <v>0.1</v>
      </c>
      <c r="I118" s="1">
        <f t="shared" si="32"/>
        <v>0.58333333333333326</v>
      </c>
      <c r="J118" s="1">
        <f t="shared" si="33"/>
        <v>9.0613452932098746E-10</v>
      </c>
    </row>
    <row r="119" spans="1:10" x14ac:dyDescent="0.25">
      <c r="B119">
        <v>9.3000000000000002E-11</v>
      </c>
      <c r="C119">
        <v>1.4735555555555557E-8</v>
      </c>
      <c r="D119" s="1">
        <v>2.3999999999999998E-3</v>
      </c>
      <c r="E119">
        <f t="shared" si="34"/>
        <v>-3.0000000000000003E-4</v>
      </c>
      <c r="F119" s="1">
        <v>2</v>
      </c>
      <c r="G119">
        <f t="shared" si="31"/>
        <v>0.140625</v>
      </c>
      <c r="H119" s="1">
        <v>0.1</v>
      </c>
      <c r="I119" s="1">
        <f t="shared" si="32"/>
        <v>0.75</v>
      </c>
      <c r="J119" s="1">
        <f t="shared" si="33"/>
        <v>1.5960385416666667E-9</v>
      </c>
    </row>
    <row r="120" spans="1:10" x14ac:dyDescent="0.25">
      <c r="B120">
        <v>9.3000000000000002E-11</v>
      </c>
      <c r="C120">
        <v>1.4735555555555557E-8</v>
      </c>
      <c r="D120" s="1">
        <v>2.3999999999999998E-3</v>
      </c>
      <c r="E120">
        <f t="shared" si="34"/>
        <v>-1.0000000000000002E-4</v>
      </c>
      <c r="F120" s="1">
        <v>2</v>
      </c>
      <c r="G120">
        <f t="shared" si="31"/>
        <v>0.21006944444444442</v>
      </c>
      <c r="H120" s="1">
        <v>0.1</v>
      </c>
      <c r="I120" s="1">
        <f t="shared" si="32"/>
        <v>0.91666666666666663</v>
      </c>
      <c r="J120" s="1">
        <f t="shared" si="33"/>
        <v>2.4893113811728394E-9</v>
      </c>
    </row>
    <row r="121" spans="1:10" x14ac:dyDescent="0.25">
      <c r="B121">
        <v>9.3000000000000002E-11</v>
      </c>
      <c r="C121">
        <v>1.4735555555555557E-8</v>
      </c>
      <c r="D121" s="1">
        <v>2.3999999999999998E-3</v>
      </c>
      <c r="E121">
        <f t="shared" si="34"/>
        <v>9.9999999999999991E-5</v>
      </c>
      <c r="F121" s="1">
        <v>2</v>
      </c>
      <c r="G121">
        <f t="shared" si="31"/>
        <v>0.29340277777777773</v>
      </c>
      <c r="H121" s="1">
        <v>0.1</v>
      </c>
      <c r="I121" s="1">
        <f t="shared" si="32"/>
        <v>1.0833333333333333</v>
      </c>
      <c r="J121" s="1">
        <f t="shared" si="33"/>
        <v>3.5859530478395066E-9</v>
      </c>
    </row>
    <row r="122" spans="1:10" x14ac:dyDescent="0.25">
      <c r="B122">
        <v>9.3000000000000002E-11</v>
      </c>
      <c r="C122">
        <v>1.4735555555555557E-8</v>
      </c>
      <c r="D122" s="1">
        <v>2.3999999999999998E-3</v>
      </c>
      <c r="E122">
        <f t="shared" si="34"/>
        <v>3.0000000000000003E-4</v>
      </c>
      <c r="F122" s="1">
        <v>2</v>
      </c>
      <c r="G122">
        <f t="shared" si="31"/>
        <v>0.390625</v>
      </c>
      <c r="H122" s="1">
        <v>0.1</v>
      </c>
      <c r="I122" s="1">
        <f t="shared" si="32"/>
        <v>1.25</v>
      </c>
      <c r="J122" s="1">
        <f t="shared" si="33"/>
        <v>4.8859635416666672E-9</v>
      </c>
    </row>
    <row r="123" spans="1:10" x14ac:dyDescent="0.25">
      <c r="B123">
        <v>9.3000000000000002E-11</v>
      </c>
      <c r="C123">
        <v>1.4735555555555557E-8</v>
      </c>
      <c r="D123" s="1">
        <v>2.3999999999999998E-3</v>
      </c>
      <c r="E123">
        <f t="shared" si="34"/>
        <v>5.0000000000000001E-4</v>
      </c>
      <c r="F123" s="1">
        <v>2</v>
      </c>
      <c r="G123">
        <f t="shared" si="31"/>
        <v>0.50173611111111116</v>
      </c>
      <c r="H123" s="1">
        <v>0.1</v>
      </c>
      <c r="I123" s="1">
        <f t="shared" si="32"/>
        <v>1.4166666666666667</v>
      </c>
      <c r="J123" s="1">
        <f t="shared" si="33"/>
        <v>6.3893428626543226E-9</v>
      </c>
    </row>
    <row r="124" spans="1:10" x14ac:dyDescent="0.25">
      <c r="B124">
        <v>9.3000000000000002E-11</v>
      </c>
      <c r="C124">
        <v>1.4735555555555557E-8</v>
      </c>
      <c r="D124" s="1">
        <v>2.3999999999999998E-3</v>
      </c>
      <c r="E124">
        <f t="shared" si="34"/>
        <v>6.9999999999999999E-4</v>
      </c>
      <c r="F124" s="1">
        <v>2</v>
      </c>
      <c r="G124">
        <f t="shared" si="31"/>
        <v>0.62673611111111127</v>
      </c>
      <c r="H124" s="1">
        <v>0.1</v>
      </c>
      <c r="I124" s="1">
        <f t="shared" si="32"/>
        <v>1.5833333333333335</v>
      </c>
      <c r="J124" s="1">
        <f t="shared" si="33"/>
        <v>8.0960910108024736E-9</v>
      </c>
    </row>
    <row r="125" spans="1:10" x14ac:dyDescent="0.25">
      <c r="B125">
        <v>9.3000000000000002E-11</v>
      </c>
      <c r="C125">
        <v>1.4735555555555557E-8</v>
      </c>
      <c r="D125" s="1">
        <v>2.3999999999999998E-3</v>
      </c>
      <c r="E125">
        <f t="shared" si="34"/>
        <v>8.9999999999999998E-4</v>
      </c>
      <c r="F125" s="1">
        <v>2</v>
      </c>
      <c r="G125">
        <f t="shared" si="31"/>
        <v>0.765625</v>
      </c>
      <c r="H125" s="1">
        <v>0.1</v>
      </c>
      <c r="I125" s="1">
        <f t="shared" si="32"/>
        <v>1.75</v>
      </c>
      <c r="J125" s="1">
        <f t="shared" si="33"/>
        <v>1.0006207986111112E-8</v>
      </c>
    </row>
    <row r="126" spans="1:10" x14ac:dyDescent="0.25">
      <c r="B126">
        <v>9.3000000000000002E-11</v>
      </c>
      <c r="C126">
        <v>1.4735555555555557E-8</v>
      </c>
      <c r="D126" s="1">
        <v>2.3999999999999998E-3</v>
      </c>
      <c r="E126" s="13">
        <v>1.1000000000000001E-3</v>
      </c>
      <c r="F126" s="1">
        <v>2</v>
      </c>
      <c r="G126">
        <f t="shared" si="31"/>
        <v>0.91840277777777801</v>
      </c>
      <c r="H126" s="1">
        <v>0.1</v>
      </c>
      <c r="I126" s="1">
        <f t="shared" si="32"/>
        <v>1.916666666666667</v>
      </c>
      <c r="J126" s="1">
        <f t="shared" si="33"/>
        <v>1.2119693788580251E-8</v>
      </c>
    </row>
    <row r="127" spans="1:10" x14ac:dyDescent="0.25">
      <c r="A127" s="10" t="s">
        <v>42</v>
      </c>
      <c r="B127" s="2" t="s">
        <v>188</v>
      </c>
      <c r="C127" s="2" t="s">
        <v>189</v>
      </c>
      <c r="D127" s="2" t="s">
        <v>113</v>
      </c>
      <c r="E127" s="2" t="s">
        <v>114</v>
      </c>
      <c r="F127" s="2" t="s">
        <v>115</v>
      </c>
      <c r="G127" s="2" t="s">
        <v>116</v>
      </c>
      <c r="H127" s="2" t="s">
        <v>121</v>
      </c>
      <c r="I127" s="2" t="s">
        <v>118</v>
      </c>
      <c r="J127" s="2" t="s">
        <v>119</v>
      </c>
    </row>
    <row r="128" spans="1:10" x14ac:dyDescent="0.25">
      <c r="B128" s="1">
        <v>1.5699999999999999E-4</v>
      </c>
      <c r="C128" s="1">
        <v>1.0000000000000001E-5</v>
      </c>
      <c r="D128" s="1">
        <v>2.3999999999999998E-3</v>
      </c>
      <c r="E128">
        <v>-1.1000000000000001E-3</v>
      </c>
      <c r="F128" s="1">
        <v>2</v>
      </c>
      <c r="G128">
        <f>(0.5+E128/D128)^F128</f>
        <v>1.7361111111111034E-3</v>
      </c>
      <c r="H128" s="1">
        <v>0.1</v>
      </c>
      <c r="I128" s="1">
        <f>1+2*E128/D128</f>
        <v>8.3333333333333148E-2</v>
      </c>
      <c r="J128" s="1">
        <f>(C128-B128)*G128+B128-(B128+C128)*(H128/2)*I128</f>
        <v>1.5604895833333334E-4</v>
      </c>
    </row>
    <row r="129" spans="1:10" x14ac:dyDescent="0.25">
      <c r="B129" s="1">
        <v>1.5699999999999999E-4</v>
      </c>
      <c r="C129" s="1">
        <v>1.0000000000000001E-5</v>
      </c>
      <c r="D129" s="1">
        <v>2.3999999999999998E-3</v>
      </c>
      <c r="E129">
        <f>-0.001+0.0001</f>
        <v>-8.9999999999999998E-4</v>
      </c>
      <c r="F129" s="1">
        <v>2</v>
      </c>
      <c r="G129">
        <f t="shared" ref="G129:G139" si="35">(0.5+E129/D129)^F129</f>
        <v>1.5625E-2</v>
      </c>
      <c r="H129" s="1">
        <v>0.1</v>
      </c>
      <c r="I129" s="1">
        <f t="shared" ref="I129:I139" si="36">1+2*E129/D129</f>
        <v>0.25</v>
      </c>
      <c r="J129" s="1">
        <f t="shared" ref="J129:J139" si="37">(C129-B129)*G129+B129-(B129+C129)*(H129/2)*I129</f>
        <v>1.5261562500000001E-4</v>
      </c>
    </row>
    <row r="130" spans="1:10" x14ac:dyDescent="0.25">
      <c r="B130" s="1">
        <v>1.5699999999999999E-4</v>
      </c>
      <c r="C130" s="1">
        <v>1.0000000000000001E-5</v>
      </c>
      <c r="D130" s="1">
        <v>2.3999999999999998E-3</v>
      </c>
      <c r="E130">
        <f>E129+0.0002</f>
        <v>-6.9999999999999999E-4</v>
      </c>
      <c r="F130" s="1">
        <v>2</v>
      </c>
      <c r="G130">
        <f t="shared" si="35"/>
        <v>4.3402777777777769E-2</v>
      </c>
      <c r="H130" s="1">
        <v>0.1</v>
      </c>
      <c r="I130" s="1">
        <f t="shared" si="36"/>
        <v>0.41666666666666663</v>
      </c>
      <c r="J130" s="1">
        <f t="shared" si="37"/>
        <v>1.47140625E-4</v>
      </c>
    </row>
    <row r="131" spans="1:10" x14ac:dyDescent="0.25">
      <c r="B131" s="1">
        <v>1.5699999999999999E-4</v>
      </c>
      <c r="C131" s="1">
        <v>1.0000000000000001E-5</v>
      </c>
      <c r="D131" s="1">
        <v>2.3999999999999998E-3</v>
      </c>
      <c r="E131">
        <f t="shared" ref="E131:E138" si="38">E130+0.0002</f>
        <v>-5.0000000000000001E-4</v>
      </c>
      <c r="F131" s="1">
        <v>2</v>
      </c>
      <c r="G131">
        <f t="shared" si="35"/>
        <v>8.506944444444442E-2</v>
      </c>
      <c r="H131" s="1">
        <v>0.1</v>
      </c>
      <c r="I131" s="1">
        <f t="shared" si="36"/>
        <v>0.58333333333333326</v>
      </c>
      <c r="J131" s="1">
        <f t="shared" si="37"/>
        <v>1.3962395833333333E-4</v>
      </c>
    </row>
    <row r="132" spans="1:10" x14ac:dyDescent="0.25">
      <c r="B132" s="1">
        <v>1.5699999999999999E-4</v>
      </c>
      <c r="C132" s="1">
        <v>1.0000000000000001E-5</v>
      </c>
      <c r="D132" s="1">
        <v>2.3999999999999998E-3</v>
      </c>
      <c r="E132">
        <f t="shared" si="38"/>
        <v>-3.0000000000000003E-4</v>
      </c>
      <c r="F132" s="1">
        <v>2</v>
      </c>
      <c r="G132">
        <f t="shared" si="35"/>
        <v>0.140625</v>
      </c>
      <c r="H132" s="1">
        <v>0.1</v>
      </c>
      <c r="I132" s="1">
        <f t="shared" si="36"/>
        <v>0.75</v>
      </c>
      <c r="J132" s="1">
        <f t="shared" si="37"/>
        <v>1.3006562500000001E-4</v>
      </c>
    </row>
    <row r="133" spans="1:10" x14ac:dyDescent="0.25">
      <c r="B133" s="1">
        <v>1.5699999999999999E-4</v>
      </c>
      <c r="C133" s="1">
        <v>1.0000000000000001E-5</v>
      </c>
      <c r="D133" s="1">
        <v>2.3999999999999998E-3</v>
      </c>
      <c r="E133">
        <f t="shared" si="38"/>
        <v>-1.0000000000000002E-4</v>
      </c>
      <c r="F133" s="1">
        <v>2</v>
      </c>
      <c r="G133">
        <f t="shared" si="35"/>
        <v>0.21006944444444442</v>
      </c>
      <c r="H133" s="1">
        <v>0.1</v>
      </c>
      <c r="I133" s="1">
        <f t="shared" si="36"/>
        <v>0.91666666666666663</v>
      </c>
      <c r="J133" s="1">
        <f t="shared" si="37"/>
        <v>1.1846562499999999E-4</v>
      </c>
    </row>
    <row r="134" spans="1:10" x14ac:dyDescent="0.25">
      <c r="B134" s="1">
        <v>1.5699999999999999E-4</v>
      </c>
      <c r="C134" s="1">
        <v>1.0000000000000001E-5</v>
      </c>
      <c r="D134" s="1">
        <v>2.3999999999999998E-3</v>
      </c>
      <c r="E134">
        <f t="shared" si="38"/>
        <v>9.9999999999999991E-5</v>
      </c>
      <c r="F134" s="1">
        <v>2</v>
      </c>
      <c r="G134">
        <f t="shared" si="35"/>
        <v>0.29340277777777773</v>
      </c>
      <c r="H134" s="1">
        <v>0.1</v>
      </c>
      <c r="I134" s="1">
        <f t="shared" si="36"/>
        <v>1.0833333333333333</v>
      </c>
      <c r="J134" s="1">
        <f t="shared" si="37"/>
        <v>1.0482395833333333E-4</v>
      </c>
    </row>
    <row r="135" spans="1:10" x14ac:dyDescent="0.25">
      <c r="B135" s="1">
        <v>1.5699999999999999E-4</v>
      </c>
      <c r="C135" s="1">
        <v>1.0000000000000001E-5</v>
      </c>
      <c r="D135" s="1">
        <v>2.3999999999999998E-3</v>
      </c>
      <c r="E135">
        <f t="shared" si="38"/>
        <v>3.0000000000000003E-4</v>
      </c>
      <c r="F135" s="1">
        <v>2</v>
      </c>
      <c r="G135">
        <f t="shared" si="35"/>
        <v>0.390625</v>
      </c>
      <c r="H135" s="1">
        <v>0.1</v>
      </c>
      <c r="I135" s="1">
        <f t="shared" si="36"/>
        <v>1.25</v>
      </c>
      <c r="J135" s="1">
        <f t="shared" si="37"/>
        <v>8.9140625E-5</v>
      </c>
    </row>
    <row r="136" spans="1:10" x14ac:dyDescent="0.25">
      <c r="B136" s="1">
        <v>1.5699999999999999E-4</v>
      </c>
      <c r="C136" s="1">
        <v>1.0000000000000001E-5</v>
      </c>
      <c r="D136" s="1">
        <v>2.3999999999999998E-3</v>
      </c>
      <c r="E136">
        <f t="shared" si="38"/>
        <v>5.0000000000000001E-4</v>
      </c>
      <c r="F136" s="1">
        <v>2</v>
      </c>
      <c r="G136">
        <f t="shared" si="35"/>
        <v>0.50173611111111116</v>
      </c>
      <c r="H136" s="1">
        <v>0.1</v>
      </c>
      <c r="I136" s="1">
        <f t="shared" si="36"/>
        <v>1.4166666666666667</v>
      </c>
      <c r="J136" s="1">
        <f t="shared" si="37"/>
        <v>7.1415624999999989E-5</v>
      </c>
    </row>
    <row r="137" spans="1:10" x14ac:dyDescent="0.25">
      <c r="B137" s="1">
        <v>1.5699999999999999E-4</v>
      </c>
      <c r="C137" s="1">
        <v>1.0000000000000001E-5</v>
      </c>
      <c r="D137" s="1">
        <v>2.3999999999999998E-3</v>
      </c>
      <c r="E137">
        <f t="shared" si="38"/>
        <v>6.9999999999999999E-4</v>
      </c>
      <c r="F137" s="1">
        <v>2</v>
      </c>
      <c r="G137">
        <f t="shared" si="35"/>
        <v>0.62673611111111127</v>
      </c>
      <c r="H137" s="1">
        <v>0.1</v>
      </c>
      <c r="I137" s="1">
        <f t="shared" si="36"/>
        <v>1.5833333333333335</v>
      </c>
      <c r="J137" s="1">
        <f t="shared" si="37"/>
        <v>5.1648958333333301E-5</v>
      </c>
    </row>
    <row r="138" spans="1:10" x14ac:dyDescent="0.25">
      <c r="B138" s="1">
        <v>1.5699999999999999E-4</v>
      </c>
      <c r="C138" s="1">
        <v>1.0000000000000001E-5</v>
      </c>
      <c r="D138" s="1">
        <v>2.3999999999999998E-3</v>
      </c>
      <c r="E138">
        <f t="shared" si="38"/>
        <v>8.9999999999999998E-4</v>
      </c>
      <c r="F138" s="1">
        <v>2</v>
      </c>
      <c r="G138">
        <f t="shared" si="35"/>
        <v>0.765625</v>
      </c>
      <c r="H138" s="1">
        <v>0.1</v>
      </c>
      <c r="I138" s="1">
        <f t="shared" si="36"/>
        <v>1.75</v>
      </c>
      <c r="J138" s="1">
        <f t="shared" si="37"/>
        <v>2.9840625000000005E-5</v>
      </c>
    </row>
    <row r="139" spans="1:10" x14ac:dyDescent="0.25">
      <c r="B139" s="1">
        <v>1.5699999999999999E-4</v>
      </c>
      <c r="C139" s="1">
        <v>1.0000000000000001E-5</v>
      </c>
      <c r="D139" s="1">
        <v>2.3999999999999998E-3</v>
      </c>
      <c r="E139" s="13">
        <v>1.1000000000000001E-3</v>
      </c>
      <c r="F139" s="1">
        <v>2</v>
      </c>
      <c r="G139">
        <f t="shared" si="35"/>
        <v>0.91840277777777801</v>
      </c>
      <c r="H139" s="1">
        <v>0.1</v>
      </c>
      <c r="I139" s="1">
        <f t="shared" si="36"/>
        <v>1.916666666666667</v>
      </c>
      <c r="J139" s="1">
        <f t="shared" si="37"/>
        <v>5.9906249999999677E-6</v>
      </c>
    </row>
    <row r="140" spans="1:10" x14ac:dyDescent="0.25">
      <c r="A140" s="10" t="s">
        <v>108</v>
      </c>
      <c r="B140" s="2" t="s">
        <v>188</v>
      </c>
      <c r="C140" s="2" t="s">
        <v>189</v>
      </c>
      <c r="D140" s="2" t="s">
        <v>113</v>
      </c>
      <c r="E140" s="2" t="s">
        <v>114</v>
      </c>
      <c r="F140" s="2" t="s">
        <v>115</v>
      </c>
      <c r="G140" s="2" t="s">
        <v>116</v>
      </c>
      <c r="H140" s="2" t="s">
        <v>121</v>
      </c>
      <c r="I140" s="2" t="s">
        <v>118</v>
      </c>
      <c r="J140" s="2" t="s">
        <v>119</v>
      </c>
    </row>
    <row r="141" spans="1:10" x14ac:dyDescent="0.25">
      <c r="B141" s="1">
        <v>1.0000000000000001E-5</v>
      </c>
      <c r="C141" s="1">
        <v>1.5699999999999999E-5</v>
      </c>
      <c r="D141" s="1">
        <v>2.3999999999999998E-3</v>
      </c>
      <c r="E141">
        <v>-1.1000000000000001E-3</v>
      </c>
      <c r="F141" s="1">
        <v>2</v>
      </c>
      <c r="G141">
        <f>(0.5+E141/D141)^F141</f>
        <v>1.7361111111111034E-3</v>
      </c>
      <c r="H141" s="1">
        <v>0.1</v>
      </c>
      <c r="I141" s="1">
        <f>1+2*E141/D141</f>
        <v>8.3333333333333148E-2</v>
      </c>
      <c r="J141" s="1">
        <f>(C141-B141)*G141+B141-(B141+C141)*(H141/2)*I141</f>
        <v>9.902812500000002E-6</v>
      </c>
    </row>
    <row r="142" spans="1:10" x14ac:dyDescent="0.25">
      <c r="B142" s="1">
        <v>1.0000000000000001E-5</v>
      </c>
      <c r="C142" s="1">
        <v>1.5699999999999999E-5</v>
      </c>
      <c r="D142" s="1">
        <v>2.3999999999999998E-3</v>
      </c>
      <c r="E142">
        <f>-0.001+0.0001</f>
        <v>-8.9999999999999998E-4</v>
      </c>
      <c r="F142" s="1">
        <v>2</v>
      </c>
      <c r="G142">
        <f t="shared" ref="G142:G152" si="39">(0.5+E142/D142)^F142</f>
        <v>1.5625E-2</v>
      </c>
      <c r="H142" s="1">
        <v>0.1</v>
      </c>
      <c r="I142" s="1">
        <f t="shared" ref="I142:I152" si="40">1+2*E142/D142</f>
        <v>0.25</v>
      </c>
      <c r="J142" s="1">
        <f t="shared" ref="J142:J152" si="41">(C142-B142)*G142+B142-(B142+C142)*(H142/2)*I142</f>
        <v>9.7678125000000008E-6</v>
      </c>
    </row>
    <row r="143" spans="1:10" x14ac:dyDescent="0.25">
      <c r="B143" s="1">
        <v>1.0000000000000001E-5</v>
      </c>
      <c r="C143" s="1">
        <v>1.5699999999999999E-5</v>
      </c>
      <c r="D143" s="1">
        <v>2.3999999999999998E-3</v>
      </c>
      <c r="E143">
        <f>E142+0.0002</f>
        <v>-6.9999999999999999E-4</v>
      </c>
      <c r="F143" s="1">
        <v>2</v>
      </c>
      <c r="G143">
        <f t="shared" si="39"/>
        <v>4.3402777777777769E-2</v>
      </c>
      <c r="H143" s="1">
        <v>0.1</v>
      </c>
      <c r="I143" s="1">
        <f t="shared" si="40"/>
        <v>0.41666666666666663</v>
      </c>
      <c r="J143" s="1">
        <f t="shared" si="41"/>
        <v>9.711979166666667E-6</v>
      </c>
    </row>
    <row r="144" spans="1:10" x14ac:dyDescent="0.25">
      <c r="B144" s="1">
        <v>1.0000000000000001E-5</v>
      </c>
      <c r="C144" s="1">
        <v>1.5699999999999999E-5</v>
      </c>
      <c r="D144" s="1">
        <v>2.3999999999999998E-3</v>
      </c>
      <c r="E144">
        <f t="shared" ref="E144:E151" si="42">E143+0.0002</f>
        <v>-5.0000000000000001E-4</v>
      </c>
      <c r="F144" s="1">
        <v>2</v>
      </c>
      <c r="G144">
        <f t="shared" si="39"/>
        <v>8.506944444444442E-2</v>
      </c>
      <c r="H144" s="1">
        <v>0.1</v>
      </c>
      <c r="I144" s="1">
        <f t="shared" si="40"/>
        <v>0.58333333333333326</v>
      </c>
      <c r="J144" s="1">
        <f t="shared" si="41"/>
        <v>9.7353125000000007E-6</v>
      </c>
    </row>
    <row r="145" spans="1:11" x14ac:dyDescent="0.25">
      <c r="B145" s="1">
        <v>1.0000000000000001E-5</v>
      </c>
      <c r="C145" s="1">
        <v>1.5699999999999999E-5</v>
      </c>
      <c r="D145" s="1">
        <v>2.3999999999999998E-3</v>
      </c>
      <c r="E145">
        <f t="shared" si="42"/>
        <v>-3.0000000000000003E-4</v>
      </c>
      <c r="F145" s="1">
        <v>2</v>
      </c>
      <c r="G145">
        <f t="shared" si="39"/>
        <v>0.140625</v>
      </c>
      <c r="H145" s="1">
        <v>0.1</v>
      </c>
      <c r="I145" s="1">
        <f t="shared" si="40"/>
        <v>0.75</v>
      </c>
      <c r="J145" s="1">
        <f t="shared" si="41"/>
        <v>9.8378125000000001E-6</v>
      </c>
    </row>
    <row r="146" spans="1:11" x14ac:dyDescent="0.25">
      <c r="B146" s="1">
        <v>1.0000000000000001E-5</v>
      </c>
      <c r="C146" s="1">
        <v>1.5699999999999999E-5</v>
      </c>
      <c r="D146" s="1">
        <v>2.3999999999999998E-3</v>
      </c>
      <c r="E146">
        <f t="shared" si="42"/>
        <v>-1.0000000000000002E-4</v>
      </c>
      <c r="F146" s="1">
        <v>2</v>
      </c>
      <c r="G146">
        <f t="shared" si="39"/>
        <v>0.21006944444444442</v>
      </c>
      <c r="H146" s="1">
        <v>0.1</v>
      </c>
      <c r="I146" s="1">
        <f t="shared" si="40"/>
        <v>0.91666666666666663</v>
      </c>
      <c r="J146" s="1">
        <f t="shared" si="41"/>
        <v>1.0019479166666665E-5</v>
      </c>
    </row>
    <row r="147" spans="1:11" x14ac:dyDescent="0.25">
      <c r="B147" s="1">
        <v>1.0000000000000001E-5</v>
      </c>
      <c r="C147" s="1">
        <v>1.5699999999999999E-5</v>
      </c>
      <c r="D147" s="1">
        <v>2.3999999999999998E-3</v>
      </c>
      <c r="E147">
        <f t="shared" si="42"/>
        <v>9.9999999999999991E-5</v>
      </c>
      <c r="F147" s="1">
        <v>2</v>
      </c>
      <c r="G147">
        <f t="shared" si="39"/>
        <v>0.29340277777777773</v>
      </c>
      <c r="H147" s="1">
        <v>0.1</v>
      </c>
      <c r="I147" s="1">
        <f t="shared" si="40"/>
        <v>1.0833333333333333</v>
      </c>
      <c r="J147" s="1">
        <f t="shared" si="41"/>
        <v>1.02803125E-5</v>
      </c>
    </row>
    <row r="148" spans="1:11" x14ac:dyDescent="0.25">
      <c r="B148" s="1">
        <v>1.0000000000000001E-5</v>
      </c>
      <c r="C148" s="1">
        <v>1.5699999999999999E-5</v>
      </c>
      <c r="D148" s="1">
        <v>2.3999999999999998E-3</v>
      </c>
      <c r="E148">
        <f t="shared" si="42"/>
        <v>3.0000000000000003E-4</v>
      </c>
      <c r="F148" s="1">
        <v>2</v>
      </c>
      <c r="G148">
        <f t="shared" si="39"/>
        <v>0.390625</v>
      </c>
      <c r="H148" s="1">
        <v>0.1</v>
      </c>
      <c r="I148" s="1">
        <f t="shared" si="40"/>
        <v>1.25</v>
      </c>
      <c r="J148" s="1">
        <f t="shared" si="41"/>
        <v>1.06203125E-5</v>
      </c>
    </row>
    <row r="149" spans="1:11" x14ac:dyDescent="0.25">
      <c r="B149" s="1">
        <v>1.0000000000000001E-5</v>
      </c>
      <c r="C149" s="1">
        <v>1.5699999999999999E-5</v>
      </c>
      <c r="D149" s="1">
        <v>2.3999999999999998E-3</v>
      </c>
      <c r="E149">
        <f t="shared" si="42"/>
        <v>5.0000000000000001E-4</v>
      </c>
      <c r="F149" s="1">
        <v>2</v>
      </c>
      <c r="G149">
        <f t="shared" si="39"/>
        <v>0.50173611111111116</v>
      </c>
      <c r="H149" s="1">
        <v>0.1</v>
      </c>
      <c r="I149" s="1">
        <f t="shared" si="40"/>
        <v>1.4166666666666667</v>
      </c>
      <c r="J149" s="1">
        <f t="shared" si="41"/>
        <v>1.1039479166666666E-5</v>
      </c>
    </row>
    <row r="150" spans="1:11" x14ac:dyDescent="0.25">
      <c r="B150" s="1">
        <v>1.0000000000000001E-5</v>
      </c>
      <c r="C150" s="1">
        <v>1.5699999999999999E-5</v>
      </c>
      <c r="D150" s="1">
        <v>2.3999999999999998E-3</v>
      </c>
      <c r="E150">
        <f t="shared" si="42"/>
        <v>6.9999999999999999E-4</v>
      </c>
      <c r="F150" s="1">
        <v>2</v>
      </c>
      <c r="G150">
        <f t="shared" si="39"/>
        <v>0.62673611111111127</v>
      </c>
      <c r="H150" s="1">
        <v>0.1</v>
      </c>
      <c r="I150" s="1">
        <f t="shared" si="40"/>
        <v>1.5833333333333335</v>
      </c>
      <c r="J150" s="1">
        <f t="shared" si="41"/>
        <v>1.1537812499999999E-5</v>
      </c>
    </row>
    <row r="151" spans="1:11" x14ac:dyDescent="0.25">
      <c r="B151" s="1">
        <v>1.0000000000000001E-5</v>
      </c>
      <c r="C151" s="1">
        <v>1.5699999999999999E-5</v>
      </c>
      <c r="D151" s="1">
        <v>2.3999999999999998E-3</v>
      </c>
      <c r="E151">
        <f t="shared" si="42"/>
        <v>8.9999999999999998E-4</v>
      </c>
      <c r="F151" s="1">
        <v>2</v>
      </c>
      <c r="G151">
        <f t="shared" si="39"/>
        <v>0.765625</v>
      </c>
      <c r="H151" s="1">
        <v>0.1</v>
      </c>
      <c r="I151" s="1">
        <f t="shared" si="40"/>
        <v>1.75</v>
      </c>
      <c r="J151" s="1">
        <f t="shared" si="41"/>
        <v>1.21153125E-5</v>
      </c>
    </row>
    <row r="152" spans="1:11" x14ac:dyDescent="0.25">
      <c r="B152" s="1">
        <v>1.0000000000000001E-5</v>
      </c>
      <c r="C152" s="1">
        <v>1.5699999999999999E-5</v>
      </c>
      <c r="D152" s="1">
        <v>2.3999999999999998E-3</v>
      </c>
      <c r="E152" s="13">
        <v>1.1000000000000001E-3</v>
      </c>
      <c r="F152" s="1">
        <v>2</v>
      </c>
      <c r="G152">
        <f t="shared" si="39"/>
        <v>0.91840277777777801</v>
      </c>
      <c r="H152" s="1">
        <v>0.1</v>
      </c>
      <c r="I152" s="1">
        <f t="shared" si="40"/>
        <v>1.916666666666667</v>
      </c>
      <c r="J152" s="1">
        <f t="shared" si="41"/>
        <v>1.2771979166666666E-5</v>
      </c>
    </row>
    <row r="153" spans="1:11" x14ac:dyDescent="0.25">
      <c r="A153" s="10" t="s">
        <v>109</v>
      </c>
      <c r="B153" s="2" t="s">
        <v>188</v>
      </c>
      <c r="C153" s="2" t="s">
        <v>189</v>
      </c>
      <c r="D153" s="2" t="s">
        <v>123</v>
      </c>
      <c r="E153" s="2" t="s">
        <v>124</v>
      </c>
      <c r="F153" s="2" t="s">
        <v>125</v>
      </c>
      <c r="G153" s="2" t="s">
        <v>116</v>
      </c>
      <c r="H153" s="2" t="s">
        <v>121</v>
      </c>
      <c r="I153" s="2" t="s">
        <v>118</v>
      </c>
      <c r="J153" s="2" t="s">
        <v>119</v>
      </c>
      <c r="K153" s="2" t="s">
        <v>126</v>
      </c>
    </row>
    <row r="154" spans="1:11" x14ac:dyDescent="0.25">
      <c r="B154" s="1">
        <v>2.5</v>
      </c>
      <c r="C154" s="1">
        <v>3.2</v>
      </c>
      <c r="D154" s="1">
        <v>2.3999999999999998E-3</v>
      </c>
      <c r="E154">
        <v>-1.1000000000000001E-3</v>
      </c>
      <c r="F154" s="1">
        <v>2</v>
      </c>
      <c r="G154">
        <f>(0.5+E154/D154)^F154</f>
        <v>1.7361111111111034E-3</v>
      </c>
      <c r="H154" s="1">
        <v>0.1</v>
      </c>
      <c r="I154" s="1">
        <f>1+2*E154/D154</f>
        <v>8.3333333333333148E-2</v>
      </c>
      <c r="J154" s="1">
        <f>(C154-B154)*G154+B154-(B154+C154)*(H154/2)*I154</f>
        <v>2.4774652777777777</v>
      </c>
      <c r="K154" s="1">
        <f>1/J154</f>
        <v>0.40363835124945691</v>
      </c>
    </row>
    <row r="155" spans="1:11" x14ac:dyDescent="0.25">
      <c r="B155" s="1">
        <v>2.5</v>
      </c>
      <c r="C155" s="1">
        <v>3.2</v>
      </c>
      <c r="D155" s="1">
        <v>2.3999999999999998E-3</v>
      </c>
      <c r="E155">
        <f>-0.001+0.0001</f>
        <v>-8.9999999999999998E-4</v>
      </c>
      <c r="F155" s="1">
        <v>2</v>
      </c>
      <c r="G155">
        <f t="shared" ref="G155:G165" si="43">(0.5+E155/D155)^F155</f>
        <v>1.5625E-2</v>
      </c>
      <c r="H155" s="1">
        <v>0.1</v>
      </c>
      <c r="I155" s="1">
        <f t="shared" ref="I155:I165" si="44">1+2*E155/D155</f>
        <v>0.25</v>
      </c>
      <c r="J155" s="1">
        <f t="shared" ref="J155:J165" si="45">(C155-B155)*G155+B155-(B155+C155)*(H155/2)*I155</f>
        <v>2.4396874999999998</v>
      </c>
      <c r="K155" s="1">
        <f t="shared" ref="K155:K165" si="46">1/J155</f>
        <v>0.40988856154732933</v>
      </c>
    </row>
    <row r="156" spans="1:11" x14ac:dyDescent="0.25">
      <c r="B156" s="1">
        <v>2.5</v>
      </c>
      <c r="C156" s="1">
        <v>3.2</v>
      </c>
      <c r="D156" s="1">
        <v>2.3999999999999998E-3</v>
      </c>
      <c r="E156">
        <f>E155+0.0002</f>
        <v>-6.9999999999999999E-4</v>
      </c>
      <c r="F156" s="1">
        <v>2</v>
      </c>
      <c r="G156">
        <f t="shared" si="43"/>
        <v>4.3402777777777769E-2</v>
      </c>
      <c r="H156" s="1">
        <v>0.1</v>
      </c>
      <c r="I156" s="1">
        <f t="shared" si="44"/>
        <v>0.41666666666666663</v>
      </c>
      <c r="J156" s="1">
        <f t="shared" si="45"/>
        <v>2.4116319444444447</v>
      </c>
      <c r="K156" s="1">
        <f t="shared" si="46"/>
        <v>0.41465697214023461</v>
      </c>
    </row>
    <row r="157" spans="1:11" x14ac:dyDescent="0.25">
      <c r="B157" s="1">
        <v>2.5</v>
      </c>
      <c r="C157" s="1">
        <v>3.2</v>
      </c>
      <c r="D157" s="1">
        <v>2.3999999999999998E-3</v>
      </c>
      <c r="E157">
        <f t="shared" ref="E157:E164" si="47">E156+0.0002</f>
        <v>-5.0000000000000001E-4</v>
      </c>
      <c r="F157" s="1">
        <v>2</v>
      </c>
      <c r="G157">
        <f t="shared" si="43"/>
        <v>8.506944444444442E-2</v>
      </c>
      <c r="H157" s="1">
        <v>0.1</v>
      </c>
      <c r="I157" s="1">
        <f t="shared" si="44"/>
        <v>0.58333333333333326</v>
      </c>
      <c r="J157" s="1">
        <f t="shared" si="45"/>
        <v>2.3932986111111108</v>
      </c>
      <c r="K157" s="1">
        <f t="shared" si="46"/>
        <v>0.41783335993152182</v>
      </c>
    </row>
    <row r="158" spans="1:11" x14ac:dyDescent="0.25">
      <c r="B158" s="1">
        <v>2.5</v>
      </c>
      <c r="C158" s="1">
        <v>3.2</v>
      </c>
      <c r="D158" s="1">
        <v>2.3999999999999998E-3</v>
      </c>
      <c r="E158">
        <f t="shared" si="47"/>
        <v>-3.0000000000000003E-4</v>
      </c>
      <c r="F158" s="1">
        <v>2</v>
      </c>
      <c r="G158">
        <f t="shared" si="43"/>
        <v>0.140625</v>
      </c>
      <c r="H158" s="1">
        <v>0.1</v>
      </c>
      <c r="I158" s="1">
        <f t="shared" si="44"/>
        <v>0.75</v>
      </c>
      <c r="J158" s="1">
        <f t="shared" si="45"/>
        <v>2.3846875000000001</v>
      </c>
      <c r="K158" s="1">
        <f t="shared" si="46"/>
        <v>0.41934215699122002</v>
      </c>
    </row>
    <row r="159" spans="1:11" x14ac:dyDescent="0.25">
      <c r="B159" s="1">
        <v>2.5</v>
      </c>
      <c r="C159" s="1">
        <v>3.2</v>
      </c>
      <c r="D159" s="1">
        <v>2.3999999999999998E-3</v>
      </c>
      <c r="E159">
        <f t="shared" si="47"/>
        <v>-1.0000000000000002E-4</v>
      </c>
      <c r="F159" s="1">
        <v>2</v>
      </c>
      <c r="G159">
        <f t="shared" si="43"/>
        <v>0.21006944444444442</v>
      </c>
      <c r="H159" s="1">
        <v>0.1</v>
      </c>
      <c r="I159" s="1">
        <f t="shared" si="44"/>
        <v>0.91666666666666663</v>
      </c>
      <c r="J159" s="1">
        <f t="shared" si="45"/>
        <v>2.3857986111111114</v>
      </c>
      <c r="K159" s="1">
        <f t="shared" si="46"/>
        <v>0.41914686149233743</v>
      </c>
    </row>
    <row r="160" spans="1:11" x14ac:dyDescent="0.25">
      <c r="B160" s="1">
        <v>2.5</v>
      </c>
      <c r="C160" s="1">
        <v>3.2</v>
      </c>
      <c r="D160" s="1">
        <v>2.3999999999999998E-3</v>
      </c>
      <c r="E160">
        <f t="shared" si="47"/>
        <v>9.9999999999999991E-5</v>
      </c>
      <c r="F160" s="1">
        <v>2</v>
      </c>
      <c r="G160">
        <f t="shared" si="43"/>
        <v>0.29340277777777773</v>
      </c>
      <c r="H160" s="1">
        <v>0.1</v>
      </c>
      <c r="I160" s="1">
        <f t="shared" si="44"/>
        <v>1.0833333333333333</v>
      </c>
      <c r="J160" s="1">
        <f t="shared" si="45"/>
        <v>2.3966319444444446</v>
      </c>
      <c r="K160" s="1">
        <f t="shared" si="46"/>
        <v>0.41725222027440123</v>
      </c>
    </row>
    <row r="161" spans="1:11" x14ac:dyDescent="0.25">
      <c r="B161" s="1">
        <v>2.5</v>
      </c>
      <c r="C161" s="1">
        <v>3.2</v>
      </c>
      <c r="D161" s="1">
        <v>2.3999999999999998E-3</v>
      </c>
      <c r="E161">
        <f t="shared" si="47"/>
        <v>3.0000000000000003E-4</v>
      </c>
      <c r="F161" s="1">
        <v>2</v>
      </c>
      <c r="G161">
        <f t="shared" si="43"/>
        <v>0.390625</v>
      </c>
      <c r="H161" s="1">
        <v>0.1</v>
      </c>
      <c r="I161" s="1">
        <f t="shared" si="44"/>
        <v>1.25</v>
      </c>
      <c r="J161" s="1">
        <f t="shared" si="45"/>
        <v>2.4171874999999998</v>
      </c>
      <c r="K161" s="1">
        <f t="shared" si="46"/>
        <v>0.41370394311570785</v>
      </c>
    </row>
    <row r="162" spans="1:11" x14ac:dyDescent="0.25">
      <c r="B162" s="1">
        <v>2.5</v>
      </c>
      <c r="C162" s="1">
        <v>3.2</v>
      </c>
      <c r="D162" s="1">
        <v>2.3999999999999998E-3</v>
      </c>
      <c r="E162">
        <f t="shared" si="47"/>
        <v>5.0000000000000001E-4</v>
      </c>
      <c r="F162" s="1">
        <v>2</v>
      </c>
      <c r="G162">
        <f t="shared" si="43"/>
        <v>0.50173611111111116</v>
      </c>
      <c r="H162" s="1">
        <v>0.1</v>
      </c>
      <c r="I162" s="1">
        <f t="shared" si="44"/>
        <v>1.4166666666666667</v>
      </c>
      <c r="J162" s="1">
        <f t="shared" si="45"/>
        <v>2.4474652777777779</v>
      </c>
      <c r="K162" s="1">
        <f t="shared" si="46"/>
        <v>0.40858598039354771</v>
      </c>
    </row>
    <row r="163" spans="1:11" x14ac:dyDescent="0.25">
      <c r="B163" s="1">
        <v>2.5</v>
      </c>
      <c r="C163" s="1">
        <v>3.2</v>
      </c>
      <c r="D163" s="1">
        <v>2.3999999999999998E-3</v>
      </c>
      <c r="E163">
        <f t="shared" si="47"/>
        <v>6.9999999999999999E-4</v>
      </c>
      <c r="F163" s="1">
        <v>2</v>
      </c>
      <c r="G163">
        <f t="shared" si="43"/>
        <v>0.62673611111111127</v>
      </c>
      <c r="H163" s="1">
        <v>0.1</v>
      </c>
      <c r="I163" s="1">
        <f t="shared" si="44"/>
        <v>1.5833333333333335</v>
      </c>
      <c r="J163" s="1">
        <f t="shared" si="45"/>
        <v>2.4874652777777779</v>
      </c>
      <c r="K163" s="1">
        <f t="shared" si="46"/>
        <v>0.40201566186015997</v>
      </c>
    </row>
    <row r="164" spans="1:11" x14ac:dyDescent="0.25">
      <c r="B164" s="1">
        <v>2.5</v>
      </c>
      <c r="C164" s="1">
        <v>3.2</v>
      </c>
      <c r="D164" s="1">
        <v>2.3999999999999998E-3</v>
      </c>
      <c r="E164">
        <f t="shared" si="47"/>
        <v>8.9999999999999998E-4</v>
      </c>
      <c r="F164" s="1">
        <v>2</v>
      </c>
      <c r="G164">
        <f t="shared" si="43"/>
        <v>0.765625</v>
      </c>
      <c r="H164" s="1">
        <v>0.1</v>
      </c>
      <c r="I164" s="1">
        <f t="shared" si="44"/>
        <v>1.75</v>
      </c>
      <c r="J164" s="1">
        <f t="shared" si="45"/>
        <v>2.5371874999999999</v>
      </c>
      <c r="K164" s="1">
        <f t="shared" si="46"/>
        <v>0.39413720901588867</v>
      </c>
    </row>
    <row r="165" spans="1:11" x14ac:dyDescent="0.25">
      <c r="B165" s="1">
        <v>2.5</v>
      </c>
      <c r="C165" s="1">
        <v>3.2</v>
      </c>
      <c r="D165" s="1">
        <v>2.3999999999999998E-3</v>
      </c>
      <c r="E165" s="13">
        <v>1.1000000000000001E-3</v>
      </c>
      <c r="F165" s="1">
        <v>2</v>
      </c>
      <c r="G165">
        <f t="shared" si="43"/>
        <v>0.91840277777777801</v>
      </c>
      <c r="H165" s="1">
        <v>0.1</v>
      </c>
      <c r="I165" s="1">
        <f t="shared" si="44"/>
        <v>1.916666666666667</v>
      </c>
      <c r="J165" s="1">
        <f t="shared" si="45"/>
        <v>2.5966319444444448</v>
      </c>
      <c r="K165" s="1">
        <f t="shared" si="46"/>
        <v>0.385114263936991</v>
      </c>
    </row>
    <row r="167" spans="1:11" x14ac:dyDescent="0.25">
      <c r="A167" s="10" t="s">
        <v>43</v>
      </c>
      <c r="B167" s="2" t="s">
        <v>188</v>
      </c>
      <c r="C167" s="2" t="s">
        <v>189</v>
      </c>
      <c r="D167" s="2" t="s">
        <v>127</v>
      </c>
      <c r="E167" s="2" t="s">
        <v>128</v>
      </c>
      <c r="F167" s="2" t="s">
        <v>129</v>
      </c>
      <c r="G167" s="2" t="s">
        <v>130</v>
      </c>
      <c r="H167" s="2" t="s">
        <v>131</v>
      </c>
      <c r="I167" s="2" t="s">
        <v>132</v>
      </c>
      <c r="J167" s="2" t="s">
        <v>133</v>
      </c>
    </row>
    <row r="168" spans="1:11" x14ac:dyDescent="0.25">
      <c r="B168" s="1">
        <v>5300</v>
      </c>
      <c r="C168" s="1">
        <v>5800</v>
      </c>
      <c r="D168" s="1">
        <v>2.3999999999999998E-3</v>
      </c>
      <c r="E168">
        <v>-1.1000000000000001E-3</v>
      </c>
      <c r="F168" s="1">
        <v>2</v>
      </c>
      <c r="G168">
        <f>(0.5+E168/D168)^F168</f>
        <v>1.7361111111111034E-3</v>
      </c>
      <c r="H168" s="1">
        <v>0.1</v>
      </c>
      <c r="I168" s="1">
        <f>1+2*E168/D168</f>
        <v>8.3333333333333148E-2</v>
      </c>
      <c r="J168" s="1">
        <f>(C168-B168)*G168+B168-(B168+C168)*(H168/2)*I168</f>
        <v>5254.6180555555557</v>
      </c>
    </row>
    <row r="169" spans="1:11" x14ac:dyDescent="0.25">
      <c r="B169" s="1">
        <v>5300</v>
      </c>
      <c r="C169" s="1">
        <v>5800</v>
      </c>
      <c r="D169" s="1">
        <v>2.3999999999999998E-3</v>
      </c>
      <c r="E169">
        <f>-0.001+0.0001</f>
        <v>-8.9999999999999998E-4</v>
      </c>
      <c r="F169" s="1">
        <v>2</v>
      </c>
      <c r="G169">
        <f t="shared" ref="G169:G179" si="48">(0.5+E169/D169)^F169</f>
        <v>1.5625E-2</v>
      </c>
      <c r="H169" s="1">
        <v>0.1</v>
      </c>
      <c r="I169" s="1">
        <f t="shared" ref="I169:I179" si="49">1+2*E169/D169</f>
        <v>0.25</v>
      </c>
      <c r="J169" s="1">
        <f t="shared" ref="J169:J179" si="50">(C169-B169)*G169+B169-(B169+C169)*(H169/2)*I169</f>
        <v>5169.0625</v>
      </c>
    </row>
    <row r="170" spans="1:11" x14ac:dyDescent="0.25">
      <c r="B170" s="1">
        <v>5300</v>
      </c>
      <c r="C170" s="1">
        <v>5800</v>
      </c>
      <c r="D170" s="1">
        <v>2.3999999999999998E-3</v>
      </c>
      <c r="E170">
        <f>E169+0.0002</f>
        <v>-6.9999999999999999E-4</v>
      </c>
      <c r="F170" s="1">
        <v>2</v>
      </c>
      <c r="G170">
        <f t="shared" si="48"/>
        <v>4.3402777777777769E-2</v>
      </c>
      <c r="H170" s="1">
        <v>0.1</v>
      </c>
      <c r="I170" s="1">
        <f t="shared" si="49"/>
        <v>0.41666666666666663</v>
      </c>
      <c r="J170" s="1">
        <f t="shared" si="50"/>
        <v>5090.4513888888887</v>
      </c>
    </row>
    <row r="171" spans="1:11" x14ac:dyDescent="0.25">
      <c r="B171" s="1">
        <v>5300</v>
      </c>
      <c r="C171" s="1">
        <v>5800</v>
      </c>
      <c r="D171" s="1">
        <v>2.3999999999999998E-3</v>
      </c>
      <c r="E171">
        <f t="shared" ref="E171:E178" si="51">E170+0.0002</f>
        <v>-5.0000000000000001E-4</v>
      </c>
      <c r="F171" s="1">
        <v>2</v>
      </c>
      <c r="G171">
        <f t="shared" si="48"/>
        <v>8.506944444444442E-2</v>
      </c>
      <c r="H171" s="1">
        <v>0.1</v>
      </c>
      <c r="I171" s="1">
        <f t="shared" si="49"/>
        <v>0.58333333333333326</v>
      </c>
      <c r="J171" s="1">
        <f t="shared" si="50"/>
        <v>5018.7847222222226</v>
      </c>
    </row>
    <row r="172" spans="1:11" x14ac:dyDescent="0.25">
      <c r="B172" s="1">
        <v>5300</v>
      </c>
      <c r="C172" s="1">
        <v>5800</v>
      </c>
      <c r="D172" s="1">
        <v>2.3999999999999998E-3</v>
      </c>
      <c r="E172">
        <f t="shared" si="51"/>
        <v>-3.0000000000000003E-4</v>
      </c>
      <c r="F172" s="1">
        <v>2</v>
      </c>
      <c r="G172">
        <f t="shared" si="48"/>
        <v>0.140625</v>
      </c>
      <c r="H172" s="1">
        <v>0.1</v>
      </c>
      <c r="I172" s="1">
        <f t="shared" si="49"/>
        <v>0.75</v>
      </c>
      <c r="J172" s="1">
        <f t="shared" si="50"/>
        <v>4954.0625</v>
      </c>
    </row>
    <row r="173" spans="1:11" x14ac:dyDescent="0.25">
      <c r="B173" s="1">
        <v>5300</v>
      </c>
      <c r="C173" s="1">
        <v>5800</v>
      </c>
      <c r="D173" s="1">
        <v>2.3999999999999998E-3</v>
      </c>
      <c r="E173">
        <f t="shared" si="51"/>
        <v>-1.0000000000000002E-4</v>
      </c>
      <c r="F173" s="1">
        <v>2</v>
      </c>
      <c r="G173">
        <f t="shared" si="48"/>
        <v>0.21006944444444442</v>
      </c>
      <c r="H173" s="1">
        <v>0.1</v>
      </c>
      <c r="I173" s="1">
        <f t="shared" si="49"/>
        <v>0.91666666666666663</v>
      </c>
      <c r="J173" s="1">
        <f t="shared" si="50"/>
        <v>4896.2847222222226</v>
      </c>
    </row>
    <row r="174" spans="1:11" x14ac:dyDescent="0.25">
      <c r="B174" s="1">
        <v>5300</v>
      </c>
      <c r="C174" s="1">
        <v>5800</v>
      </c>
      <c r="D174" s="1">
        <v>2.3999999999999998E-3</v>
      </c>
      <c r="E174">
        <f t="shared" si="51"/>
        <v>9.9999999999999991E-5</v>
      </c>
      <c r="F174" s="1">
        <v>2</v>
      </c>
      <c r="G174">
        <f t="shared" si="48"/>
        <v>0.29340277777777773</v>
      </c>
      <c r="H174" s="1">
        <v>0.1</v>
      </c>
      <c r="I174" s="1">
        <f t="shared" si="49"/>
        <v>1.0833333333333333</v>
      </c>
      <c r="J174" s="1">
        <f t="shared" si="50"/>
        <v>4845.4513888888887</v>
      </c>
    </row>
    <row r="175" spans="1:11" x14ac:dyDescent="0.25">
      <c r="B175" s="1">
        <v>5300</v>
      </c>
      <c r="C175" s="1">
        <v>5800</v>
      </c>
      <c r="D175" s="1">
        <v>2.3999999999999998E-3</v>
      </c>
      <c r="E175">
        <f t="shared" si="51"/>
        <v>3.0000000000000003E-4</v>
      </c>
      <c r="F175" s="1">
        <v>2</v>
      </c>
      <c r="G175">
        <f t="shared" si="48"/>
        <v>0.390625</v>
      </c>
      <c r="H175" s="1">
        <v>0.1</v>
      </c>
      <c r="I175" s="1">
        <f t="shared" si="49"/>
        <v>1.25</v>
      </c>
      <c r="J175" s="1">
        <f t="shared" si="50"/>
        <v>4801.5625</v>
      </c>
    </row>
    <row r="176" spans="1:11" x14ac:dyDescent="0.25">
      <c r="B176" s="1">
        <v>5300</v>
      </c>
      <c r="C176" s="1">
        <v>5800</v>
      </c>
      <c r="D176" s="1">
        <v>2.3999999999999998E-3</v>
      </c>
      <c r="E176">
        <f t="shared" si="51"/>
        <v>5.0000000000000001E-4</v>
      </c>
      <c r="F176" s="1">
        <v>2</v>
      </c>
      <c r="G176">
        <f t="shared" si="48"/>
        <v>0.50173611111111116</v>
      </c>
      <c r="H176" s="1">
        <v>0.1</v>
      </c>
      <c r="I176" s="1">
        <f t="shared" si="49"/>
        <v>1.4166666666666667</v>
      </c>
      <c r="J176" s="1">
        <f t="shared" si="50"/>
        <v>4764.6180555555557</v>
      </c>
    </row>
    <row r="177" spans="1:28" x14ac:dyDescent="0.25">
      <c r="B177" s="1">
        <v>5300</v>
      </c>
      <c r="C177" s="1">
        <v>5800</v>
      </c>
      <c r="D177" s="1">
        <v>2.3999999999999998E-3</v>
      </c>
      <c r="E177">
        <f t="shared" si="51"/>
        <v>6.9999999999999999E-4</v>
      </c>
      <c r="F177" s="1">
        <v>2</v>
      </c>
      <c r="G177">
        <f t="shared" si="48"/>
        <v>0.62673611111111127</v>
      </c>
      <c r="H177" s="1">
        <v>0.1</v>
      </c>
      <c r="I177" s="1">
        <f t="shared" si="49"/>
        <v>1.5833333333333335</v>
      </c>
      <c r="J177" s="1">
        <f t="shared" si="50"/>
        <v>4734.6180555555557</v>
      </c>
    </row>
    <row r="178" spans="1:28" x14ac:dyDescent="0.25">
      <c r="B178" s="1">
        <v>5300</v>
      </c>
      <c r="C178" s="1">
        <v>5800</v>
      </c>
      <c r="D178" s="1">
        <v>2.3999999999999998E-3</v>
      </c>
      <c r="E178">
        <f t="shared" si="51"/>
        <v>8.9999999999999998E-4</v>
      </c>
      <c r="F178" s="1">
        <v>2</v>
      </c>
      <c r="G178">
        <f t="shared" si="48"/>
        <v>0.765625</v>
      </c>
      <c r="H178" s="1">
        <v>0.1</v>
      </c>
      <c r="I178" s="1">
        <f t="shared" si="49"/>
        <v>1.75</v>
      </c>
      <c r="J178" s="1">
        <f t="shared" si="50"/>
        <v>4711.5625</v>
      </c>
    </row>
    <row r="179" spans="1:28" x14ac:dyDescent="0.25">
      <c r="B179" s="1">
        <v>5300</v>
      </c>
      <c r="C179" s="1">
        <v>5800</v>
      </c>
      <c r="D179" s="1">
        <v>2.3999999999999998E-3</v>
      </c>
      <c r="E179" s="13">
        <v>1.1000000000000001E-3</v>
      </c>
      <c r="F179" s="1">
        <v>2</v>
      </c>
      <c r="G179">
        <f t="shared" si="48"/>
        <v>0.91840277777777801</v>
      </c>
      <c r="H179" s="1">
        <v>0.1</v>
      </c>
      <c r="I179" s="1">
        <f t="shared" si="49"/>
        <v>1.916666666666667</v>
      </c>
      <c r="J179" s="1">
        <f t="shared" si="50"/>
        <v>4695.4513888888887</v>
      </c>
    </row>
    <row r="180" spans="1:28" x14ac:dyDescent="0.25">
      <c r="B180" s="1"/>
      <c r="C180" s="1"/>
      <c r="D180" s="1"/>
      <c r="E180" s="13"/>
      <c r="F180" s="1"/>
      <c r="H180" s="1"/>
      <c r="I180" s="1"/>
      <c r="J180" s="1"/>
    </row>
    <row r="181" spans="1:28" x14ac:dyDescent="0.25">
      <c r="B181" s="1"/>
      <c r="C181" s="1"/>
      <c r="D181" s="1"/>
      <c r="E181" s="13"/>
      <c r="F181" s="1"/>
      <c r="H181" s="1"/>
      <c r="I181" s="1"/>
      <c r="J181" s="1"/>
    </row>
    <row r="182" spans="1:28" x14ac:dyDescent="0.25">
      <c r="B182" s="1"/>
      <c r="C182" s="1"/>
      <c r="D182" s="1"/>
      <c r="E182" s="13"/>
      <c r="F182" s="1"/>
      <c r="H182" s="1"/>
      <c r="I182" s="1"/>
      <c r="J182" s="1"/>
    </row>
    <row r="183" spans="1:28" x14ac:dyDescent="0.25">
      <c r="A183" s="15" t="s">
        <v>235</v>
      </c>
      <c r="C183" s="10" t="s">
        <v>27</v>
      </c>
      <c r="D183" s="10" t="s">
        <v>28</v>
      </c>
      <c r="E183" s="10" t="s">
        <v>29</v>
      </c>
      <c r="F183" s="10" t="s">
        <v>30</v>
      </c>
      <c r="G183" s="10" t="s">
        <v>31</v>
      </c>
      <c r="H183" s="10" t="s">
        <v>47</v>
      </c>
      <c r="I183" s="10" t="s">
        <v>32</v>
      </c>
      <c r="J183" s="10" t="s">
        <v>33</v>
      </c>
      <c r="K183" s="10" t="s">
        <v>34</v>
      </c>
      <c r="L183" s="10" t="s">
        <v>35</v>
      </c>
      <c r="M183" s="10" t="s">
        <v>36</v>
      </c>
      <c r="N183" s="10" t="s">
        <v>37</v>
      </c>
      <c r="O183" s="10" t="s">
        <v>38</v>
      </c>
      <c r="P183" s="10" t="s">
        <v>39</v>
      </c>
      <c r="Q183" s="10" t="s">
        <v>40</v>
      </c>
      <c r="R183" s="10" t="s">
        <v>41</v>
      </c>
      <c r="S183" s="10" t="s">
        <v>42</v>
      </c>
      <c r="T183" s="10" t="s">
        <v>48</v>
      </c>
      <c r="U183" s="10" t="s">
        <v>77</v>
      </c>
      <c r="V183" s="10" t="s">
        <v>78</v>
      </c>
      <c r="W183" s="10" t="s">
        <v>79</v>
      </c>
      <c r="X183" s="10" t="s">
        <v>49</v>
      </c>
      <c r="Y183" s="10" t="s">
        <v>43</v>
      </c>
      <c r="Z183" s="10" t="s">
        <v>44</v>
      </c>
      <c r="AA183" s="10" t="s">
        <v>45</v>
      </c>
      <c r="AB183" s="10" t="s">
        <v>46</v>
      </c>
    </row>
    <row r="184" spans="1:28" x14ac:dyDescent="0.25">
      <c r="A184" s="12" t="s">
        <v>234</v>
      </c>
      <c r="B184" t="s">
        <v>183</v>
      </c>
      <c r="C184" s="11">
        <v>1</v>
      </c>
      <c r="D184" s="5">
        <v>114073797416.04388</v>
      </c>
      <c r="E184" s="5">
        <v>114073797416.04388</v>
      </c>
      <c r="F184" s="5">
        <v>0.30146862193618545</v>
      </c>
      <c r="G184" s="5">
        <v>0</v>
      </c>
      <c r="H184" s="5">
        <v>43658333333.333336</v>
      </c>
      <c r="I184" s="5">
        <v>50735000000</v>
      </c>
      <c r="J184" s="5">
        <v>50735000000</v>
      </c>
      <c r="K184" s="5">
        <v>-7.9172624721957409E-11</v>
      </c>
      <c r="L184" s="5">
        <v>-7.9172624721957409E-11</v>
      </c>
      <c r="M184" s="5">
        <v>0</v>
      </c>
      <c r="N184" s="5">
        <v>2.0000000000000001E-4</v>
      </c>
      <c r="O184" s="5">
        <v>-1.153679653679651</v>
      </c>
      <c r="P184" s="5">
        <v>-1.153679653679651</v>
      </c>
      <c r="Q184" s="5">
        <v>1.4611984259259261E-8</v>
      </c>
      <c r="R184" s="5">
        <v>0</v>
      </c>
      <c r="S184" s="5">
        <v>8.6083333333333353E-6</v>
      </c>
      <c r="T184" s="5">
        <v>1.5485833333333333E-5</v>
      </c>
      <c r="U184" s="5">
        <v>1.5485833333333333E-5</v>
      </c>
      <c r="V184" s="5">
        <v>0</v>
      </c>
      <c r="W184" s="5">
        <v>0</v>
      </c>
      <c r="X184" s="5">
        <v>3.1525000000000003</v>
      </c>
      <c r="Y184" s="5">
        <v>5707.5</v>
      </c>
      <c r="Z184" s="5">
        <v>-1.1999999999999999E-3</v>
      </c>
      <c r="AA184" s="5">
        <v>-1E-3</v>
      </c>
      <c r="AB184" s="4">
        <v>2</v>
      </c>
    </row>
    <row r="185" spans="1:28" x14ac:dyDescent="0.25">
      <c r="C185" s="4">
        <v>2</v>
      </c>
      <c r="D185" s="5">
        <v>109558762490.34613</v>
      </c>
      <c r="E185" s="5">
        <v>109558762490.34613</v>
      </c>
      <c r="F185" s="5">
        <v>0.29021901459748378</v>
      </c>
      <c r="G185" s="5">
        <v>0</v>
      </c>
      <c r="H185" s="5">
        <v>41975000000</v>
      </c>
      <c r="I185" s="5">
        <v>49005000000</v>
      </c>
      <c r="J185" s="5">
        <v>49005000000</v>
      </c>
      <c r="K185" s="5">
        <v>-7.7841992373689206E-11</v>
      </c>
      <c r="L185" s="5">
        <v>-7.7841992373689206E-11</v>
      </c>
      <c r="M185" s="5">
        <v>0</v>
      </c>
      <c r="N185" s="5">
        <v>2.0000000000000001E-4</v>
      </c>
      <c r="O185" s="5">
        <v>-3.4610389610389607</v>
      </c>
      <c r="P185" s="5">
        <v>-3.4610389610389607</v>
      </c>
      <c r="Q185" s="5">
        <v>1.4364841666666669E-8</v>
      </c>
      <c r="R185" s="5">
        <v>0</v>
      </c>
      <c r="S185" s="5">
        <v>5.8249999999999993E-6</v>
      </c>
      <c r="T185" s="5">
        <v>1.5057499999999999E-5</v>
      </c>
      <c r="U185" s="5">
        <v>1.5057499999999999E-5</v>
      </c>
      <c r="V185" s="5">
        <v>0</v>
      </c>
      <c r="W185" s="5">
        <v>0</v>
      </c>
      <c r="X185" s="5">
        <v>3.0575000000000001</v>
      </c>
      <c r="Y185" s="5">
        <v>5522.5</v>
      </c>
      <c r="Z185" s="5">
        <f t="shared" ref="Z185:AA185" si="52">Z184+0.0002</f>
        <v>-9.999999999999998E-4</v>
      </c>
      <c r="AA185" s="5">
        <f t="shared" si="52"/>
        <v>-8.0000000000000004E-4</v>
      </c>
      <c r="AB185" s="4">
        <v>2</v>
      </c>
    </row>
    <row r="186" spans="1:28" x14ac:dyDescent="0.25">
      <c r="C186" s="4">
        <v>3</v>
      </c>
      <c r="D186" s="5">
        <v>105043727564.64838</v>
      </c>
      <c r="E186" s="5">
        <v>105043727564.64838</v>
      </c>
      <c r="F186" s="5">
        <v>0.27896940725878205</v>
      </c>
      <c r="G186" s="5">
        <v>0</v>
      </c>
      <c r="H186" s="5">
        <v>40291666666.666664</v>
      </c>
      <c r="I186" s="5">
        <v>47275000000</v>
      </c>
      <c r="J186" s="5">
        <v>47275000000</v>
      </c>
      <c r="K186" s="5">
        <v>-7.6511360025421017E-11</v>
      </c>
      <c r="L186" s="5">
        <v>-7.6511360025421017E-11</v>
      </c>
      <c r="M186" s="5">
        <v>0</v>
      </c>
      <c r="N186" s="5">
        <v>2.0000000000000001E-4</v>
      </c>
      <c r="O186" s="5">
        <v>-5.7683982683982675</v>
      </c>
      <c r="P186" s="5">
        <v>-5.7683982683982675</v>
      </c>
      <c r="Q186" s="5">
        <v>1.4117699074074075E-8</v>
      </c>
      <c r="R186" s="5">
        <v>0</v>
      </c>
      <c r="S186" s="5">
        <v>3.0416666666666666E-6</v>
      </c>
      <c r="T186" s="5">
        <v>1.4629166666666665E-5</v>
      </c>
      <c r="U186" s="5">
        <v>1.4629166666666665E-5</v>
      </c>
      <c r="V186" s="5">
        <v>0</v>
      </c>
      <c r="W186" s="5">
        <v>0</v>
      </c>
      <c r="X186" s="5">
        <v>2.9625000000000004</v>
      </c>
      <c r="Y186" s="5">
        <v>5337.5</v>
      </c>
      <c r="Z186" s="5">
        <f t="shared" ref="Z186:AA186" si="53">Z185+0.0002</f>
        <v>-7.9999999999999982E-4</v>
      </c>
      <c r="AA186" s="5">
        <f t="shared" si="53"/>
        <v>-6.0000000000000006E-4</v>
      </c>
      <c r="AB186" s="4">
        <v>2</v>
      </c>
    </row>
    <row r="187" spans="1:28" x14ac:dyDescent="0.25">
      <c r="C187" s="4">
        <v>4</v>
      </c>
      <c r="D187" s="5">
        <v>100528692638.95064</v>
      </c>
      <c r="E187" s="5">
        <v>100528692638.95064</v>
      </c>
      <c r="F187" s="5">
        <v>0.26771979992008033</v>
      </c>
      <c r="G187" s="5">
        <v>0</v>
      </c>
      <c r="H187" s="5">
        <v>38608333333.333336</v>
      </c>
      <c r="I187" s="5">
        <v>45545000000</v>
      </c>
      <c r="J187" s="5">
        <v>45545000000</v>
      </c>
      <c r="K187" s="5">
        <v>-7.5180727677152828E-11</v>
      </c>
      <c r="L187" s="5">
        <v>-7.5180727677152828E-11</v>
      </c>
      <c r="M187" s="5">
        <v>0</v>
      </c>
      <c r="N187" s="5">
        <v>2.0000000000000001E-4</v>
      </c>
      <c r="O187" s="5">
        <v>-8.0757575757575744</v>
      </c>
      <c r="P187" s="5">
        <v>-8.0757575757575744</v>
      </c>
      <c r="Q187" s="5">
        <v>1.3870556481481482E-8</v>
      </c>
      <c r="R187" s="5">
        <v>0</v>
      </c>
      <c r="S187" s="5">
        <v>2.5833333333333397E-7</v>
      </c>
      <c r="T187" s="5">
        <v>1.4200833333333331E-5</v>
      </c>
      <c r="U187" s="5">
        <v>1.4200833333333331E-5</v>
      </c>
      <c r="V187" s="5">
        <v>0</v>
      </c>
      <c r="W187" s="5">
        <v>0</v>
      </c>
      <c r="X187" s="5">
        <v>2.8675000000000002</v>
      </c>
      <c r="Y187" s="5">
        <v>5152.5</v>
      </c>
      <c r="Z187" s="5">
        <f t="shared" ref="Z187:AA187" si="54">Z186+0.0002</f>
        <v>-5.9999999999999984E-4</v>
      </c>
      <c r="AA187" s="5">
        <f t="shared" si="54"/>
        <v>-4.0000000000000007E-4</v>
      </c>
      <c r="AB187" s="4">
        <v>2</v>
      </c>
    </row>
    <row r="188" spans="1:28" x14ac:dyDescent="0.25">
      <c r="C188" s="4">
        <v>5</v>
      </c>
      <c r="D188" s="5">
        <v>96013657713.252899</v>
      </c>
      <c r="E188" s="5">
        <v>96013657713.252899</v>
      </c>
      <c r="F188" s="5">
        <v>0.25647019258137865</v>
      </c>
      <c r="G188" s="5">
        <v>0</v>
      </c>
      <c r="H188" s="5">
        <v>36925000000</v>
      </c>
      <c r="I188" s="5">
        <v>43815000000</v>
      </c>
      <c r="J188" s="5">
        <v>43815000000</v>
      </c>
      <c r="K188" s="5">
        <v>-7.3850095328884639E-11</v>
      </c>
      <c r="L188" s="5">
        <v>-7.3850095328884639E-11</v>
      </c>
      <c r="M188" s="5">
        <v>0</v>
      </c>
      <c r="N188" s="5">
        <v>2.0000000000000001E-4</v>
      </c>
      <c r="O188" s="5">
        <v>-10.383116883116882</v>
      </c>
      <c r="P188" s="5">
        <v>-10.383116883116882</v>
      </c>
      <c r="Q188" s="5">
        <v>1.362341388888889E-8</v>
      </c>
      <c r="R188" s="5">
        <v>0</v>
      </c>
      <c r="S188" s="5">
        <v>-2.5250000000000004E-6</v>
      </c>
      <c r="T188" s="5">
        <v>1.3772499999999999E-5</v>
      </c>
      <c r="U188" s="5">
        <v>1.3772499999999999E-5</v>
      </c>
      <c r="V188" s="5">
        <v>0</v>
      </c>
      <c r="W188" s="5">
        <v>0</v>
      </c>
      <c r="X188" s="5">
        <v>2.7725</v>
      </c>
      <c r="Y188" s="5">
        <v>4967.5</v>
      </c>
      <c r="Z188" s="5">
        <f t="shared" ref="Z188:AA188" si="55">Z187+0.0002</f>
        <v>-3.9999999999999986E-4</v>
      </c>
      <c r="AA188" s="5">
        <f t="shared" si="55"/>
        <v>-2.0000000000000006E-4</v>
      </c>
      <c r="AB188" s="4">
        <v>2</v>
      </c>
    </row>
    <row r="189" spans="1:28" x14ac:dyDescent="0.25">
      <c r="C189" s="4">
        <v>6</v>
      </c>
      <c r="D189" s="5">
        <v>91498622787.555145</v>
      </c>
      <c r="E189" s="5">
        <v>91498622787.555145</v>
      </c>
      <c r="F189" s="5">
        <v>0.24522058524267693</v>
      </c>
      <c r="G189" s="5">
        <v>0</v>
      </c>
      <c r="H189" s="5">
        <v>35241666666.666672</v>
      </c>
      <c r="I189" s="5">
        <v>42085000000</v>
      </c>
      <c r="J189" s="5">
        <v>42085000000</v>
      </c>
      <c r="K189" s="5">
        <v>-7.2519462980616449E-11</v>
      </c>
      <c r="L189" s="5">
        <v>-7.2519462980616449E-11</v>
      </c>
      <c r="M189" s="5">
        <v>0</v>
      </c>
      <c r="N189" s="5">
        <v>2.0000000000000001E-4</v>
      </c>
      <c r="O189" s="5">
        <v>-12.690476190476188</v>
      </c>
      <c r="P189" s="5">
        <v>-12.690476190476188</v>
      </c>
      <c r="Q189" s="5">
        <v>1.3376271296296298E-8</v>
      </c>
      <c r="R189" s="5">
        <v>0</v>
      </c>
      <c r="S189" s="5">
        <v>-5.3083333333333314E-6</v>
      </c>
      <c r="T189" s="5">
        <v>1.3344166666666665E-5</v>
      </c>
      <c r="U189" s="5">
        <v>1.3344166666666665E-5</v>
      </c>
      <c r="V189" s="5">
        <v>0</v>
      </c>
      <c r="W189" s="5">
        <v>0</v>
      </c>
      <c r="X189" s="5">
        <v>2.6775000000000002</v>
      </c>
      <c r="Y189" s="5">
        <v>4782.5</v>
      </c>
      <c r="Z189" s="5">
        <f t="shared" ref="Z189:AA189" si="56">Z188+0.0002</f>
        <v>-1.9999999999999985E-4</v>
      </c>
      <c r="AA189" s="5">
        <f t="shared" si="56"/>
        <v>0</v>
      </c>
      <c r="AB189" s="4">
        <v>2</v>
      </c>
    </row>
    <row r="190" spans="1:28" x14ac:dyDescent="0.25">
      <c r="C190" s="4">
        <v>7</v>
      </c>
      <c r="D190" s="5">
        <v>86983587861.857407</v>
      </c>
      <c r="E190" s="5">
        <v>86983587861.857407</v>
      </c>
      <c r="F190" s="5">
        <v>0.23397097790397522</v>
      </c>
      <c r="G190" s="5">
        <v>0</v>
      </c>
      <c r="H190" s="5">
        <v>33558333333.333336</v>
      </c>
      <c r="I190" s="5">
        <v>40355000000</v>
      </c>
      <c r="J190" s="5">
        <v>40355000000</v>
      </c>
      <c r="K190" s="5">
        <v>-7.1188830632348247E-11</v>
      </c>
      <c r="L190" s="5">
        <v>-7.1188830632348247E-11</v>
      </c>
      <c r="M190" s="5">
        <v>0</v>
      </c>
      <c r="N190" s="5">
        <v>2.0000000000000001E-4</v>
      </c>
      <c r="O190" s="5">
        <v>-14.997835497835496</v>
      </c>
      <c r="P190" s="5">
        <v>-14.997835497835496</v>
      </c>
      <c r="Q190" s="5">
        <v>1.3129128703703705E-8</v>
      </c>
      <c r="R190" s="5">
        <v>0</v>
      </c>
      <c r="S190" s="5">
        <v>-8.0916666666666657E-6</v>
      </c>
      <c r="T190" s="5">
        <v>1.2915833333333333E-5</v>
      </c>
      <c r="U190" s="5">
        <v>1.2915833333333333E-5</v>
      </c>
      <c r="V190" s="5">
        <v>0</v>
      </c>
      <c r="W190" s="5">
        <v>0</v>
      </c>
      <c r="X190" s="5">
        <v>2.5825</v>
      </c>
      <c r="Y190" s="5">
        <v>4597.5</v>
      </c>
      <c r="Z190" s="5">
        <f t="shared" ref="Z190:AA190" si="57">Z189+0.0002</f>
        <v>0</v>
      </c>
      <c r="AA190" s="5">
        <f t="shared" si="57"/>
        <v>2.0000000000000001E-4</v>
      </c>
      <c r="AB190" s="4">
        <v>2</v>
      </c>
    </row>
    <row r="191" spans="1:28" x14ac:dyDescent="0.25">
      <c r="C191" s="4">
        <v>8</v>
      </c>
      <c r="D191" s="5">
        <v>82468552936.159668</v>
      </c>
      <c r="E191" s="5">
        <v>82468552936.159668</v>
      </c>
      <c r="F191" s="5">
        <v>0.22272137056527352</v>
      </c>
      <c r="G191" s="5">
        <v>0</v>
      </c>
      <c r="H191" s="5">
        <v>31875000000</v>
      </c>
      <c r="I191" s="5">
        <v>38625000000</v>
      </c>
      <c r="J191" s="5">
        <v>38625000000</v>
      </c>
      <c r="K191" s="5">
        <v>-6.9858198284080058E-11</v>
      </c>
      <c r="L191" s="5">
        <v>-6.9858198284080058E-11</v>
      </c>
      <c r="M191" s="5">
        <v>0</v>
      </c>
      <c r="N191" s="5">
        <v>2.0000000000000001E-4</v>
      </c>
      <c r="O191" s="5">
        <v>-17.305194805194802</v>
      </c>
      <c r="P191" s="5">
        <v>-17.305194805194802</v>
      </c>
      <c r="Q191" s="5">
        <v>1.2881986111111113E-8</v>
      </c>
      <c r="R191" s="5">
        <v>0</v>
      </c>
      <c r="S191" s="5">
        <v>-1.0875E-5</v>
      </c>
      <c r="T191" s="5">
        <v>1.2487499999999999E-5</v>
      </c>
      <c r="U191" s="5">
        <v>1.2487499999999999E-5</v>
      </c>
      <c r="V191" s="5">
        <v>0</v>
      </c>
      <c r="W191" s="5">
        <v>0</v>
      </c>
      <c r="X191" s="5">
        <v>2.4874999999999998</v>
      </c>
      <c r="Y191" s="5">
        <v>4412.5</v>
      </c>
      <c r="Z191" s="5">
        <f t="shared" ref="Z191:AA191" si="58">Z190+0.0002</f>
        <v>2.0000000000000001E-4</v>
      </c>
      <c r="AA191" s="5">
        <f t="shared" si="58"/>
        <v>4.0000000000000002E-4</v>
      </c>
      <c r="AB191" s="4">
        <v>2</v>
      </c>
    </row>
    <row r="192" spans="1:28" x14ac:dyDescent="0.25">
      <c r="C192" s="4">
        <v>9</v>
      </c>
      <c r="D192" s="5">
        <v>77953518010.461914</v>
      </c>
      <c r="E192" s="5">
        <v>77953518010.461914</v>
      </c>
      <c r="F192" s="5">
        <v>0.2114717632265718</v>
      </c>
      <c r="G192" s="5">
        <v>0</v>
      </c>
      <c r="H192" s="5">
        <v>30191666666.666664</v>
      </c>
      <c r="I192" s="5">
        <v>36895000000</v>
      </c>
      <c r="J192" s="5">
        <v>36895000000</v>
      </c>
      <c r="K192" s="5">
        <v>-6.8527565935811869E-11</v>
      </c>
      <c r="L192" s="5">
        <v>-6.8527565935811869E-11</v>
      </c>
      <c r="M192" s="5">
        <v>0</v>
      </c>
      <c r="N192" s="5">
        <v>2.0000000000000001E-4</v>
      </c>
      <c r="O192" s="5">
        <v>-19.612554112554111</v>
      </c>
      <c r="P192" s="5">
        <v>-19.612554112554111</v>
      </c>
      <c r="Q192" s="5">
        <v>1.2634843518518519E-8</v>
      </c>
      <c r="R192" s="5">
        <v>0</v>
      </c>
      <c r="S192" s="5">
        <v>-1.3658333333333334E-5</v>
      </c>
      <c r="T192" s="5">
        <v>1.2059166666666665E-5</v>
      </c>
      <c r="U192" s="5">
        <v>1.2059166666666665E-5</v>
      </c>
      <c r="V192" s="5">
        <v>0</v>
      </c>
      <c r="W192" s="5">
        <v>0</v>
      </c>
      <c r="X192" s="5">
        <v>2.3925000000000001</v>
      </c>
      <c r="Y192" s="5">
        <v>4227.5</v>
      </c>
      <c r="Z192" s="5">
        <f t="shared" ref="Z192:AA192" si="59">Z191+0.0002</f>
        <v>4.0000000000000002E-4</v>
      </c>
      <c r="AA192" s="5">
        <f t="shared" si="59"/>
        <v>6.0000000000000006E-4</v>
      </c>
      <c r="AB192" s="4">
        <v>2</v>
      </c>
    </row>
    <row r="193" spans="1:28" x14ac:dyDescent="0.25">
      <c r="C193" s="4">
        <v>10</v>
      </c>
      <c r="D193" s="5">
        <v>73438483084.76416</v>
      </c>
      <c r="E193" s="5">
        <v>73438483084.76416</v>
      </c>
      <c r="F193" s="5">
        <v>0.2002221558878701</v>
      </c>
      <c r="G193" s="5">
        <v>0</v>
      </c>
      <c r="H193" s="5">
        <v>28508333333.333332</v>
      </c>
      <c r="I193" s="5">
        <v>35165000000</v>
      </c>
      <c r="J193" s="5">
        <v>35165000000</v>
      </c>
      <c r="K193" s="5">
        <v>-6.719693358754368E-11</v>
      </c>
      <c r="L193" s="5">
        <v>-6.719693358754368E-11</v>
      </c>
      <c r="M193" s="5">
        <v>0</v>
      </c>
      <c r="N193" s="5">
        <v>2.0000000000000001E-4</v>
      </c>
      <c r="O193" s="5">
        <v>-21.919913419913421</v>
      </c>
      <c r="P193" s="5">
        <v>-21.919913419913421</v>
      </c>
      <c r="Q193" s="5">
        <v>1.2387700925925927E-8</v>
      </c>
      <c r="R193" s="5">
        <v>0</v>
      </c>
      <c r="S193" s="5">
        <v>-1.6441666666666669E-5</v>
      </c>
      <c r="T193" s="5">
        <v>1.1630833333333331E-5</v>
      </c>
      <c r="U193" s="5">
        <v>1.1630833333333331E-5</v>
      </c>
      <c r="V193" s="5">
        <v>0</v>
      </c>
      <c r="W193" s="5">
        <v>0</v>
      </c>
      <c r="X193" s="5">
        <v>2.2974999999999999</v>
      </c>
      <c r="Y193" s="5">
        <v>4042.5</v>
      </c>
      <c r="Z193" s="5">
        <f t="shared" ref="Z193:AA193" si="60">Z192+0.0002</f>
        <v>6.0000000000000006E-4</v>
      </c>
      <c r="AA193" s="5">
        <f t="shared" si="60"/>
        <v>8.0000000000000004E-4</v>
      </c>
      <c r="AB193" s="4">
        <v>2</v>
      </c>
    </row>
    <row r="194" spans="1:28" x14ac:dyDescent="0.25">
      <c r="C194" s="4">
        <v>11</v>
      </c>
      <c r="D194" s="5">
        <v>68923448159.066422</v>
      </c>
      <c r="E194" s="5">
        <v>68923448159.066422</v>
      </c>
      <c r="F194" s="5">
        <v>0.1889725485491684</v>
      </c>
      <c r="G194" s="5">
        <v>0</v>
      </c>
      <c r="H194" s="5">
        <v>26825000000</v>
      </c>
      <c r="I194" s="5">
        <v>33435000000</v>
      </c>
      <c r="J194" s="5">
        <v>33435000000</v>
      </c>
      <c r="K194" s="5">
        <v>-6.586630123927549E-11</v>
      </c>
      <c r="L194" s="5">
        <v>-6.586630123927549E-11</v>
      </c>
      <c r="M194" s="5">
        <v>0</v>
      </c>
      <c r="N194" s="5">
        <v>2.0000000000000001E-4</v>
      </c>
      <c r="O194" s="5">
        <v>-24.227272727272727</v>
      </c>
      <c r="P194" s="5">
        <v>-24.227272727272727</v>
      </c>
      <c r="Q194" s="5">
        <v>1.2140558333333335E-8</v>
      </c>
      <c r="R194" s="5">
        <v>0</v>
      </c>
      <c r="S194" s="5">
        <v>-1.9225E-5</v>
      </c>
      <c r="T194" s="5">
        <v>1.1202499999999998E-5</v>
      </c>
      <c r="U194" s="5">
        <v>1.1202499999999998E-5</v>
      </c>
      <c r="V194" s="5">
        <v>0</v>
      </c>
      <c r="W194" s="5">
        <v>0</v>
      </c>
      <c r="X194" s="5">
        <v>2.2025000000000001</v>
      </c>
      <c r="Y194" s="5">
        <v>3857.5</v>
      </c>
      <c r="Z194" s="5">
        <f t="shared" ref="Z194:AA194" si="61">Z193+0.0002</f>
        <v>8.0000000000000004E-4</v>
      </c>
      <c r="AA194" s="5">
        <f t="shared" si="61"/>
        <v>1E-3</v>
      </c>
      <c r="AB194" s="4">
        <v>2</v>
      </c>
    </row>
    <row r="195" spans="1:28" x14ac:dyDescent="0.25">
      <c r="B195" t="s">
        <v>14</v>
      </c>
      <c r="C195" s="11">
        <v>12</v>
      </c>
      <c r="D195" s="5">
        <v>64408413233.368652</v>
      </c>
      <c r="E195" s="5">
        <v>64408413233.368652</v>
      </c>
      <c r="F195" s="5">
        <v>0.17772294121046667</v>
      </c>
      <c r="G195" s="5">
        <v>0</v>
      </c>
      <c r="H195" s="5">
        <v>25141666666.666664</v>
      </c>
      <c r="I195" s="5">
        <v>31704999999.999996</v>
      </c>
      <c r="J195" s="5">
        <v>31704999999.999996</v>
      </c>
      <c r="K195" s="5">
        <v>-6.4535668891007288E-11</v>
      </c>
      <c r="L195" s="5">
        <v>-6.4535668891007288E-11</v>
      </c>
      <c r="M195" s="5">
        <v>0</v>
      </c>
      <c r="N195" s="5">
        <v>2.0000000000000001E-4</v>
      </c>
      <c r="O195" s="5">
        <v>-26.534632034632036</v>
      </c>
      <c r="P195" s="5">
        <v>-26.534632034632036</v>
      </c>
      <c r="Q195" s="5">
        <v>1.1893415740740741E-8</v>
      </c>
      <c r="R195" s="5">
        <v>0</v>
      </c>
      <c r="S195" s="5">
        <v>-2.2008333333333337E-5</v>
      </c>
      <c r="T195" s="5">
        <v>1.0774166666666664E-5</v>
      </c>
      <c r="U195" s="5">
        <v>1.0774166666666664E-5</v>
      </c>
      <c r="V195" s="5">
        <v>0</v>
      </c>
      <c r="W195" s="5">
        <v>0</v>
      </c>
      <c r="X195" s="5">
        <v>2.1074999999999999</v>
      </c>
      <c r="Y195" s="5">
        <v>3672.4999999999995</v>
      </c>
      <c r="Z195" s="5">
        <f t="shared" ref="Z195:AA195" si="62">Z194+0.0002</f>
        <v>1E-3</v>
      </c>
      <c r="AA195" s="5">
        <f t="shared" si="62"/>
        <v>1.2000000000000001E-3</v>
      </c>
      <c r="AB195" s="4">
        <v>2</v>
      </c>
    </row>
    <row r="196" spans="1:28" x14ac:dyDescent="0.25">
      <c r="B196" s="1"/>
      <c r="C196" s="1"/>
      <c r="D196" s="1"/>
      <c r="E196" s="13"/>
      <c r="F196" s="1"/>
      <c r="H196" s="1"/>
      <c r="I196" s="1"/>
      <c r="J196" s="1"/>
    </row>
    <row r="197" spans="1:28" x14ac:dyDescent="0.25">
      <c r="B197" s="1"/>
      <c r="C197" s="1"/>
      <c r="D197" s="1"/>
      <c r="E197" s="13"/>
      <c r="F197" s="1"/>
      <c r="H197" s="1"/>
      <c r="I197" s="1"/>
      <c r="J197" s="1"/>
    </row>
    <row r="198" spans="1:28" x14ac:dyDescent="0.25">
      <c r="B198" s="1"/>
      <c r="C198" s="1"/>
      <c r="D198" s="1"/>
      <c r="E198" s="13"/>
      <c r="F198" s="1"/>
      <c r="H198" s="1"/>
      <c r="I198" s="1"/>
      <c r="J198" s="1"/>
    </row>
    <row r="199" spans="1:28" x14ac:dyDescent="0.25">
      <c r="B199" s="1"/>
      <c r="C199" s="1"/>
      <c r="D199" s="1"/>
      <c r="E199" s="13"/>
      <c r="F199" s="1"/>
      <c r="H199" s="1"/>
      <c r="I199" s="1"/>
      <c r="J199" s="1"/>
    </row>
    <row r="200" spans="1:28" x14ac:dyDescent="0.25">
      <c r="B200" s="1"/>
      <c r="C200" s="1"/>
      <c r="D200" s="1"/>
      <c r="E200" s="13"/>
      <c r="F200" s="1"/>
      <c r="H200" s="1"/>
      <c r="I200" s="1"/>
      <c r="J200" s="1"/>
    </row>
    <row r="201" spans="1:28" x14ac:dyDescent="0.25">
      <c r="A201" s="15" t="s">
        <v>235</v>
      </c>
      <c r="C201" s="10" t="s">
        <v>27</v>
      </c>
      <c r="D201" s="10" t="s">
        <v>28</v>
      </c>
      <c r="E201" s="10" t="s">
        <v>29</v>
      </c>
      <c r="F201" s="10" t="s">
        <v>30</v>
      </c>
      <c r="G201" s="10" t="s">
        <v>31</v>
      </c>
      <c r="H201" s="10" t="s">
        <v>47</v>
      </c>
      <c r="I201" s="10" t="s">
        <v>32</v>
      </c>
      <c r="J201" s="10" t="s">
        <v>33</v>
      </c>
      <c r="K201" s="10" t="s">
        <v>34</v>
      </c>
      <c r="L201" s="10" t="s">
        <v>35</v>
      </c>
      <c r="M201" s="10" t="s">
        <v>36</v>
      </c>
      <c r="N201" s="10" t="s">
        <v>37</v>
      </c>
      <c r="O201" s="10" t="s">
        <v>38</v>
      </c>
      <c r="P201" s="10" t="s">
        <v>39</v>
      </c>
      <c r="Q201" s="10" t="s">
        <v>40</v>
      </c>
      <c r="R201" s="10" t="s">
        <v>41</v>
      </c>
      <c r="S201" s="10" t="s">
        <v>42</v>
      </c>
      <c r="T201" s="10" t="s">
        <v>48</v>
      </c>
      <c r="U201" s="10" t="s">
        <v>77</v>
      </c>
      <c r="V201" s="10" t="s">
        <v>78</v>
      </c>
      <c r="W201" s="10" t="s">
        <v>79</v>
      </c>
      <c r="X201" s="10" t="s">
        <v>49</v>
      </c>
      <c r="Y201" s="10" t="s">
        <v>43</v>
      </c>
      <c r="Z201" s="10" t="s">
        <v>44</v>
      </c>
      <c r="AA201" s="10" t="s">
        <v>45</v>
      </c>
      <c r="AB201" s="10" t="s">
        <v>46</v>
      </c>
    </row>
    <row r="202" spans="1:28" x14ac:dyDescent="0.25">
      <c r="A202" s="12" t="s">
        <v>236</v>
      </c>
      <c r="B202" t="s">
        <v>183</v>
      </c>
      <c r="C202" s="11">
        <v>1</v>
      </c>
      <c r="D202" s="5">
        <v>152313263200.12308</v>
      </c>
      <c r="E202" s="5">
        <v>152313263200.12308</v>
      </c>
      <c r="F202" s="5">
        <v>0.36225821104721517</v>
      </c>
      <c r="G202" s="5">
        <v>0</v>
      </c>
      <c r="H202" s="5">
        <v>55658333333.333336</v>
      </c>
      <c r="I202" s="5">
        <v>51335000000</v>
      </c>
      <c r="J202" s="5">
        <v>51335000000</v>
      </c>
      <c r="K202" s="5">
        <v>6.6531617413409432E-13</v>
      </c>
      <c r="L202" s="5">
        <v>6.6531617413409432E-13</v>
      </c>
      <c r="M202" s="5">
        <v>0</v>
      </c>
      <c r="N202" s="5">
        <v>2.0000000000000001E-4</v>
      </c>
      <c r="O202" s="5">
        <v>137.28787878787875</v>
      </c>
      <c r="P202" s="5">
        <v>137.28787878787875</v>
      </c>
      <c r="Q202" s="5">
        <v>-3.0571296296296033E-11</v>
      </c>
      <c r="R202" s="5">
        <v>0</v>
      </c>
      <c r="S202" s="5">
        <v>1.5560833333333333E-4</v>
      </c>
      <c r="T202" s="5">
        <v>9.7858333333333338E-6</v>
      </c>
      <c r="U202" s="5">
        <v>9.7858333333333338E-6</v>
      </c>
      <c r="V202" s="5">
        <v>0</v>
      </c>
      <c r="W202" s="5">
        <v>0</v>
      </c>
      <c r="X202" s="5">
        <v>2.4525000000000001</v>
      </c>
      <c r="Y202" s="5">
        <v>5207.5</v>
      </c>
      <c r="Z202" s="5">
        <v>-1.1999999999999999E-3</v>
      </c>
      <c r="AA202" s="5">
        <v>-1E-3</v>
      </c>
      <c r="AB202" s="4">
        <v>2</v>
      </c>
    </row>
    <row r="203" spans="1:28" x14ac:dyDescent="0.25">
      <c r="C203" s="4">
        <v>2</v>
      </c>
      <c r="D203" s="5">
        <v>147798228274.42532</v>
      </c>
      <c r="E203" s="5">
        <v>147798228274.42532</v>
      </c>
      <c r="F203" s="5">
        <v>0.3510086037085135</v>
      </c>
      <c r="G203" s="5">
        <v>0</v>
      </c>
      <c r="H203" s="5">
        <v>53975000000</v>
      </c>
      <c r="I203" s="5">
        <v>49605000000</v>
      </c>
      <c r="J203" s="5">
        <v>49605000000</v>
      </c>
      <c r="K203" s="5">
        <v>1.9959485224022875E-12</v>
      </c>
      <c r="L203" s="5">
        <v>1.9959485224022875E-12</v>
      </c>
      <c r="M203" s="5">
        <v>0</v>
      </c>
      <c r="N203" s="5">
        <v>2.0000000000000001E-4</v>
      </c>
      <c r="O203" s="5">
        <v>134.98051948051946</v>
      </c>
      <c r="P203" s="5">
        <v>134.98051948051946</v>
      </c>
      <c r="Q203" s="5">
        <v>-2.7771388888888894E-10</v>
      </c>
      <c r="R203" s="5">
        <v>0</v>
      </c>
      <c r="S203" s="5">
        <v>1.5282499999999999E-4</v>
      </c>
      <c r="T203" s="5">
        <v>9.3575000000000015E-6</v>
      </c>
      <c r="U203" s="5">
        <v>9.3575000000000015E-6</v>
      </c>
      <c r="V203" s="5">
        <v>0</v>
      </c>
      <c r="W203" s="5">
        <v>0</v>
      </c>
      <c r="X203" s="5">
        <v>2.3574999999999999</v>
      </c>
      <c r="Y203" s="5">
        <v>5022.5</v>
      </c>
      <c r="Z203" s="5">
        <f t="shared" ref="Z203:AA203" si="63">Z202+0.0002</f>
        <v>-9.999999999999998E-4</v>
      </c>
      <c r="AA203" s="5">
        <f t="shared" si="63"/>
        <v>-8.0000000000000004E-4</v>
      </c>
      <c r="AB203" s="4">
        <v>2</v>
      </c>
    </row>
    <row r="204" spans="1:28" x14ac:dyDescent="0.25">
      <c r="C204" s="4">
        <v>3</v>
      </c>
      <c r="D204" s="5">
        <v>143283193348.7276</v>
      </c>
      <c r="E204" s="5">
        <v>143283193348.7276</v>
      </c>
      <c r="F204" s="5">
        <v>0.33975899636981177</v>
      </c>
      <c r="G204" s="5">
        <v>0</v>
      </c>
      <c r="H204" s="5">
        <v>52291666666.666664</v>
      </c>
      <c r="I204" s="5">
        <v>47875000000</v>
      </c>
      <c r="J204" s="5">
        <v>47875000000</v>
      </c>
      <c r="K204" s="5">
        <v>3.3265808706704788E-12</v>
      </c>
      <c r="L204" s="5">
        <v>3.3265808706704788E-12</v>
      </c>
      <c r="M204" s="5">
        <v>0</v>
      </c>
      <c r="N204" s="5">
        <v>2.0000000000000001E-4</v>
      </c>
      <c r="O204" s="5">
        <v>132.67316017316014</v>
      </c>
      <c r="P204" s="5">
        <v>132.67316017316014</v>
      </c>
      <c r="Q204" s="5">
        <v>-5.2485648148148153E-10</v>
      </c>
      <c r="R204" s="5">
        <v>0</v>
      </c>
      <c r="S204" s="5">
        <v>1.5004166666666665E-4</v>
      </c>
      <c r="T204" s="5">
        <v>8.9291666666666674E-6</v>
      </c>
      <c r="U204" s="5">
        <v>8.9291666666666674E-6</v>
      </c>
      <c r="V204" s="5">
        <v>0</v>
      </c>
      <c r="W204" s="5">
        <v>0</v>
      </c>
      <c r="X204" s="5">
        <v>2.2625000000000002</v>
      </c>
      <c r="Y204" s="5">
        <v>4837.5</v>
      </c>
      <c r="Z204" s="5">
        <f t="shared" ref="Z204:AA204" si="64">Z203+0.0002</f>
        <v>-7.9999999999999982E-4</v>
      </c>
      <c r="AA204" s="5">
        <f t="shared" si="64"/>
        <v>-6.0000000000000006E-4</v>
      </c>
      <c r="AB204" s="4">
        <v>2</v>
      </c>
    </row>
    <row r="205" spans="1:28" x14ac:dyDescent="0.25">
      <c r="C205" s="4">
        <v>4</v>
      </c>
      <c r="D205" s="5">
        <v>138768158423.02985</v>
      </c>
      <c r="E205" s="5">
        <v>138768158423.02985</v>
      </c>
      <c r="F205" s="5">
        <v>0.32850938903111004</v>
      </c>
      <c r="G205" s="5">
        <v>0</v>
      </c>
      <c r="H205" s="5">
        <v>50608333333.333336</v>
      </c>
      <c r="I205" s="5">
        <v>46145000000</v>
      </c>
      <c r="J205" s="5">
        <v>46145000000</v>
      </c>
      <c r="K205" s="5">
        <v>4.6572132189386704E-12</v>
      </c>
      <c r="L205" s="5">
        <v>4.6572132189386704E-12</v>
      </c>
      <c r="M205" s="5">
        <v>0</v>
      </c>
      <c r="N205" s="5">
        <v>2.0000000000000001E-4</v>
      </c>
      <c r="O205" s="5">
        <v>130.36580086580085</v>
      </c>
      <c r="P205" s="5">
        <v>130.36580086580085</v>
      </c>
      <c r="Q205" s="5">
        <v>-7.7199907407407412E-10</v>
      </c>
      <c r="R205" s="5">
        <v>0</v>
      </c>
      <c r="S205" s="5">
        <v>1.4725833333333334E-4</v>
      </c>
      <c r="T205" s="5">
        <v>8.5008333333333334E-6</v>
      </c>
      <c r="U205" s="5">
        <v>8.5008333333333334E-6</v>
      </c>
      <c r="V205" s="5">
        <v>0</v>
      </c>
      <c r="W205" s="5">
        <v>0</v>
      </c>
      <c r="X205" s="5">
        <v>2.1675</v>
      </c>
      <c r="Y205" s="5">
        <v>4652.5</v>
      </c>
      <c r="Z205" s="5">
        <f t="shared" ref="Z205:AA205" si="65">Z204+0.0002</f>
        <v>-5.9999999999999984E-4</v>
      </c>
      <c r="AA205" s="5">
        <f t="shared" si="65"/>
        <v>-4.0000000000000007E-4</v>
      </c>
      <c r="AB205" s="4">
        <v>2</v>
      </c>
    </row>
    <row r="206" spans="1:28" x14ac:dyDescent="0.25">
      <c r="C206" s="4">
        <v>5</v>
      </c>
      <c r="D206" s="5">
        <v>134253123497.33209</v>
      </c>
      <c r="E206" s="5">
        <v>134253123497.33209</v>
      </c>
      <c r="F206" s="5">
        <v>0.31725978169240837</v>
      </c>
      <c r="G206" s="5">
        <v>0</v>
      </c>
      <c r="H206" s="5">
        <v>48925000000</v>
      </c>
      <c r="I206" s="5">
        <v>44415000000</v>
      </c>
      <c r="J206" s="5">
        <v>44415000000</v>
      </c>
      <c r="K206" s="5">
        <v>5.9878455672068629E-12</v>
      </c>
      <c r="L206" s="5">
        <v>5.9878455672068629E-12</v>
      </c>
      <c r="M206" s="5">
        <v>0</v>
      </c>
      <c r="N206" s="5">
        <v>2.0000000000000001E-4</v>
      </c>
      <c r="O206" s="5">
        <v>128.05844155844153</v>
      </c>
      <c r="P206" s="5">
        <v>128.05844155844153</v>
      </c>
      <c r="Q206" s="5">
        <v>-1.0191416666666669E-9</v>
      </c>
      <c r="R206" s="5">
        <v>0</v>
      </c>
      <c r="S206" s="5">
        <v>1.44475E-4</v>
      </c>
      <c r="T206" s="5">
        <v>8.0725000000000011E-6</v>
      </c>
      <c r="U206" s="5">
        <v>8.0725000000000011E-6</v>
      </c>
      <c r="V206" s="5">
        <v>0</v>
      </c>
      <c r="W206" s="5">
        <v>0</v>
      </c>
      <c r="X206" s="5">
        <v>2.0724999999999998</v>
      </c>
      <c r="Y206" s="5">
        <v>4467.5</v>
      </c>
      <c r="Z206" s="5">
        <f t="shared" ref="Z206:AA206" si="66">Z205+0.0002</f>
        <v>-3.9999999999999986E-4</v>
      </c>
      <c r="AA206" s="5">
        <f t="shared" si="66"/>
        <v>-2.0000000000000006E-4</v>
      </c>
      <c r="AB206" s="4">
        <v>2</v>
      </c>
    </row>
    <row r="207" spans="1:28" x14ac:dyDescent="0.25">
      <c r="C207" s="4">
        <v>6</v>
      </c>
      <c r="D207" s="5">
        <v>129738088571.63435</v>
      </c>
      <c r="E207" s="5">
        <v>129738088571.63435</v>
      </c>
      <c r="F207" s="5">
        <v>0.30601017435370664</v>
      </c>
      <c r="G207" s="5">
        <v>0</v>
      </c>
      <c r="H207" s="5">
        <v>47241666666.666672</v>
      </c>
      <c r="I207" s="5">
        <v>42685000000</v>
      </c>
      <c r="J207" s="5">
        <v>42685000000</v>
      </c>
      <c r="K207" s="5">
        <v>7.3184779154750538E-12</v>
      </c>
      <c r="L207" s="5">
        <v>7.3184779154750538E-12</v>
      </c>
      <c r="M207" s="5">
        <v>0</v>
      </c>
      <c r="N207" s="5">
        <v>2.0000000000000001E-4</v>
      </c>
      <c r="O207" s="5">
        <v>125.75108225108222</v>
      </c>
      <c r="P207" s="5">
        <v>125.75108225108222</v>
      </c>
      <c r="Q207" s="5">
        <v>-1.2662842592592594E-9</v>
      </c>
      <c r="R207" s="5">
        <v>0</v>
      </c>
      <c r="S207" s="5">
        <v>1.4169166666666666E-4</v>
      </c>
      <c r="T207" s="5">
        <v>7.644166666666667E-6</v>
      </c>
      <c r="U207" s="5">
        <v>7.644166666666667E-6</v>
      </c>
      <c r="V207" s="5">
        <v>0</v>
      </c>
      <c r="W207" s="5">
        <v>0</v>
      </c>
      <c r="X207" s="5">
        <v>1.9775</v>
      </c>
      <c r="Y207" s="5">
        <v>4282.5</v>
      </c>
      <c r="Z207" s="5">
        <f t="shared" ref="Z207:AA207" si="67">Z206+0.0002</f>
        <v>-1.9999999999999985E-4</v>
      </c>
      <c r="AA207" s="5">
        <f t="shared" si="67"/>
        <v>0</v>
      </c>
      <c r="AB207" s="4">
        <v>2</v>
      </c>
    </row>
    <row r="208" spans="1:28" x14ac:dyDescent="0.25">
      <c r="C208" s="4">
        <v>7</v>
      </c>
      <c r="D208" s="5">
        <v>125223053645.93661</v>
      </c>
      <c r="E208" s="5">
        <v>125223053645.93661</v>
      </c>
      <c r="F208" s="5">
        <v>0.29476056701500497</v>
      </c>
      <c r="G208" s="5">
        <v>0</v>
      </c>
      <c r="H208" s="5">
        <v>45558333333.333336</v>
      </c>
      <c r="I208" s="5">
        <v>40955000000</v>
      </c>
      <c r="J208" s="5">
        <v>40955000000</v>
      </c>
      <c r="K208" s="5">
        <v>8.6491102637432446E-12</v>
      </c>
      <c r="L208" s="5">
        <v>8.6491102637432446E-12</v>
      </c>
      <c r="M208" s="5">
        <v>0</v>
      </c>
      <c r="N208" s="5">
        <v>2.0000000000000001E-4</v>
      </c>
      <c r="O208" s="5">
        <v>123.44372294372292</v>
      </c>
      <c r="P208" s="5">
        <v>123.44372294372292</v>
      </c>
      <c r="Q208" s="5">
        <v>-1.5134268518518519E-9</v>
      </c>
      <c r="R208" s="5">
        <v>0</v>
      </c>
      <c r="S208" s="5">
        <v>1.3890833333333333E-4</v>
      </c>
      <c r="T208" s="5">
        <v>7.2158333333333338E-6</v>
      </c>
      <c r="U208" s="5">
        <v>7.2158333333333338E-6</v>
      </c>
      <c r="V208" s="5">
        <v>0</v>
      </c>
      <c r="W208" s="5">
        <v>0</v>
      </c>
      <c r="X208" s="5">
        <v>1.8824999999999998</v>
      </c>
      <c r="Y208" s="5">
        <v>4097.5</v>
      </c>
      <c r="Z208" s="5">
        <f t="shared" ref="Z208:AA208" si="68">Z207+0.0002</f>
        <v>0</v>
      </c>
      <c r="AA208" s="5">
        <f t="shared" si="68"/>
        <v>2.0000000000000001E-4</v>
      </c>
      <c r="AB208" s="4">
        <v>2</v>
      </c>
    </row>
    <row r="209" spans="1:28" x14ac:dyDescent="0.25">
      <c r="C209" s="4">
        <v>8</v>
      </c>
      <c r="D209" s="5">
        <v>120708018720.23886</v>
      </c>
      <c r="E209" s="5">
        <v>120708018720.23886</v>
      </c>
      <c r="F209" s="5">
        <v>0.28351095967630324</v>
      </c>
      <c r="G209" s="5">
        <v>0</v>
      </c>
      <c r="H209" s="5">
        <v>43875000000</v>
      </c>
      <c r="I209" s="5">
        <v>39225000000</v>
      </c>
      <c r="J209" s="5">
        <v>39225000000</v>
      </c>
      <c r="K209" s="5">
        <v>9.9797426120114371E-12</v>
      </c>
      <c r="L209" s="5">
        <v>9.9797426120114371E-12</v>
      </c>
      <c r="M209" s="5">
        <v>0</v>
      </c>
      <c r="N209" s="5">
        <v>2.0000000000000001E-4</v>
      </c>
      <c r="O209" s="5">
        <v>121.13636363636361</v>
      </c>
      <c r="P209" s="5">
        <v>121.13636363636361</v>
      </c>
      <c r="Q209" s="5">
        <v>-1.7605694444444446E-9</v>
      </c>
      <c r="R209" s="5">
        <v>0</v>
      </c>
      <c r="S209" s="5">
        <v>1.3612499999999999E-4</v>
      </c>
      <c r="T209" s="5">
        <v>6.7875000000000007E-6</v>
      </c>
      <c r="U209" s="5">
        <v>6.7875000000000007E-6</v>
      </c>
      <c r="V209" s="5">
        <v>0</v>
      </c>
      <c r="W209" s="5">
        <v>0</v>
      </c>
      <c r="X209" s="5">
        <v>1.7874999999999999</v>
      </c>
      <c r="Y209" s="5">
        <v>3912.5</v>
      </c>
      <c r="Z209" s="5">
        <f t="shared" ref="Z209:AA209" si="69">Z208+0.0002</f>
        <v>2.0000000000000001E-4</v>
      </c>
      <c r="AA209" s="5">
        <f t="shared" si="69"/>
        <v>4.0000000000000002E-4</v>
      </c>
      <c r="AB209" s="4">
        <v>2</v>
      </c>
    </row>
    <row r="210" spans="1:28" x14ac:dyDescent="0.25">
      <c r="C210" s="4">
        <v>9</v>
      </c>
      <c r="D210" s="5">
        <v>116192983794.54112</v>
      </c>
      <c r="E210" s="5">
        <v>116192983794.54112</v>
      </c>
      <c r="F210" s="5">
        <v>0.27226135233760151</v>
      </c>
      <c r="G210" s="5">
        <v>0</v>
      </c>
      <c r="H210" s="5">
        <v>42191666666.666664</v>
      </c>
      <c r="I210" s="5">
        <v>37495000000</v>
      </c>
      <c r="J210" s="5">
        <v>37495000000</v>
      </c>
      <c r="K210" s="5">
        <v>1.131037496027963E-11</v>
      </c>
      <c r="L210" s="5">
        <v>1.131037496027963E-11</v>
      </c>
      <c r="M210" s="5">
        <v>0</v>
      </c>
      <c r="N210" s="5">
        <v>2.0000000000000001E-4</v>
      </c>
      <c r="O210" s="5">
        <v>118.82900432900431</v>
      </c>
      <c r="P210" s="5">
        <v>118.82900432900431</v>
      </c>
      <c r="Q210" s="5">
        <v>-2.0077120370370373E-9</v>
      </c>
      <c r="R210" s="5">
        <v>0</v>
      </c>
      <c r="S210" s="5">
        <v>1.3334166666666665E-4</v>
      </c>
      <c r="T210" s="5">
        <v>6.3591666666666666E-6</v>
      </c>
      <c r="U210" s="5">
        <v>6.3591666666666666E-6</v>
      </c>
      <c r="V210" s="5">
        <v>0</v>
      </c>
      <c r="W210" s="5">
        <v>0</v>
      </c>
      <c r="X210" s="5">
        <v>1.6924999999999999</v>
      </c>
      <c r="Y210" s="5">
        <v>3727.5</v>
      </c>
      <c r="Z210" s="5">
        <f t="shared" ref="Z210:AA210" si="70">Z209+0.0002</f>
        <v>4.0000000000000002E-4</v>
      </c>
      <c r="AA210" s="5">
        <f t="shared" si="70"/>
        <v>6.0000000000000006E-4</v>
      </c>
      <c r="AB210" s="4">
        <v>2</v>
      </c>
    </row>
    <row r="211" spans="1:28" x14ac:dyDescent="0.25">
      <c r="C211" s="4">
        <v>10</v>
      </c>
      <c r="D211" s="5">
        <v>111677948868.84338</v>
      </c>
      <c r="E211" s="5">
        <v>111677948868.84338</v>
      </c>
      <c r="F211" s="5">
        <v>0.26101174499889979</v>
      </c>
      <c r="G211" s="5">
        <v>0</v>
      </c>
      <c r="H211" s="5">
        <v>40508333333.333328</v>
      </c>
      <c r="I211" s="5">
        <v>35765000000</v>
      </c>
      <c r="J211" s="5">
        <v>35765000000</v>
      </c>
      <c r="K211" s="5">
        <v>1.2641007308547822E-11</v>
      </c>
      <c r="L211" s="5">
        <v>1.2641007308547822E-11</v>
      </c>
      <c r="M211" s="5">
        <v>0</v>
      </c>
      <c r="N211" s="5">
        <v>2.0000000000000001E-4</v>
      </c>
      <c r="O211" s="5">
        <v>116.52164502164499</v>
      </c>
      <c r="P211" s="5">
        <v>116.52164502164499</v>
      </c>
      <c r="Q211" s="5">
        <v>-2.25485462962963E-9</v>
      </c>
      <c r="R211" s="5">
        <v>0</v>
      </c>
      <c r="S211" s="5">
        <v>1.3055833333333334E-4</v>
      </c>
      <c r="T211" s="5">
        <v>5.9308333333333334E-6</v>
      </c>
      <c r="U211" s="5">
        <v>5.9308333333333334E-6</v>
      </c>
      <c r="V211" s="5">
        <v>0</v>
      </c>
      <c r="W211" s="5">
        <v>0</v>
      </c>
      <c r="X211" s="5">
        <v>1.5974999999999997</v>
      </c>
      <c r="Y211" s="5">
        <v>3542.5</v>
      </c>
      <c r="Z211" s="5">
        <f t="shared" ref="Z211:AA211" si="71">Z210+0.0002</f>
        <v>6.0000000000000006E-4</v>
      </c>
      <c r="AA211" s="5">
        <f t="shared" si="71"/>
        <v>8.0000000000000004E-4</v>
      </c>
      <c r="AB211" s="4">
        <v>2</v>
      </c>
    </row>
    <row r="212" spans="1:28" x14ac:dyDescent="0.25">
      <c r="C212" s="4">
        <v>11</v>
      </c>
      <c r="D212" s="5">
        <v>107162913943.14563</v>
      </c>
      <c r="E212" s="5">
        <v>107162913943.14563</v>
      </c>
      <c r="F212" s="5">
        <v>0.24976213766019811</v>
      </c>
      <c r="G212" s="5">
        <v>0</v>
      </c>
      <c r="H212" s="5">
        <v>38825000000</v>
      </c>
      <c r="I212" s="5">
        <v>34035000000</v>
      </c>
      <c r="J212" s="5">
        <v>34035000000</v>
      </c>
      <c r="K212" s="5">
        <v>1.3971639656816013E-11</v>
      </c>
      <c r="L212" s="5">
        <v>1.3971639656816013E-11</v>
      </c>
      <c r="M212" s="5">
        <v>0</v>
      </c>
      <c r="N212" s="5">
        <v>2.0000000000000001E-4</v>
      </c>
      <c r="O212" s="5">
        <v>114.21428571428569</v>
      </c>
      <c r="P212" s="5">
        <v>114.21428571428569</v>
      </c>
      <c r="Q212" s="5">
        <v>-2.5019972222222226E-9</v>
      </c>
      <c r="R212" s="5">
        <v>0</v>
      </c>
      <c r="S212" s="5">
        <v>1.27775E-4</v>
      </c>
      <c r="T212" s="5">
        <v>5.5025000000000003E-6</v>
      </c>
      <c r="U212" s="5">
        <v>5.5025000000000003E-6</v>
      </c>
      <c r="V212" s="5">
        <v>0</v>
      </c>
      <c r="W212" s="5">
        <v>0</v>
      </c>
      <c r="X212" s="5">
        <v>1.5024999999999999</v>
      </c>
      <c r="Y212" s="5">
        <v>3357.5</v>
      </c>
      <c r="Z212" s="5">
        <f t="shared" ref="Z212:AA212" si="72">Z211+0.0002</f>
        <v>8.0000000000000004E-4</v>
      </c>
      <c r="AA212" s="5">
        <f t="shared" si="72"/>
        <v>1E-3</v>
      </c>
      <c r="AB212" s="4">
        <v>2</v>
      </c>
    </row>
    <row r="213" spans="1:28" x14ac:dyDescent="0.25">
      <c r="B213" t="s">
        <v>14</v>
      </c>
      <c r="C213" s="11">
        <v>12</v>
      </c>
      <c r="D213" s="5">
        <v>102647879017.44789</v>
      </c>
      <c r="E213" s="5">
        <v>102647879017.44789</v>
      </c>
      <c r="F213" s="5">
        <v>0.23851253032149639</v>
      </c>
      <c r="G213" s="5">
        <v>0</v>
      </c>
      <c r="H213" s="5">
        <v>37141666666.666664</v>
      </c>
      <c r="I213" s="5">
        <v>32304999999.999996</v>
      </c>
      <c r="J213" s="5">
        <v>32304999999.999996</v>
      </c>
      <c r="K213" s="5">
        <v>1.5302272005084205E-11</v>
      </c>
      <c r="L213" s="5">
        <v>1.5302272005084205E-11</v>
      </c>
      <c r="M213" s="5">
        <v>0</v>
      </c>
      <c r="N213" s="5">
        <v>2.0000000000000001E-4</v>
      </c>
      <c r="O213" s="5">
        <v>111.90692640692637</v>
      </c>
      <c r="P213" s="5">
        <v>111.90692640692637</v>
      </c>
      <c r="Q213" s="5">
        <v>-2.7491398148148158E-9</v>
      </c>
      <c r="R213" s="5">
        <v>0</v>
      </c>
      <c r="S213" s="5">
        <v>1.2499166666666666E-4</v>
      </c>
      <c r="T213" s="5">
        <v>5.0741666666666662E-6</v>
      </c>
      <c r="U213" s="5">
        <v>5.0741666666666662E-6</v>
      </c>
      <c r="V213" s="5">
        <v>0</v>
      </c>
      <c r="W213" s="5">
        <v>0</v>
      </c>
      <c r="X213" s="5">
        <v>1.4074999999999998</v>
      </c>
      <c r="Y213" s="5">
        <v>3172.4999999999995</v>
      </c>
      <c r="Z213" s="5">
        <f t="shared" ref="Z213:AA213" si="73">Z212+0.0002</f>
        <v>1E-3</v>
      </c>
      <c r="AA213" s="5">
        <f t="shared" si="73"/>
        <v>1.2000000000000001E-3</v>
      </c>
      <c r="AB213" s="4">
        <v>2</v>
      </c>
    </row>
    <row r="214" spans="1:28" x14ac:dyDescent="0.25">
      <c r="A214" t="s">
        <v>254</v>
      </c>
      <c r="G214" t="s">
        <v>254</v>
      </c>
      <c r="J214" s="1"/>
      <c r="N214" t="s">
        <v>254</v>
      </c>
      <c r="U214" t="s">
        <v>254</v>
      </c>
      <c r="AB214" s="4"/>
    </row>
    <row r="216" spans="1:28" x14ac:dyDescent="0.25">
      <c r="A216" s="15" t="s">
        <v>134</v>
      </c>
      <c r="C216" s="10" t="s">
        <v>27</v>
      </c>
      <c r="D216" s="10" t="s">
        <v>28</v>
      </c>
      <c r="E216" s="10" t="s">
        <v>29</v>
      </c>
      <c r="F216" s="10" t="s">
        <v>30</v>
      </c>
      <c r="G216" s="10" t="s">
        <v>31</v>
      </c>
      <c r="H216" s="10" t="s">
        <v>101</v>
      </c>
      <c r="I216" s="10" t="s">
        <v>32</v>
      </c>
      <c r="J216" s="10" t="s">
        <v>33</v>
      </c>
      <c r="K216" s="10" t="s">
        <v>34</v>
      </c>
      <c r="L216" s="10" t="s">
        <v>35</v>
      </c>
      <c r="M216" s="10" t="s">
        <v>36</v>
      </c>
      <c r="N216" s="10" t="s">
        <v>37</v>
      </c>
      <c r="O216" s="10" t="s">
        <v>38</v>
      </c>
      <c r="P216" s="10" t="s">
        <v>39</v>
      </c>
      <c r="Q216" s="10" t="s">
        <v>40</v>
      </c>
      <c r="R216" s="10" t="s">
        <v>41</v>
      </c>
      <c r="S216" s="10" t="s">
        <v>42</v>
      </c>
      <c r="T216" s="10" t="s">
        <v>102</v>
      </c>
      <c r="U216" s="10" t="s">
        <v>103</v>
      </c>
      <c r="V216" s="10" t="s">
        <v>104</v>
      </c>
      <c r="W216" s="10" t="s">
        <v>105</v>
      </c>
      <c r="X216" s="10" t="s">
        <v>106</v>
      </c>
      <c r="Y216" s="10" t="s">
        <v>43</v>
      </c>
      <c r="Z216" s="10" t="s">
        <v>44</v>
      </c>
      <c r="AA216" s="10" t="s">
        <v>45</v>
      </c>
      <c r="AB216" s="10" t="s">
        <v>46</v>
      </c>
    </row>
    <row r="217" spans="1:28" x14ac:dyDescent="0.25">
      <c r="A217" s="12" t="s">
        <v>135</v>
      </c>
      <c r="B217" t="s">
        <v>183</v>
      </c>
      <c r="C217" s="11">
        <v>1</v>
      </c>
      <c r="D217" s="5">
        <v>134318703749.23846</v>
      </c>
      <c r="E217" s="5">
        <v>134318703749.23846</v>
      </c>
      <c r="F217" s="5">
        <v>0.33568812367958406</v>
      </c>
      <c r="G217" s="5">
        <v>0</v>
      </c>
      <c r="H217" s="5">
        <v>50144656953.70713</v>
      </c>
      <c r="I217" s="5">
        <v>51882232847.685356</v>
      </c>
      <c r="J217" s="5">
        <v>51882232847.685356</v>
      </c>
      <c r="K217" s="5">
        <v>-4.2283125208693025E-11</v>
      </c>
      <c r="L217" s="5">
        <v>-4.2283125208693025E-11</v>
      </c>
      <c r="M217" s="5">
        <v>0</v>
      </c>
      <c r="N217" s="5">
        <v>2.0000000000000001E-4</v>
      </c>
      <c r="O217" s="5">
        <v>65.121258794932885</v>
      </c>
      <c r="P217" s="5">
        <v>65.121258794932885</v>
      </c>
      <c r="Q217" s="5">
        <v>7.8478719691630864E-9</v>
      </c>
      <c r="R217" s="5">
        <v>0</v>
      </c>
      <c r="S217" s="5">
        <v>7.914704768291234E-5</v>
      </c>
      <c r="T217" s="5">
        <v>1.3018787946989112E-5</v>
      </c>
      <c r="U217" s="5">
        <v>1.3018787946989112E-5</v>
      </c>
      <c r="V217" s="5">
        <v>0</v>
      </c>
      <c r="W217" s="5">
        <v>0</v>
      </c>
      <c r="X217" s="5">
        <v>2.8707283443670844</v>
      </c>
      <c r="Y217" s="5">
        <v>5564.8059602622034</v>
      </c>
      <c r="Z217" s="5">
        <v>-1.1999999999999999E-3</v>
      </c>
      <c r="AA217" s="5">
        <v>-1E-3</v>
      </c>
      <c r="AB217" s="4">
        <v>2</v>
      </c>
    </row>
    <row r="218" spans="1:28" x14ac:dyDescent="0.25">
      <c r="C218" s="4">
        <v>2</v>
      </c>
      <c r="D218" s="5">
        <v>129342141860.06099</v>
      </c>
      <c r="E218" s="5">
        <v>129342141860.06099</v>
      </c>
      <c r="F218" s="5">
        <v>0.3277768428542473</v>
      </c>
      <c r="G218" s="5">
        <v>0</v>
      </c>
      <c r="H218" s="5">
        <v>48582952535.362633</v>
      </c>
      <c r="I218" s="5">
        <v>51804147626.768135</v>
      </c>
      <c r="J218" s="5">
        <v>51804147626.768135</v>
      </c>
      <c r="K218" s="5">
        <v>-5.2673397296105747E-11</v>
      </c>
      <c r="L218" s="5">
        <v>-5.2673397296105747E-11</v>
      </c>
      <c r="M218" s="5">
        <v>0</v>
      </c>
      <c r="N218" s="5">
        <v>2.0000000000000001E-4</v>
      </c>
      <c r="O218" s="5">
        <v>47.104192669876269</v>
      </c>
      <c r="P218" s="5">
        <v>47.104192669876269</v>
      </c>
      <c r="Q218" s="5">
        <v>9.7534839447435742E-9</v>
      </c>
      <c r="R218" s="5">
        <v>0</v>
      </c>
      <c r="S218" s="5">
        <v>6.0016168558192268E-5</v>
      </c>
      <c r="T218" s="5">
        <v>1.3760597545702748E-5</v>
      </c>
      <c r="U218" s="5">
        <v>1.3760597545702748E-5</v>
      </c>
      <c r="V218" s="5">
        <v>0</v>
      </c>
      <c r="W218" s="5">
        <v>0</v>
      </c>
      <c r="X218" s="5">
        <v>2.961827768770513</v>
      </c>
      <c r="Y218" s="5">
        <v>5629.8769776932231</v>
      </c>
      <c r="Z218" s="5">
        <f t="shared" ref="Z218:AA218" si="74">Z217+0.0002</f>
        <v>-9.999999999999998E-4</v>
      </c>
      <c r="AA218" s="5">
        <f t="shared" si="74"/>
        <v>-8.0000000000000004E-4</v>
      </c>
      <c r="AB218" s="4">
        <v>2</v>
      </c>
    </row>
    <row r="219" spans="1:28" x14ac:dyDescent="0.25">
      <c r="C219" s="4">
        <v>3</v>
      </c>
      <c r="D219" s="5">
        <v>126628389438.89993</v>
      </c>
      <c r="E219" s="5">
        <v>126628389438.89993</v>
      </c>
      <c r="F219" s="5">
        <v>0.32346276860533019</v>
      </c>
      <c r="G219" s="5">
        <v>0</v>
      </c>
      <c r="H219" s="5">
        <v>47731344690.268448</v>
      </c>
      <c r="I219" s="5">
        <v>51761567234.51342</v>
      </c>
      <c r="J219" s="5">
        <v>51761567234.51342</v>
      </c>
      <c r="K219" s="5">
        <v>-5.8339282029712213E-11</v>
      </c>
      <c r="L219" s="5">
        <v>-5.8339282029712213E-11</v>
      </c>
      <c r="M219" s="5">
        <v>0</v>
      </c>
      <c r="N219" s="5">
        <v>2.0000000000000001E-4</v>
      </c>
      <c r="O219" s="5">
        <v>37.279366231884893</v>
      </c>
      <c r="P219" s="5">
        <v>37.279366231884893</v>
      </c>
      <c r="Q219" s="5">
        <v>1.0792626876688457E-8</v>
      </c>
      <c r="R219" s="5">
        <v>0</v>
      </c>
      <c r="S219" s="5">
        <v>4.9583972455788478E-5</v>
      </c>
      <c r="T219" s="5">
        <v>1.4165111272122486E-5</v>
      </c>
      <c r="U219" s="5">
        <v>1.4165111272122486E-5</v>
      </c>
      <c r="V219" s="5">
        <v>0</v>
      </c>
      <c r="W219" s="5">
        <v>0</v>
      </c>
      <c r="X219" s="5">
        <v>3.011504893067674</v>
      </c>
      <c r="Y219" s="5">
        <v>5665.3606379054818</v>
      </c>
      <c r="Z219" s="5">
        <f t="shared" ref="Z219:AA219" si="75">Z218+0.0002</f>
        <v>-7.9999999999999982E-4</v>
      </c>
      <c r="AA219" s="5">
        <f t="shared" si="75"/>
        <v>-6.0000000000000006E-4</v>
      </c>
      <c r="AB219" s="4">
        <v>2</v>
      </c>
    </row>
    <row r="220" spans="1:28" x14ac:dyDescent="0.25">
      <c r="C220" s="4">
        <v>4</v>
      </c>
      <c r="D220" s="5">
        <v>124683309087.13542</v>
      </c>
      <c r="E220" s="5">
        <v>124683309087.13542</v>
      </c>
      <c r="F220" s="5">
        <v>0.32037065858372704</v>
      </c>
      <c r="G220" s="5">
        <v>0</v>
      </c>
      <c r="H220" s="5">
        <v>47120955299.554413</v>
      </c>
      <c r="I220" s="5">
        <v>51731047764.977722</v>
      </c>
      <c r="J220" s="5">
        <v>51731047764.977722</v>
      </c>
      <c r="K220" s="5">
        <v>-6.2400301371331224E-11</v>
      </c>
      <c r="L220" s="5">
        <v>-6.2400301371331224E-11</v>
      </c>
      <c r="M220" s="5">
        <v>0</v>
      </c>
      <c r="N220" s="5">
        <v>2.0000000000000001E-4</v>
      </c>
      <c r="O220" s="5">
        <v>30.237428022997904</v>
      </c>
      <c r="P220" s="5">
        <v>30.237428022997904</v>
      </c>
      <c r="Q220" s="5">
        <v>1.1537431923692783E-8</v>
      </c>
      <c r="R220" s="5">
        <v>0</v>
      </c>
      <c r="S220" s="5">
        <v>4.2106702419541592E-5</v>
      </c>
      <c r="T220" s="5">
        <v>1.4455046232711652E-5</v>
      </c>
      <c r="U220" s="5">
        <v>1.4455046232711652E-5</v>
      </c>
      <c r="V220" s="5">
        <v>0</v>
      </c>
      <c r="W220" s="5">
        <v>0</v>
      </c>
      <c r="X220" s="5">
        <v>3.047110940859326</v>
      </c>
      <c r="Y220" s="5">
        <v>5690.7935291852327</v>
      </c>
      <c r="Z220" s="5">
        <f t="shared" ref="Z220:AA220" si="76">Z219+0.0002</f>
        <v>-5.9999999999999984E-4</v>
      </c>
      <c r="AA220" s="5">
        <f t="shared" si="76"/>
        <v>-4.0000000000000007E-4</v>
      </c>
      <c r="AB220" s="4">
        <v>2</v>
      </c>
    </row>
    <row r="221" spans="1:28" x14ac:dyDescent="0.25">
      <c r="C221" s="4">
        <v>5</v>
      </c>
      <c r="D221" s="5">
        <v>123142684741.80118</v>
      </c>
      <c r="E221" s="5">
        <v>123142684741.80118</v>
      </c>
      <c r="F221" s="5">
        <v>0.3179215155581383</v>
      </c>
      <c r="G221" s="5">
        <v>0</v>
      </c>
      <c r="H221" s="5">
        <v>46637489022.896645</v>
      </c>
      <c r="I221" s="5">
        <v>51706874451.144829</v>
      </c>
      <c r="J221" s="5">
        <v>51706874451.144829</v>
      </c>
      <c r="K221" s="5">
        <v>-6.5616880706419272E-11</v>
      </c>
      <c r="L221" s="5">
        <v>-6.5616880706419272E-11</v>
      </c>
      <c r="M221" s="5">
        <v>0</v>
      </c>
      <c r="N221" s="5">
        <v>2.0000000000000001E-4</v>
      </c>
      <c r="O221" s="5">
        <v>24.659775956794633</v>
      </c>
      <c r="P221" s="5">
        <v>24.659775956794633</v>
      </c>
      <c r="Q221" s="5">
        <v>1.2127363741626033E-8</v>
      </c>
      <c r="R221" s="5">
        <v>0</v>
      </c>
      <c r="S221" s="5">
        <v>3.6184240530483908E-5</v>
      </c>
      <c r="T221" s="5">
        <v>1.4684692714124093E-5</v>
      </c>
      <c r="U221" s="5">
        <v>1.4684692714124093E-5</v>
      </c>
      <c r="V221" s="5">
        <v>0</v>
      </c>
      <c r="W221" s="5">
        <v>0</v>
      </c>
      <c r="X221" s="5">
        <v>3.075313140331029</v>
      </c>
      <c r="Y221" s="5">
        <v>5710.9379573793067</v>
      </c>
      <c r="Z221" s="5">
        <f t="shared" ref="Z221:AA221" si="77">Z220+0.0002</f>
        <v>-3.9999999999999986E-4</v>
      </c>
      <c r="AA221" s="5">
        <f t="shared" si="77"/>
        <v>-2.0000000000000006E-4</v>
      </c>
      <c r="AB221" s="4">
        <v>2</v>
      </c>
    </row>
    <row r="222" spans="1:28" x14ac:dyDescent="0.25">
      <c r="C222" s="4">
        <v>6</v>
      </c>
      <c r="D222" s="5">
        <v>121855691737.84134</v>
      </c>
      <c r="E222" s="5">
        <v>121855691737.84134</v>
      </c>
      <c r="F222" s="5">
        <v>0.31587557233442148</v>
      </c>
      <c r="G222" s="5">
        <v>0</v>
      </c>
      <c r="H222" s="5">
        <v>46233615283.270607</v>
      </c>
      <c r="I222" s="5">
        <v>51686680764.163528</v>
      </c>
      <c r="J222" s="5">
        <v>51686680764.163528</v>
      </c>
      <c r="K222" s="5">
        <v>-6.8303918019231522E-11</v>
      </c>
      <c r="L222" s="5">
        <v>-6.8303918019231522E-11</v>
      </c>
      <c r="M222" s="5">
        <v>0</v>
      </c>
      <c r="N222" s="5">
        <v>2.0000000000000001E-4</v>
      </c>
      <c r="O222" s="5">
        <v>20.000366796173907</v>
      </c>
      <c r="P222" s="5">
        <v>20.000366796173907</v>
      </c>
      <c r="Q222" s="5">
        <v>1.262017571411805E-8</v>
      </c>
      <c r="R222" s="5">
        <v>0</v>
      </c>
      <c r="S222" s="5">
        <v>3.1236787220064957E-5</v>
      </c>
      <c r="T222" s="5">
        <v>1.487653274044646E-5</v>
      </c>
      <c r="U222" s="5">
        <v>1.487653274044646E-5</v>
      </c>
      <c r="V222" s="5">
        <v>0</v>
      </c>
      <c r="W222" s="5">
        <v>0</v>
      </c>
      <c r="X222" s="5">
        <v>3.0988724418092146</v>
      </c>
      <c r="Y222" s="5">
        <v>5727.7660298637247</v>
      </c>
      <c r="Z222" s="5">
        <f t="shared" ref="Z222:AA222" si="78">Z221+0.0002</f>
        <v>-1.9999999999999985E-4</v>
      </c>
      <c r="AA222" s="5">
        <f t="shared" si="78"/>
        <v>0</v>
      </c>
      <c r="AB222" s="4">
        <v>2</v>
      </c>
    </row>
    <row r="223" spans="1:28" x14ac:dyDescent="0.25">
      <c r="C223" s="4">
        <v>7</v>
      </c>
      <c r="D223" s="5">
        <v>120744189180.59714</v>
      </c>
      <c r="E223" s="5">
        <v>120744189180.59714</v>
      </c>
      <c r="F223" s="5">
        <v>0.31410860769814075</v>
      </c>
      <c r="G223" s="5">
        <v>0</v>
      </c>
      <c r="H223" s="5">
        <v>45884812536.855576</v>
      </c>
      <c r="I223" s="5">
        <v>51669240626.842781</v>
      </c>
      <c r="J223" s="5">
        <v>51669240626.842781</v>
      </c>
      <c r="K223" s="5">
        <v>-7.0624559106954659E-11</v>
      </c>
      <c r="L223" s="5">
        <v>-7.0624559106954659E-11</v>
      </c>
      <c r="M223" s="5">
        <v>0</v>
      </c>
      <c r="N223" s="5">
        <v>2.0000000000000001E-4</v>
      </c>
      <c r="O223" s="5">
        <v>15.976300479307838</v>
      </c>
      <c r="P223" s="5">
        <v>15.976300479307838</v>
      </c>
      <c r="Q223" s="5">
        <v>1.3045789346810755E-8</v>
      </c>
      <c r="R223" s="5">
        <v>0</v>
      </c>
      <c r="S223" s="5">
        <v>2.6963953576480818E-5</v>
      </c>
      <c r="T223" s="5">
        <v>1.5042214044993599E-5</v>
      </c>
      <c r="U223" s="5">
        <v>1.5042214044993599E-5</v>
      </c>
      <c r="V223" s="5">
        <v>0</v>
      </c>
      <c r="W223" s="5">
        <v>0</v>
      </c>
      <c r="X223" s="5">
        <v>3.119219268683425</v>
      </c>
      <c r="Y223" s="5">
        <v>5742.2994776310179</v>
      </c>
      <c r="Z223" s="5">
        <f t="shared" ref="Z223:AA223" si="79">Z222+0.0002</f>
        <v>0</v>
      </c>
      <c r="AA223" s="5">
        <f t="shared" si="79"/>
        <v>2.0000000000000001E-4</v>
      </c>
      <c r="AB223" s="4">
        <v>2</v>
      </c>
    </row>
    <row r="224" spans="1:28" x14ac:dyDescent="0.25">
      <c r="C224" s="4">
        <v>8</v>
      </c>
      <c r="D224" s="5">
        <v>119762079388.30434</v>
      </c>
      <c r="E224" s="5">
        <v>119762079388.30434</v>
      </c>
      <c r="F224" s="5">
        <v>0.31254733979046367</v>
      </c>
      <c r="G224" s="5">
        <v>0</v>
      </c>
      <c r="H224" s="5">
        <v>45576614781.843521</v>
      </c>
      <c r="I224" s="5">
        <v>51653830739.092178</v>
      </c>
      <c r="J224" s="5">
        <v>51653830739.092178</v>
      </c>
      <c r="K224" s="5">
        <v>-7.2675048619368052E-11</v>
      </c>
      <c r="L224" s="5">
        <v>-7.2675048619368052E-11</v>
      </c>
      <c r="M224" s="5">
        <v>0</v>
      </c>
      <c r="N224" s="5">
        <v>2.0000000000000001E-4</v>
      </c>
      <c r="O224" s="5">
        <v>12.420685686636261</v>
      </c>
      <c r="P224" s="5">
        <v>12.420685686636261</v>
      </c>
      <c r="Q224" s="5">
        <v>1.3421856242632553E-8</v>
      </c>
      <c r="R224" s="5">
        <v>0</v>
      </c>
      <c r="S224" s="5">
        <v>2.318853107758311E-5</v>
      </c>
      <c r="T224" s="5">
        <v>1.5188607978624328E-5</v>
      </c>
      <c r="U224" s="5">
        <v>1.5188607978624328E-5</v>
      </c>
      <c r="V224" s="5">
        <v>0</v>
      </c>
      <c r="W224" s="5">
        <v>0</v>
      </c>
      <c r="X224" s="5">
        <v>3.1371974710591282</v>
      </c>
      <c r="Y224" s="5">
        <v>5755.1410507565197</v>
      </c>
      <c r="Z224" s="5">
        <f t="shared" ref="Z224:AA224" si="80">Z223+0.0002</f>
        <v>2.0000000000000001E-4</v>
      </c>
      <c r="AA224" s="5">
        <f t="shared" si="80"/>
        <v>4.0000000000000002E-4</v>
      </c>
      <c r="AB224" s="4">
        <v>2</v>
      </c>
    </row>
    <row r="225" spans="1:28" x14ac:dyDescent="0.25">
      <c r="C225" s="4">
        <v>9</v>
      </c>
      <c r="D225" s="5">
        <v>118879728390.496</v>
      </c>
      <c r="E225" s="5">
        <v>118879728390.496</v>
      </c>
      <c r="F225" s="5">
        <v>0.3111446592480277</v>
      </c>
      <c r="G225" s="5">
        <v>0</v>
      </c>
      <c r="H225" s="5">
        <v>45299722525.202522</v>
      </c>
      <c r="I225" s="5">
        <v>51639986126.260124</v>
      </c>
      <c r="J225" s="5">
        <v>51639986126.260124</v>
      </c>
      <c r="K225" s="5">
        <v>-7.4517257587725517E-11</v>
      </c>
      <c r="L225" s="5">
        <v>-7.4517257587725517E-11</v>
      </c>
      <c r="M225" s="5">
        <v>0</v>
      </c>
      <c r="N225" s="5">
        <v>2.0000000000000001E-4</v>
      </c>
      <c r="O225" s="5">
        <v>9.2262360591546155</v>
      </c>
      <c r="P225" s="5">
        <v>9.2262360591546155</v>
      </c>
      <c r="Q225" s="5">
        <v>1.3759723763529968E-8</v>
      </c>
      <c r="R225" s="5">
        <v>0</v>
      </c>
      <c r="S225" s="5">
        <v>1.9796600933730875E-5</v>
      </c>
      <c r="T225" s="5">
        <v>1.5320131800528803E-5</v>
      </c>
      <c r="U225" s="5">
        <v>1.5320131800528803E-5</v>
      </c>
      <c r="V225" s="5">
        <v>0</v>
      </c>
      <c r="W225" s="5">
        <v>0</v>
      </c>
      <c r="X225" s="5">
        <v>3.1533495193631866</v>
      </c>
      <c r="Y225" s="5">
        <v>5766.6782281165615</v>
      </c>
      <c r="Z225" s="5">
        <f t="shared" ref="Z225:AA225" si="81">Z224+0.0002</f>
        <v>4.0000000000000002E-4</v>
      </c>
      <c r="AA225" s="5">
        <f t="shared" si="81"/>
        <v>6.0000000000000006E-4</v>
      </c>
      <c r="AB225" s="4">
        <v>2</v>
      </c>
    </row>
    <row r="226" spans="1:28" x14ac:dyDescent="0.25">
      <c r="C226" s="4">
        <v>10</v>
      </c>
      <c r="D226" s="5">
        <v>118076879771.29515</v>
      </c>
      <c r="E226" s="5">
        <v>118076879771.29515</v>
      </c>
      <c r="F226" s="5">
        <v>0.30986836428211062</v>
      </c>
      <c r="G226" s="5">
        <v>0</v>
      </c>
      <c r="H226" s="5">
        <v>45047779062.267914</v>
      </c>
      <c r="I226" s="5">
        <v>51627388953.113396</v>
      </c>
      <c r="J226" s="5">
        <v>51627388953.113396</v>
      </c>
      <c r="K226" s="5">
        <v>-7.6193478196302989E-11</v>
      </c>
      <c r="L226" s="5">
        <v>-7.6193478196302989E-11</v>
      </c>
      <c r="M226" s="5">
        <v>0</v>
      </c>
      <c r="N226" s="5">
        <v>2.0000000000000001E-4</v>
      </c>
      <c r="O226" s="5">
        <v>6.3196155885021312</v>
      </c>
      <c r="P226" s="5">
        <v>6.3196155885021312</v>
      </c>
      <c r="Q226" s="5">
        <v>1.4067148442936552E-8</v>
      </c>
      <c r="R226" s="5">
        <v>0</v>
      </c>
      <c r="S226" s="5">
        <v>1.6710293512781944E-5</v>
      </c>
      <c r="T226" s="5">
        <v>1.5439804945422741E-5</v>
      </c>
      <c r="U226" s="5">
        <v>1.5439804945422741E-5</v>
      </c>
      <c r="V226" s="5">
        <v>0</v>
      </c>
      <c r="W226" s="5">
        <v>0</v>
      </c>
      <c r="X226" s="5">
        <v>3.168046221367705</v>
      </c>
      <c r="Y226" s="5">
        <v>5777.1758724055035</v>
      </c>
      <c r="Z226" s="5">
        <f t="shared" ref="Z226:AA226" si="82">Z225+0.0002</f>
        <v>6.0000000000000006E-4</v>
      </c>
      <c r="AA226" s="5">
        <f t="shared" si="82"/>
        <v>8.0000000000000004E-4</v>
      </c>
      <c r="AB226" s="4">
        <v>2</v>
      </c>
    </row>
    <row r="227" spans="1:28" x14ac:dyDescent="0.25">
      <c r="C227" s="4">
        <v>11</v>
      </c>
      <c r="D227" s="5">
        <v>117339032614.07304</v>
      </c>
      <c r="E227" s="5">
        <v>117339032614.07304</v>
      </c>
      <c r="F227" s="5">
        <v>0.30869540266785744</v>
      </c>
      <c r="G227" s="5">
        <v>0</v>
      </c>
      <c r="H227" s="5">
        <v>44816233832.617981</v>
      </c>
      <c r="I227" s="5">
        <v>51615811691.630898</v>
      </c>
      <c r="J227" s="5">
        <v>51615811691.630898</v>
      </c>
      <c r="K227" s="5">
        <v>-7.7733986059599914E-11</v>
      </c>
      <c r="L227" s="5">
        <v>-7.7733986059599914E-11</v>
      </c>
      <c r="M227" s="5">
        <v>0</v>
      </c>
      <c r="N227" s="5">
        <v>2.0000000000000001E-4</v>
      </c>
      <c r="O227" s="5">
        <v>3.6483253849650339</v>
      </c>
      <c r="P227" s="5">
        <v>3.6483253849650339</v>
      </c>
      <c r="Q227" s="5">
        <v>1.4349682933667635E-8</v>
      </c>
      <c r="R227" s="5">
        <v>0</v>
      </c>
      <c r="S227" s="5">
        <v>1.3873864449570297E-5</v>
      </c>
      <c r="T227" s="5">
        <v>1.5549788929506457E-5</v>
      </c>
      <c r="U227" s="5">
        <v>1.5549788929506457E-5</v>
      </c>
      <c r="V227" s="5">
        <v>0</v>
      </c>
      <c r="W227" s="5">
        <v>0</v>
      </c>
      <c r="X227" s="5">
        <v>3.1815530264306178</v>
      </c>
      <c r="Y227" s="5">
        <v>5786.8235903075838</v>
      </c>
      <c r="Z227" s="5">
        <f t="shared" ref="Z227:AA227" si="83">Z226+0.0002</f>
        <v>8.0000000000000004E-4</v>
      </c>
      <c r="AA227" s="5">
        <f t="shared" si="83"/>
        <v>1E-3</v>
      </c>
      <c r="AB227" s="4">
        <v>2</v>
      </c>
    </row>
    <row r="228" spans="1:28" x14ac:dyDescent="0.25">
      <c r="B228" t="s">
        <v>187</v>
      </c>
      <c r="C228" s="11">
        <v>12</v>
      </c>
      <c r="D228" s="5">
        <v>116655424906.09589</v>
      </c>
      <c r="E228" s="5">
        <v>116655424906.09589</v>
      </c>
      <c r="F228" s="5">
        <v>0.30760866594627995</v>
      </c>
      <c r="G228" s="5">
        <v>0</v>
      </c>
      <c r="H228" s="5">
        <v>44601709588.423615</v>
      </c>
      <c r="I228" s="5">
        <v>51605085479.421181</v>
      </c>
      <c r="J228" s="5">
        <v>51605085479.421181</v>
      </c>
      <c r="K228" s="5">
        <v>-7.9161250553663972E-11</v>
      </c>
      <c r="L228" s="5">
        <v>-7.9161250553663972E-11</v>
      </c>
      <c r="M228" s="5">
        <v>0</v>
      </c>
      <c r="N228" s="5">
        <v>2.0000000000000001E-4</v>
      </c>
      <c r="O228" s="5">
        <v>1.1734028274845514</v>
      </c>
      <c r="P228" s="5">
        <v>1.1734028274845514</v>
      </c>
      <c r="Q228" s="5">
        <v>1.4611448197303436E-8</v>
      </c>
      <c r="R228" s="5">
        <v>0</v>
      </c>
      <c r="S228" s="5">
        <v>1.1245942458189268E-5</v>
      </c>
      <c r="T228" s="5">
        <v>1.5651687945498781E-5</v>
      </c>
      <c r="U228" s="5">
        <v>1.5651687945498781E-5</v>
      </c>
      <c r="V228" s="5">
        <v>0</v>
      </c>
      <c r="W228" s="5">
        <v>0</v>
      </c>
      <c r="X228" s="5">
        <v>3.1940669406752895</v>
      </c>
      <c r="Y228" s="5">
        <v>5795.7621004823495</v>
      </c>
      <c r="Z228" s="5">
        <f t="shared" ref="Z228:AA228" si="84">Z227+0.0002</f>
        <v>1E-3</v>
      </c>
      <c r="AA228" s="5">
        <f t="shared" si="84"/>
        <v>1.2000000000000001E-3</v>
      </c>
      <c r="AB228" s="4">
        <v>2</v>
      </c>
    </row>
    <row r="232" spans="1:28" x14ac:dyDescent="0.25">
      <c r="A232" s="15" t="s">
        <v>136</v>
      </c>
      <c r="C232" s="10" t="s">
        <v>27</v>
      </c>
      <c r="D232" s="10" t="s">
        <v>28</v>
      </c>
      <c r="E232" s="10" t="s">
        <v>29</v>
      </c>
      <c r="F232" s="10" t="s">
        <v>30</v>
      </c>
      <c r="G232" s="10" t="s">
        <v>31</v>
      </c>
      <c r="H232" s="10" t="s">
        <v>47</v>
      </c>
      <c r="I232" s="10" t="s">
        <v>32</v>
      </c>
      <c r="J232" s="10" t="s">
        <v>33</v>
      </c>
      <c r="K232" s="10" t="s">
        <v>34</v>
      </c>
      <c r="L232" s="10" t="s">
        <v>35</v>
      </c>
      <c r="M232" s="10" t="s">
        <v>36</v>
      </c>
      <c r="N232" s="10" t="s">
        <v>37</v>
      </c>
      <c r="O232" s="10" t="s">
        <v>38</v>
      </c>
      <c r="P232" s="10" t="s">
        <v>39</v>
      </c>
      <c r="Q232" s="10" t="s">
        <v>40</v>
      </c>
      <c r="R232" s="10" t="s">
        <v>41</v>
      </c>
      <c r="S232" s="10" t="s">
        <v>42</v>
      </c>
      <c r="T232" s="10" t="s">
        <v>102</v>
      </c>
      <c r="U232" s="10" t="s">
        <v>77</v>
      </c>
      <c r="V232" s="10" t="s">
        <v>78</v>
      </c>
      <c r="W232" s="10" t="s">
        <v>79</v>
      </c>
      <c r="X232" s="10" t="s">
        <v>80</v>
      </c>
      <c r="Y232" s="10" t="s">
        <v>43</v>
      </c>
      <c r="Z232" s="10" t="s">
        <v>44</v>
      </c>
      <c r="AA232" s="10" t="s">
        <v>45</v>
      </c>
      <c r="AB232" s="10" t="s">
        <v>46</v>
      </c>
    </row>
    <row r="233" spans="1:28" x14ac:dyDescent="0.25">
      <c r="A233" s="12" t="s">
        <v>135</v>
      </c>
      <c r="B233" t="s">
        <v>183</v>
      </c>
      <c r="C233" s="11">
        <v>1</v>
      </c>
      <c r="D233" s="5">
        <v>132061186286.3896</v>
      </c>
      <c r="E233" s="5">
        <v>132061186286.3896</v>
      </c>
      <c r="F233" s="5">
        <v>0.3300633200102332</v>
      </c>
      <c r="G233" s="5">
        <v>0</v>
      </c>
      <c r="H233" s="5">
        <v>49302990287.040466</v>
      </c>
      <c r="I233" s="5">
        <v>51017232847.685356</v>
      </c>
      <c r="J233" s="5">
        <v>51017232847.685356</v>
      </c>
      <c r="K233" s="5">
        <v>-4.161780903455893E-11</v>
      </c>
      <c r="L233" s="5">
        <v>-4.161780903455893E-11</v>
      </c>
      <c r="M233" s="5">
        <v>0</v>
      </c>
      <c r="N233" s="5">
        <v>2.0000000000000001E-4</v>
      </c>
      <c r="O233" s="5">
        <v>63.967579141253232</v>
      </c>
      <c r="P233" s="5">
        <v>63.967579141253232</v>
      </c>
      <c r="Q233" s="5">
        <v>7.7243006728667902E-9</v>
      </c>
      <c r="R233" s="5">
        <v>0</v>
      </c>
      <c r="S233" s="5">
        <v>7.7755381016245671E-5</v>
      </c>
      <c r="T233" s="5">
        <v>1.2804621280322445E-5</v>
      </c>
      <c r="U233" s="5">
        <v>1.2804621280322445E-5</v>
      </c>
      <c r="V233" s="5">
        <v>0</v>
      </c>
      <c r="W233" s="5">
        <v>0</v>
      </c>
      <c r="X233" s="5">
        <v>2.8232283443670845</v>
      </c>
      <c r="Y233" s="5">
        <v>5472.3059602622034</v>
      </c>
      <c r="Z233" s="5">
        <v>-1.1999999999999999E-3</v>
      </c>
      <c r="AA233" s="5">
        <v>-1E-3</v>
      </c>
      <c r="AB233" s="4">
        <v>2</v>
      </c>
    </row>
    <row r="234" spans="1:28" x14ac:dyDescent="0.25">
      <c r="C234" s="4">
        <v>2</v>
      </c>
      <c r="D234" s="5">
        <v>122569589471.51437</v>
      </c>
      <c r="E234" s="5">
        <v>122569589471.51437</v>
      </c>
      <c r="F234" s="5">
        <v>0.31090243184619476</v>
      </c>
      <c r="G234" s="5">
        <v>0</v>
      </c>
      <c r="H234" s="5">
        <v>46057952535.362633</v>
      </c>
      <c r="I234" s="5">
        <v>49209147626.768135</v>
      </c>
      <c r="J234" s="5">
        <v>49209147626.768135</v>
      </c>
      <c r="K234" s="5">
        <v>-5.0677448773703457E-11</v>
      </c>
      <c r="L234" s="5">
        <v>-5.0677448773703457E-11</v>
      </c>
      <c r="M234" s="5">
        <v>0</v>
      </c>
      <c r="N234" s="5">
        <v>2.0000000000000001E-4</v>
      </c>
      <c r="O234" s="5">
        <v>43.64315370883731</v>
      </c>
      <c r="P234" s="5">
        <v>43.64315370883731</v>
      </c>
      <c r="Q234" s="5">
        <v>9.3827700558546858E-9</v>
      </c>
      <c r="R234" s="5">
        <v>0</v>
      </c>
      <c r="S234" s="5">
        <v>5.5841168558192268E-5</v>
      </c>
      <c r="T234" s="5">
        <v>1.3118097545702749E-5</v>
      </c>
      <c r="U234" s="5">
        <v>1.3118097545702749E-5</v>
      </c>
      <c r="V234" s="5">
        <v>0</v>
      </c>
      <c r="W234" s="5">
        <v>0</v>
      </c>
      <c r="X234" s="5">
        <v>2.8193277687705129</v>
      </c>
      <c r="Y234" s="5">
        <v>5352.3769776932231</v>
      </c>
      <c r="Z234" s="5">
        <f t="shared" ref="Z234:AA234" si="85">Z233+0.0002</f>
        <v>-9.999999999999998E-4</v>
      </c>
      <c r="AA234" s="5">
        <f t="shared" si="85"/>
        <v>-8.0000000000000004E-4</v>
      </c>
      <c r="AB234" s="4">
        <v>2</v>
      </c>
    </row>
    <row r="235" spans="1:28" x14ac:dyDescent="0.25">
      <c r="C235" s="4">
        <v>3</v>
      </c>
      <c r="D235" s="5">
        <v>115340802124.65558</v>
      </c>
      <c r="E235" s="5">
        <v>115340802124.65558</v>
      </c>
      <c r="F235" s="5">
        <v>0.29533875025857592</v>
      </c>
      <c r="G235" s="5">
        <v>0</v>
      </c>
      <c r="H235" s="5">
        <v>43523011356.935112</v>
      </c>
      <c r="I235" s="5">
        <v>47436567234.51342</v>
      </c>
      <c r="J235" s="5">
        <v>47436567234.51342</v>
      </c>
      <c r="K235" s="5">
        <v>-5.5012701159041733E-11</v>
      </c>
      <c r="L235" s="5">
        <v>-5.5012701159041733E-11</v>
      </c>
      <c r="M235" s="5">
        <v>0</v>
      </c>
      <c r="N235" s="5">
        <v>2.0000000000000001E-4</v>
      </c>
      <c r="O235" s="5">
        <v>31.510967963486625</v>
      </c>
      <c r="P235" s="5">
        <v>31.510967963486625</v>
      </c>
      <c r="Q235" s="5">
        <v>1.0174770395206974E-8</v>
      </c>
      <c r="R235" s="5">
        <v>0</v>
      </c>
      <c r="S235" s="5">
        <v>4.2625639122455147E-5</v>
      </c>
      <c r="T235" s="5">
        <v>1.3094277938789153E-5</v>
      </c>
      <c r="U235" s="5">
        <v>1.3094277938789153E-5</v>
      </c>
      <c r="V235" s="5">
        <v>0</v>
      </c>
      <c r="W235" s="5">
        <v>0</v>
      </c>
      <c r="X235" s="5">
        <v>2.7740048930676742</v>
      </c>
      <c r="Y235" s="5">
        <v>5202.8606379054818</v>
      </c>
      <c r="Z235" s="5">
        <f t="shared" ref="Z235:AA235" si="86">Z234+0.0002</f>
        <v>-7.9999999999999982E-4</v>
      </c>
      <c r="AA235" s="5">
        <f t="shared" si="86"/>
        <v>-6.0000000000000006E-4</v>
      </c>
      <c r="AB235" s="4">
        <v>2</v>
      </c>
    </row>
    <row r="236" spans="1:28" x14ac:dyDescent="0.25">
      <c r="C236" s="4">
        <v>4</v>
      </c>
      <c r="D236" s="5">
        <v>108880686847.19331</v>
      </c>
      <c r="E236" s="5">
        <v>108880686847.19331</v>
      </c>
      <c r="F236" s="5">
        <v>0.28099703289827105</v>
      </c>
      <c r="G236" s="5">
        <v>0</v>
      </c>
      <c r="H236" s="5">
        <v>41229288632.887749</v>
      </c>
      <c r="I236" s="5">
        <v>45676047764.977722</v>
      </c>
      <c r="J236" s="5">
        <v>45676047764.977722</v>
      </c>
      <c r="K236" s="5">
        <v>-5.7743088152392555E-11</v>
      </c>
      <c r="L236" s="5">
        <v>-5.7743088152392555E-11</v>
      </c>
      <c r="M236" s="5">
        <v>0</v>
      </c>
      <c r="N236" s="5">
        <v>2.0000000000000001E-4</v>
      </c>
      <c r="O236" s="5">
        <v>22.161670447240329</v>
      </c>
      <c r="P236" s="5">
        <v>22.161670447240329</v>
      </c>
      <c r="Q236" s="5">
        <v>1.0672432849618709E-8</v>
      </c>
      <c r="R236" s="5">
        <v>0</v>
      </c>
      <c r="S236" s="5">
        <v>3.2365035752874923E-5</v>
      </c>
      <c r="T236" s="5">
        <v>1.2955879566044985E-5</v>
      </c>
      <c r="U236" s="5">
        <v>1.2955879566044985E-5</v>
      </c>
      <c r="V236" s="5">
        <v>0</v>
      </c>
      <c r="W236" s="5">
        <v>0</v>
      </c>
      <c r="X236" s="5">
        <v>2.714610940859326</v>
      </c>
      <c r="Y236" s="5">
        <v>5043.2935291852327</v>
      </c>
      <c r="Z236" s="5">
        <f t="shared" ref="Z236:AA236" si="87">Z235+0.0002</f>
        <v>-5.9999999999999984E-4</v>
      </c>
      <c r="AA236" s="5">
        <f t="shared" si="87"/>
        <v>-4.0000000000000007E-4</v>
      </c>
      <c r="AB236" s="4">
        <v>2</v>
      </c>
    </row>
    <row r="237" spans="1:28" x14ac:dyDescent="0.25">
      <c r="C237" s="4">
        <v>5</v>
      </c>
      <c r="D237" s="5">
        <v>102825027576.16132</v>
      </c>
      <c r="E237" s="5">
        <v>102825027576.16132</v>
      </c>
      <c r="F237" s="5">
        <v>0.26729828253398064</v>
      </c>
      <c r="G237" s="5">
        <v>0</v>
      </c>
      <c r="H237" s="5">
        <v>39062489022.896645</v>
      </c>
      <c r="I237" s="5">
        <v>43921874451.144829</v>
      </c>
      <c r="J237" s="5">
        <v>43921874451.144829</v>
      </c>
      <c r="K237" s="5">
        <v>-5.9629035139212413E-11</v>
      </c>
      <c r="L237" s="5">
        <v>-5.9629035139212413E-11</v>
      </c>
      <c r="M237" s="5">
        <v>0</v>
      </c>
      <c r="N237" s="5">
        <v>2.0000000000000001E-4</v>
      </c>
      <c r="O237" s="5">
        <v>14.276659073677751</v>
      </c>
      <c r="P237" s="5">
        <v>14.276659073677751</v>
      </c>
      <c r="Q237" s="5">
        <v>1.1015222074959366E-8</v>
      </c>
      <c r="R237" s="5">
        <v>0</v>
      </c>
      <c r="S237" s="5">
        <v>2.3659240530483909E-5</v>
      </c>
      <c r="T237" s="5">
        <v>1.2757192714124093E-5</v>
      </c>
      <c r="U237" s="5">
        <v>1.2757192714124093E-5</v>
      </c>
      <c r="V237" s="5">
        <v>0</v>
      </c>
      <c r="W237" s="5">
        <v>0</v>
      </c>
      <c r="X237" s="5">
        <v>2.6478131403310288</v>
      </c>
      <c r="Y237" s="5">
        <v>4878.4379573793067</v>
      </c>
      <c r="Z237" s="5">
        <f t="shared" ref="Z237:AA237" si="88">Z236+0.0002</f>
        <v>-3.9999999999999986E-4</v>
      </c>
      <c r="AA237" s="5">
        <f t="shared" si="88"/>
        <v>-2.0000000000000006E-4</v>
      </c>
      <c r="AB237" s="4">
        <v>2</v>
      </c>
    </row>
    <row r="238" spans="1:28" x14ac:dyDescent="0.25">
      <c r="C238" s="4">
        <v>6</v>
      </c>
      <c r="D238" s="5">
        <v>97022999646.503738</v>
      </c>
      <c r="E238" s="5">
        <v>97022999646.503738</v>
      </c>
      <c r="F238" s="5">
        <v>0.25400273197156209</v>
      </c>
      <c r="G238" s="5">
        <v>0</v>
      </c>
      <c r="H238" s="5">
        <v>36975281949.937271</v>
      </c>
      <c r="I238" s="5">
        <v>42171680764.163528</v>
      </c>
      <c r="J238" s="5">
        <v>42171680764.163528</v>
      </c>
      <c r="K238" s="5">
        <v>-6.0985440103756462E-11</v>
      </c>
      <c r="L238" s="5">
        <v>-6.0985440103756462E-11</v>
      </c>
      <c r="M238" s="5">
        <v>0</v>
      </c>
      <c r="N238" s="5">
        <v>2.0000000000000001E-4</v>
      </c>
      <c r="O238" s="5">
        <v>7.3098906056977189</v>
      </c>
      <c r="P238" s="5">
        <v>7.3098906056977189</v>
      </c>
      <c r="Q238" s="5">
        <v>1.1260891454858791E-8</v>
      </c>
      <c r="R238" s="5">
        <v>0</v>
      </c>
      <c r="S238" s="5">
        <v>1.5928453886731626E-5</v>
      </c>
      <c r="T238" s="5">
        <v>1.2520699407113126E-5</v>
      </c>
      <c r="U238" s="5">
        <v>1.2520699407113126E-5</v>
      </c>
      <c r="V238" s="5">
        <v>0</v>
      </c>
      <c r="W238" s="5">
        <v>0</v>
      </c>
      <c r="X238" s="5">
        <v>2.5763724418092147</v>
      </c>
      <c r="Y238" s="5">
        <v>4710.2660298637247</v>
      </c>
      <c r="Z238" s="5">
        <f t="shared" ref="Z238:AA238" si="89">Z237+0.0002</f>
        <v>-1.9999999999999985E-4</v>
      </c>
      <c r="AA238" s="5">
        <f t="shared" si="89"/>
        <v>0</v>
      </c>
      <c r="AB238" s="4">
        <v>2</v>
      </c>
    </row>
    <row r="239" spans="1:28" x14ac:dyDescent="0.25">
      <c r="C239" s="4">
        <v>7</v>
      </c>
      <c r="D239" s="5">
        <v>91396462163.561798</v>
      </c>
      <c r="E239" s="5">
        <v>91396462163.561798</v>
      </c>
      <c r="F239" s="5">
        <v>0.24098615999657966</v>
      </c>
      <c r="G239" s="5">
        <v>0</v>
      </c>
      <c r="H239" s="5">
        <v>34943145870.188911</v>
      </c>
      <c r="I239" s="5">
        <v>40424240626.842781</v>
      </c>
      <c r="J239" s="5">
        <v>40424240626.842781</v>
      </c>
      <c r="K239" s="5">
        <v>-6.197544884321141E-11</v>
      </c>
      <c r="L239" s="5">
        <v>-6.197544884321141E-11</v>
      </c>
      <c r="M239" s="5">
        <v>0</v>
      </c>
      <c r="N239" s="5">
        <v>2.0000000000000001E-4</v>
      </c>
      <c r="O239" s="5">
        <v>0.97846498147234229</v>
      </c>
      <c r="P239" s="5">
        <v>0.97846498147234229</v>
      </c>
      <c r="Q239" s="5">
        <v>1.1439362494958904E-8</v>
      </c>
      <c r="R239" s="5">
        <v>0</v>
      </c>
      <c r="S239" s="5">
        <v>8.8722869098141532E-6</v>
      </c>
      <c r="T239" s="5">
        <v>1.2258047378326933E-5</v>
      </c>
      <c r="U239" s="5">
        <v>1.2258047378326933E-5</v>
      </c>
      <c r="V239" s="5">
        <v>0</v>
      </c>
      <c r="W239" s="5">
        <v>0</v>
      </c>
      <c r="X239" s="5">
        <v>2.5017192686834249</v>
      </c>
      <c r="Y239" s="5">
        <v>4539.7994776310179</v>
      </c>
      <c r="Z239" s="5">
        <f t="shared" ref="Z239:AA239" si="90">Z238+0.0002</f>
        <v>0</v>
      </c>
      <c r="AA239" s="5">
        <f t="shared" si="90"/>
        <v>2.0000000000000001E-4</v>
      </c>
      <c r="AB239" s="4">
        <v>2</v>
      </c>
    </row>
    <row r="240" spans="1:28" x14ac:dyDescent="0.25">
      <c r="C240" s="4">
        <v>8</v>
      </c>
      <c r="D240" s="5">
        <v>85899317445.571259</v>
      </c>
      <c r="E240" s="5">
        <v>85899317445.571259</v>
      </c>
      <c r="F240" s="5">
        <v>0.22817528475020088</v>
      </c>
      <c r="G240" s="5">
        <v>0</v>
      </c>
      <c r="H240" s="5">
        <v>32951614781.843521</v>
      </c>
      <c r="I240" s="5">
        <v>38678830739.092178</v>
      </c>
      <c r="J240" s="5">
        <v>38678830739.092178</v>
      </c>
      <c r="K240" s="5">
        <v>-6.2695306007356613E-11</v>
      </c>
      <c r="L240" s="5">
        <v>-6.2695306007356613E-11</v>
      </c>
      <c r="M240" s="5">
        <v>0</v>
      </c>
      <c r="N240" s="5">
        <v>2.0000000000000001E-4</v>
      </c>
      <c r="O240" s="5">
        <v>-4.8845091185585403</v>
      </c>
      <c r="P240" s="5">
        <v>-4.8845091185585403</v>
      </c>
      <c r="Q240" s="5">
        <v>1.1568286798188107E-8</v>
      </c>
      <c r="R240" s="5">
        <v>0</v>
      </c>
      <c r="S240" s="5">
        <v>2.313531077583111E-6</v>
      </c>
      <c r="T240" s="5">
        <v>1.1976107978624328E-5</v>
      </c>
      <c r="U240" s="5">
        <v>1.1976107978624328E-5</v>
      </c>
      <c r="V240" s="5">
        <v>0</v>
      </c>
      <c r="W240" s="5">
        <v>0</v>
      </c>
      <c r="X240" s="5">
        <v>2.4246974710591278</v>
      </c>
      <c r="Y240" s="5">
        <v>4367.6410507565197</v>
      </c>
      <c r="Z240" s="5">
        <f t="shared" ref="Z240:AA240" si="91">Z239+0.0002</f>
        <v>2.0000000000000001E-4</v>
      </c>
      <c r="AA240" s="5">
        <f t="shared" si="91"/>
        <v>4.0000000000000002E-4</v>
      </c>
      <c r="AB240" s="4">
        <v>2</v>
      </c>
    </row>
    <row r="241" spans="1:28" x14ac:dyDescent="0.25">
      <c r="C241" s="4">
        <v>9</v>
      </c>
      <c r="D241" s="5">
        <v>80501931522.06517</v>
      </c>
      <c r="E241" s="5">
        <v>80501931522.06517</v>
      </c>
      <c r="F241" s="5">
        <v>0.21552299686906318</v>
      </c>
      <c r="G241" s="5">
        <v>0</v>
      </c>
      <c r="H241" s="5">
        <v>30991389191.869186</v>
      </c>
      <c r="I241" s="5">
        <v>36934986126.260124</v>
      </c>
      <c r="J241" s="5">
        <v>36934986126.260124</v>
      </c>
      <c r="K241" s="5">
        <v>-6.3206882627445889E-11</v>
      </c>
      <c r="L241" s="5">
        <v>-6.3206882627445889E-11</v>
      </c>
      <c r="M241" s="5">
        <v>0</v>
      </c>
      <c r="N241" s="5">
        <v>2.0000000000000001E-4</v>
      </c>
      <c r="O241" s="5">
        <v>-10.386318053399496</v>
      </c>
      <c r="P241" s="5">
        <v>-10.386318053399496</v>
      </c>
      <c r="Q241" s="5">
        <v>1.165901172649293E-8</v>
      </c>
      <c r="R241" s="5">
        <v>0</v>
      </c>
      <c r="S241" s="5">
        <v>-3.8617323996024582E-6</v>
      </c>
      <c r="T241" s="5">
        <v>1.1679298467195469E-5</v>
      </c>
      <c r="U241" s="5">
        <v>1.1679298467195469E-5</v>
      </c>
      <c r="V241" s="5">
        <v>0</v>
      </c>
      <c r="W241" s="5">
        <v>0</v>
      </c>
      <c r="X241" s="5">
        <v>2.3458495193631865</v>
      </c>
      <c r="Y241" s="5">
        <v>4194.1782281165615</v>
      </c>
      <c r="Z241" s="5">
        <f t="shared" ref="Z241:AA241" si="92">Z240+0.0002</f>
        <v>4.0000000000000002E-4</v>
      </c>
      <c r="AA241" s="5">
        <f t="shared" si="92"/>
        <v>6.0000000000000006E-4</v>
      </c>
      <c r="AB241" s="4">
        <v>2</v>
      </c>
    </row>
    <row r="242" spans="1:28" x14ac:dyDescent="0.25">
      <c r="C242" s="4">
        <v>10</v>
      </c>
      <c r="D242" s="5">
        <v>75184047977.166565</v>
      </c>
      <c r="E242" s="5">
        <v>75184047977.166565</v>
      </c>
      <c r="F242" s="5">
        <v>0.2029970945644444</v>
      </c>
      <c r="G242" s="5">
        <v>0</v>
      </c>
      <c r="H242" s="5">
        <v>29056112395.601246</v>
      </c>
      <c r="I242" s="5">
        <v>35192388953.113396</v>
      </c>
      <c r="J242" s="5">
        <v>35192388953.113396</v>
      </c>
      <c r="K242" s="5">
        <v>-6.3552470887755172E-11</v>
      </c>
      <c r="L242" s="5">
        <v>-6.3552470887755172E-11</v>
      </c>
      <c r="M242" s="5">
        <v>0</v>
      </c>
      <c r="N242" s="5">
        <v>2.0000000000000001E-4</v>
      </c>
      <c r="O242" s="5">
        <v>-15.600297831411289</v>
      </c>
      <c r="P242" s="5">
        <v>-15.600297831411289</v>
      </c>
      <c r="Q242" s="5">
        <v>1.1719293813306922E-8</v>
      </c>
      <c r="R242" s="5">
        <v>0</v>
      </c>
      <c r="S242" s="5">
        <v>-9.7313731538847234E-6</v>
      </c>
      <c r="T242" s="5">
        <v>1.1370638278756073E-5</v>
      </c>
      <c r="U242" s="5">
        <v>1.1370638278756073E-5</v>
      </c>
      <c r="V242" s="5">
        <v>0</v>
      </c>
      <c r="W242" s="5">
        <v>0</v>
      </c>
      <c r="X242" s="5">
        <v>2.2655462213677047</v>
      </c>
      <c r="Y242" s="5">
        <v>4019.6758724055035</v>
      </c>
      <c r="Z242" s="5">
        <f t="shared" ref="Z242:AA242" si="93">Z241+0.0002</f>
        <v>6.0000000000000006E-4</v>
      </c>
      <c r="AA242" s="5">
        <f t="shared" si="93"/>
        <v>8.0000000000000004E-4</v>
      </c>
      <c r="AB242" s="4">
        <v>2</v>
      </c>
    </row>
    <row r="243" spans="1:28" x14ac:dyDescent="0.25">
      <c r="C243" s="4">
        <v>11</v>
      </c>
      <c r="D243" s="5">
        <v>69931165894.246719</v>
      </c>
      <c r="E243" s="5">
        <v>69931165894.246719</v>
      </c>
      <c r="F243" s="5">
        <v>0.19057452561148952</v>
      </c>
      <c r="G243" s="5">
        <v>0</v>
      </c>
      <c r="H243" s="5">
        <v>27141233832.617981</v>
      </c>
      <c r="I243" s="5">
        <v>33450811691.630898</v>
      </c>
      <c r="J243" s="5">
        <v>33450811691.630898</v>
      </c>
      <c r="K243" s="5">
        <v>-6.3762346402783907E-11</v>
      </c>
      <c r="L243" s="5">
        <v>-6.3762346402783907E-11</v>
      </c>
      <c r="M243" s="5">
        <v>0</v>
      </c>
      <c r="N243" s="5">
        <v>2.0000000000000001E-4</v>
      </c>
      <c r="O243" s="5">
        <v>-20.578947342307693</v>
      </c>
      <c r="P243" s="5">
        <v>-20.578947342307693</v>
      </c>
      <c r="Q243" s="5">
        <v>1.1754685711445413E-8</v>
      </c>
      <c r="R243" s="5">
        <v>0</v>
      </c>
      <c r="S243" s="5">
        <v>-1.5351135550429702E-5</v>
      </c>
      <c r="T243" s="5">
        <v>1.1052288929506456E-5</v>
      </c>
      <c r="U243" s="5">
        <v>1.1052288929506456E-5</v>
      </c>
      <c r="V243" s="5">
        <v>0</v>
      </c>
      <c r="W243" s="5">
        <v>0</v>
      </c>
      <c r="X243" s="5">
        <v>2.1840530264306177</v>
      </c>
      <c r="Y243" s="5">
        <v>3844.3235903075838</v>
      </c>
      <c r="Z243" s="5">
        <f t="shared" ref="Z243:AA243" si="94">Z242+0.0002</f>
        <v>8.0000000000000004E-4</v>
      </c>
      <c r="AA243" s="5">
        <f t="shared" si="94"/>
        <v>1E-3</v>
      </c>
      <c r="AB243" s="4">
        <v>2</v>
      </c>
    </row>
    <row r="244" spans="1:28" x14ac:dyDescent="0.25">
      <c r="B244" t="s">
        <v>187</v>
      </c>
      <c r="C244" s="11">
        <v>12</v>
      </c>
      <c r="D244" s="5">
        <v>64732523260.571793</v>
      </c>
      <c r="E244" s="5">
        <v>64732523260.571793</v>
      </c>
      <c r="F244" s="5">
        <v>0.1782381815512103</v>
      </c>
      <c r="G244" s="5">
        <v>0</v>
      </c>
      <c r="H244" s="5">
        <v>25243376255.090279</v>
      </c>
      <c r="I244" s="5">
        <v>31710085479.421177</v>
      </c>
      <c r="J244" s="5">
        <v>31710085479.421177</v>
      </c>
      <c r="K244" s="5">
        <v>-6.3858978548579763E-11</v>
      </c>
      <c r="L244" s="5">
        <v>-6.3858978548579763E-11</v>
      </c>
      <c r="M244" s="5">
        <v>0</v>
      </c>
      <c r="N244" s="5">
        <v>2.0000000000000001E-4</v>
      </c>
      <c r="O244" s="5">
        <v>-25.361229207147485</v>
      </c>
      <c r="P244" s="5">
        <v>-25.361229207147485</v>
      </c>
      <c r="Q244" s="5">
        <v>1.176930838248862E-8</v>
      </c>
      <c r="R244" s="5">
        <v>0</v>
      </c>
      <c r="S244" s="5">
        <v>-2.0762390875144069E-5</v>
      </c>
      <c r="T244" s="5">
        <v>1.0725854612165447E-5</v>
      </c>
      <c r="U244" s="5">
        <v>1.0725854612165447E-5</v>
      </c>
      <c r="V244" s="5">
        <v>0</v>
      </c>
      <c r="W244" s="5">
        <v>0</v>
      </c>
      <c r="X244" s="5">
        <v>2.1015669406752893</v>
      </c>
      <c r="Y244" s="5">
        <v>3668.2621004823491</v>
      </c>
      <c r="Z244" s="5">
        <f t="shared" ref="Z244:AA244" si="95">Z243+0.0002</f>
        <v>1E-3</v>
      </c>
      <c r="AA244" s="5">
        <f t="shared" si="95"/>
        <v>1.2000000000000001E-3</v>
      </c>
      <c r="AB244" s="4">
        <v>2</v>
      </c>
    </row>
    <row r="248" spans="1:28" x14ac:dyDescent="0.25">
      <c r="A248" s="15" t="s">
        <v>252</v>
      </c>
      <c r="C248" s="10" t="s">
        <v>27</v>
      </c>
      <c r="D248" s="10" t="s">
        <v>28</v>
      </c>
      <c r="E248" s="10" t="s">
        <v>29</v>
      </c>
      <c r="F248" s="10" t="s">
        <v>30</v>
      </c>
      <c r="G248" s="10" t="s">
        <v>31</v>
      </c>
      <c r="H248" s="10" t="s">
        <v>47</v>
      </c>
      <c r="I248" s="10" t="s">
        <v>32</v>
      </c>
      <c r="J248" s="10" t="s">
        <v>33</v>
      </c>
      <c r="K248" s="10" t="s">
        <v>34</v>
      </c>
      <c r="L248" s="10" t="s">
        <v>35</v>
      </c>
      <c r="M248" s="10" t="s">
        <v>36</v>
      </c>
      <c r="N248" s="10" t="s">
        <v>37</v>
      </c>
      <c r="O248" s="10" t="s">
        <v>38</v>
      </c>
      <c r="P248" s="10" t="s">
        <v>39</v>
      </c>
      <c r="Q248" s="10" t="s">
        <v>40</v>
      </c>
      <c r="R248" s="10" t="s">
        <v>41</v>
      </c>
      <c r="S248" s="10" t="s">
        <v>42</v>
      </c>
      <c r="T248" s="10" t="s">
        <v>102</v>
      </c>
      <c r="U248" s="10" t="s">
        <v>77</v>
      </c>
      <c r="V248" s="10" t="s">
        <v>78</v>
      </c>
      <c r="W248" s="10" t="s">
        <v>79</v>
      </c>
      <c r="X248" s="10" t="s">
        <v>80</v>
      </c>
      <c r="Y248" s="10" t="s">
        <v>43</v>
      </c>
      <c r="Z248" s="10" t="s">
        <v>44</v>
      </c>
      <c r="AA248" s="10" t="s">
        <v>45</v>
      </c>
      <c r="AB248" s="10" t="s">
        <v>46</v>
      </c>
    </row>
    <row r="249" spans="1:28" x14ac:dyDescent="0.25">
      <c r="A249" s="12" t="s">
        <v>135</v>
      </c>
      <c r="B249" t="s">
        <v>183</v>
      </c>
      <c r="C249" s="11">
        <v>1</v>
      </c>
      <c r="D249" s="5">
        <v>130932427554.96516</v>
      </c>
      <c r="E249" s="5">
        <v>130932427554.96516</v>
      </c>
      <c r="F249" s="5">
        <v>0.32725091817555779</v>
      </c>
      <c r="G249" s="5">
        <v>0</v>
      </c>
      <c r="H249" s="5">
        <v>48882156953.70713</v>
      </c>
      <c r="I249" s="5">
        <v>50584732847.685356</v>
      </c>
      <c r="J249" s="5">
        <v>50584732847.685356</v>
      </c>
      <c r="K249" s="5">
        <v>-4.1285150947491886E-11</v>
      </c>
      <c r="L249" s="5">
        <v>-4.1285150947491886E-11</v>
      </c>
      <c r="M249" s="5">
        <v>0</v>
      </c>
      <c r="N249" s="5">
        <v>2.0000000000000001E-4</v>
      </c>
      <c r="O249" s="5">
        <v>63.390739314413409</v>
      </c>
      <c r="P249" s="5">
        <v>63.390739314413409</v>
      </c>
      <c r="Q249" s="5">
        <v>7.662515024718643E-9</v>
      </c>
      <c r="R249" s="5">
        <v>0</v>
      </c>
      <c r="S249" s="5">
        <v>7.705954768291235E-5</v>
      </c>
      <c r="T249" s="5">
        <v>1.2697537946989113E-5</v>
      </c>
      <c r="U249" s="5">
        <v>1.2697537946989113E-5</v>
      </c>
      <c r="V249" s="5">
        <v>0</v>
      </c>
      <c r="W249" s="5">
        <v>0</v>
      </c>
      <c r="X249" s="5">
        <v>2.7994783443670843</v>
      </c>
      <c r="Y249" s="5">
        <v>5426.0559602622034</v>
      </c>
      <c r="Z249" s="5">
        <v>-1.1999999999999999E-3</v>
      </c>
      <c r="AA249" s="5">
        <v>-1E-3</v>
      </c>
      <c r="AB249" s="4">
        <v>2</v>
      </c>
    </row>
    <row r="250" spans="1:28" x14ac:dyDescent="0.25">
      <c r="C250" s="4">
        <v>2</v>
      </c>
      <c r="D250" s="5">
        <v>119183313277.24106</v>
      </c>
      <c r="E250" s="5">
        <v>119183313277.24106</v>
      </c>
      <c r="F250" s="5">
        <v>0.30246522634216844</v>
      </c>
      <c r="G250" s="5">
        <v>0</v>
      </c>
      <c r="H250" s="5">
        <v>44795452535.362633</v>
      </c>
      <c r="I250" s="5">
        <v>47911647626.768135</v>
      </c>
      <c r="J250" s="5">
        <v>47911647626.768135</v>
      </c>
      <c r="K250" s="5">
        <v>-4.9679474512502318E-11</v>
      </c>
      <c r="L250" s="5">
        <v>-4.9679474512502318E-11</v>
      </c>
      <c r="M250" s="5">
        <v>0</v>
      </c>
      <c r="N250" s="5">
        <v>2.0000000000000001E-4</v>
      </c>
      <c r="O250" s="5">
        <v>41.912634228317827</v>
      </c>
      <c r="P250" s="5">
        <v>41.912634228317827</v>
      </c>
      <c r="Q250" s="5">
        <v>9.1974131114102408E-9</v>
      </c>
      <c r="R250" s="5">
        <v>0</v>
      </c>
      <c r="S250" s="5">
        <v>5.3753668558192272E-5</v>
      </c>
      <c r="T250" s="5">
        <v>1.2796847545702748E-5</v>
      </c>
      <c r="U250" s="5">
        <v>1.2796847545702748E-5</v>
      </c>
      <c r="V250" s="5">
        <v>0</v>
      </c>
      <c r="W250" s="5">
        <v>0</v>
      </c>
      <c r="X250" s="5">
        <v>2.7480777687705129</v>
      </c>
      <c r="Y250" s="5">
        <v>5213.6269776932231</v>
      </c>
      <c r="Z250" s="5">
        <f t="shared" ref="Z250:AA250" si="96">Z249+0.0002</f>
        <v>-9.999999999999998E-4</v>
      </c>
      <c r="AA250" s="5">
        <f t="shared" si="96"/>
        <v>-8.0000000000000004E-4</v>
      </c>
      <c r="AB250" s="4">
        <v>2</v>
      </c>
    </row>
    <row r="251" spans="1:28" x14ac:dyDescent="0.25">
      <c r="C251" s="4">
        <v>3</v>
      </c>
      <c r="D251" s="5">
        <v>109697008467.53339</v>
      </c>
      <c r="E251" s="5">
        <v>109697008467.53339</v>
      </c>
      <c r="F251" s="5">
        <v>0.28127674108519879</v>
      </c>
      <c r="G251" s="5">
        <v>0</v>
      </c>
      <c r="H251" s="5">
        <v>41418844690.268448</v>
      </c>
      <c r="I251" s="5">
        <v>45274067234.51342</v>
      </c>
      <c r="J251" s="5">
        <v>45274067234.51342</v>
      </c>
      <c r="K251" s="5">
        <v>-5.3349410723706493E-11</v>
      </c>
      <c r="L251" s="5">
        <v>-5.3349410723706493E-11</v>
      </c>
      <c r="M251" s="5">
        <v>0</v>
      </c>
      <c r="N251" s="5">
        <v>2.0000000000000001E-4</v>
      </c>
      <c r="O251" s="5">
        <v>28.626768829287492</v>
      </c>
      <c r="P251" s="5">
        <v>28.626768829287492</v>
      </c>
      <c r="Q251" s="5">
        <v>9.8658421544662349E-9</v>
      </c>
      <c r="R251" s="5">
        <v>0</v>
      </c>
      <c r="S251" s="5">
        <v>3.9146472455788482E-5</v>
      </c>
      <c r="T251" s="5">
        <v>1.2558861272122486E-5</v>
      </c>
      <c r="U251" s="5">
        <v>1.2558861272122486E-5</v>
      </c>
      <c r="V251" s="5">
        <v>0</v>
      </c>
      <c r="W251" s="5">
        <v>0</v>
      </c>
      <c r="X251" s="5">
        <v>2.6552548930676743</v>
      </c>
      <c r="Y251" s="5">
        <v>4971.6106379054818</v>
      </c>
      <c r="Z251" s="5">
        <f t="shared" ref="Z251:AA251" si="97">Z250+0.0002</f>
        <v>-7.9999999999999982E-4</v>
      </c>
      <c r="AA251" s="5">
        <f t="shared" si="97"/>
        <v>-6.0000000000000006E-4</v>
      </c>
      <c r="AB251" s="4">
        <v>2</v>
      </c>
    </row>
    <row r="252" spans="1:28" x14ac:dyDescent="0.25">
      <c r="C252" s="4">
        <v>4</v>
      </c>
      <c r="D252" s="5">
        <v>100979375727.22226</v>
      </c>
      <c r="E252" s="5">
        <v>100979375727.22226</v>
      </c>
      <c r="F252" s="5">
        <v>0.26131022005554311</v>
      </c>
      <c r="G252" s="5">
        <v>0</v>
      </c>
      <c r="H252" s="5">
        <v>38283455299.554413</v>
      </c>
      <c r="I252" s="5">
        <v>42648547764.977722</v>
      </c>
      <c r="J252" s="5">
        <v>42648547764.977722</v>
      </c>
      <c r="K252" s="5">
        <v>-5.5414481542923221E-11</v>
      </c>
      <c r="L252" s="5">
        <v>-5.5414481542923221E-11</v>
      </c>
      <c r="M252" s="5">
        <v>0</v>
      </c>
      <c r="N252" s="5">
        <v>2.0000000000000001E-4</v>
      </c>
      <c r="O252" s="5">
        <v>18.123791659361544</v>
      </c>
      <c r="P252" s="5">
        <v>18.123791659361544</v>
      </c>
      <c r="Q252" s="5">
        <v>1.0239933312581673E-8</v>
      </c>
      <c r="R252" s="5">
        <v>0</v>
      </c>
      <c r="S252" s="5">
        <v>2.7494202419541596E-5</v>
      </c>
      <c r="T252" s="5">
        <v>1.2206296232711653E-5</v>
      </c>
      <c r="U252" s="5">
        <v>1.2206296232711653E-5</v>
      </c>
      <c r="V252" s="5">
        <v>0</v>
      </c>
      <c r="W252" s="5">
        <v>0</v>
      </c>
      <c r="X252" s="5">
        <v>2.5483609408593262</v>
      </c>
      <c r="Y252" s="5">
        <v>4719.5435291852327</v>
      </c>
      <c r="Z252" s="5">
        <f t="shared" ref="Z252:AA252" si="98">Z251+0.0002</f>
        <v>-5.9999999999999984E-4</v>
      </c>
      <c r="AA252" s="5">
        <f t="shared" si="98"/>
        <v>-4.0000000000000007E-4</v>
      </c>
      <c r="AB252" s="4">
        <v>2</v>
      </c>
    </row>
    <row r="253" spans="1:28" x14ac:dyDescent="0.25">
      <c r="C253" s="4">
        <v>5</v>
      </c>
      <c r="D253" s="5">
        <v>92666198993.3414</v>
      </c>
      <c r="E253" s="5">
        <v>92666198993.3414</v>
      </c>
      <c r="F253" s="5">
        <v>0.24198666602190178</v>
      </c>
      <c r="G253" s="5">
        <v>0</v>
      </c>
      <c r="H253" s="5">
        <v>35274989022.896645</v>
      </c>
      <c r="I253" s="5">
        <v>40029374451.144829</v>
      </c>
      <c r="J253" s="5">
        <v>40029374451.144829</v>
      </c>
      <c r="K253" s="5">
        <v>-5.6635112355608978E-11</v>
      </c>
      <c r="L253" s="5">
        <v>-5.6635112355608978E-11</v>
      </c>
      <c r="M253" s="5">
        <v>0</v>
      </c>
      <c r="N253" s="5">
        <v>2.0000000000000001E-4</v>
      </c>
      <c r="O253" s="5">
        <v>9.0851006321193122</v>
      </c>
      <c r="P253" s="5">
        <v>9.0851006321193122</v>
      </c>
      <c r="Q253" s="5">
        <v>1.0459151241626033E-8</v>
      </c>
      <c r="R253" s="5">
        <v>0</v>
      </c>
      <c r="S253" s="5">
        <v>1.7396740530483909E-5</v>
      </c>
      <c r="T253" s="5">
        <v>1.1793442714124092E-5</v>
      </c>
      <c r="U253" s="5">
        <v>1.1793442714124092E-5</v>
      </c>
      <c r="V253" s="5">
        <v>0</v>
      </c>
      <c r="W253" s="5">
        <v>0</v>
      </c>
      <c r="X253" s="5">
        <v>2.4340631403310291</v>
      </c>
      <c r="Y253" s="5">
        <v>4462.1879573793067</v>
      </c>
      <c r="Z253" s="5">
        <f t="shared" ref="Z253:AA253" si="99">Z252+0.0002</f>
        <v>-3.9999999999999986E-4</v>
      </c>
      <c r="AA253" s="5">
        <f t="shared" si="99"/>
        <v>-2.0000000000000006E-4</v>
      </c>
      <c r="AB253" s="4">
        <v>2</v>
      </c>
    </row>
    <row r="254" spans="1:28" x14ac:dyDescent="0.25">
      <c r="C254" s="4">
        <v>6</v>
      </c>
      <c r="D254" s="5">
        <v>84606653600.834946</v>
      </c>
      <c r="E254" s="5">
        <v>84606653600.834946</v>
      </c>
      <c r="F254" s="5">
        <v>0.22306631179013242</v>
      </c>
      <c r="G254" s="5">
        <v>0</v>
      </c>
      <c r="H254" s="5">
        <v>32346115283.270607</v>
      </c>
      <c r="I254" s="5">
        <v>37414180764.163528</v>
      </c>
      <c r="J254" s="5">
        <v>37414180764.163528</v>
      </c>
      <c r="K254" s="5">
        <v>-5.7326201146018945E-11</v>
      </c>
      <c r="L254" s="5">
        <v>-5.7326201146018945E-11</v>
      </c>
      <c r="M254" s="5">
        <v>0</v>
      </c>
      <c r="N254" s="5">
        <v>2.0000000000000001E-4</v>
      </c>
      <c r="O254" s="5">
        <v>0.96465251045962574</v>
      </c>
      <c r="P254" s="5">
        <v>0.96465251045962574</v>
      </c>
      <c r="Q254" s="5">
        <v>1.0581249325229162E-8</v>
      </c>
      <c r="R254" s="5">
        <v>0</v>
      </c>
      <c r="S254" s="5">
        <v>8.2742872200649576E-6</v>
      </c>
      <c r="T254" s="5">
        <v>1.134278274044646E-5</v>
      </c>
      <c r="U254" s="5">
        <v>1.134278274044646E-5</v>
      </c>
      <c r="V254" s="5">
        <v>0</v>
      </c>
      <c r="W254" s="5">
        <v>0</v>
      </c>
      <c r="X254" s="5">
        <v>2.3151224418092147</v>
      </c>
      <c r="Y254" s="5">
        <v>4201.5160298637247</v>
      </c>
      <c r="Z254" s="5">
        <f t="shared" ref="Z254:AA254" si="100">Z253+0.0002</f>
        <v>-1.9999999999999985E-4</v>
      </c>
      <c r="AA254" s="5">
        <f t="shared" si="100"/>
        <v>0</v>
      </c>
      <c r="AB254" s="4">
        <v>2</v>
      </c>
    </row>
    <row r="255" spans="1:28" x14ac:dyDescent="0.25">
      <c r="C255" s="4">
        <v>7</v>
      </c>
      <c r="D255" s="5">
        <v>76722598655.044128</v>
      </c>
      <c r="E255" s="5">
        <v>76722598655.044128</v>
      </c>
      <c r="F255" s="5">
        <v>0.20442493614579915</v>
      </c>
      <c r="G255" s="5">
        <v>0</v>
      </c>
      <c r="H255" s="5">
        <v>29472312536.855576</v>
      </c>
      <c r="I255" s="5">
        <v>34801740626.842781</v>
      </c>
      <c r="J255" s="5">
        <v>34801740626.842781</v>
      </c>
      <c r="K255" s="5">
        <v>-5.7650893711339791E-11</v>
      </c>
      <c r="L255" s="5">
        <v>-5.7650893711339791E-11</v>
      </c>
      <c r="M255" s="5">
        <v>0</v>
      </c>
      <c r="N255" s="5">
        <v>2.0000000000000001E-4</v>
      </c>
      <c r="O255" s="5">
        <v>-6.520452767445402</v>
      </c>
      <c r="P255" s="5">
        <v>-6.520452767445402</v>
      </c>
      <c r="Q255" s="5">
        <v>1.0636149069032978E-8</v>
      </c>
      <c r="R255" s="5">
        <v>0</v>
      </c>
      <c r="S255" s="5">
        <v>-1.7354642351917747E-7</v>
      </c>
      <c r="T255" s="5">
        <v>1.08659640449936E-5</v>
      </c>
      <c r="U255" s="5">
        <v>1.08659640449936E-5</v>
      </c>
      <c r="V255" s="5">
        <v>0</v>
      </c>
      <c r="W255" s="5">
        <v>0</v>
      </c>
      <c r="X255" s="5">
        <v>2.192969268683425</v>
      </c>
      <c r="Y255" s="5">
        <v>3938.5494776310179</v>
      </c>
      <c r="Z255" s="5">
        <f t="shared" ref="Z255:AA255" si="101">Z254+0.0002</f>
        <v>0</v>
      </c>
      <c r="AA255" s="5">
        <f t="shared" si="101"/>
        <v>2.0000000000000001E-4</v>
      </c>
      <c r="AB255" s="4">
        <v>2</v>
      </c>
    </row>
    <row r="256" spans="1:28" x14ac:dyDescent="0.25">
      <c r="C256" s="4">
        <v>8</v>
      </c>
      <c r="D256" s="5">
        <v>68967936474.204712</v>
      </c>
      <c r="E256" s="5">
        <v>68967936474.204712</v>
      </c>
      <c r="F256" s="5">
        <v>0.18598925723006948</v>
      </c>
      <c r="G256" s="5">
        <v>0</v>
      </c>
      <c r="H256" s="5">
        <v>26639114781.843521</v>
      </c>
      <c r="I256" s="5">
        <v>32191330739.092178</v>
      </c>
      <c r="J256" s="5">
        <v>32191330739.092178</v>
      </c>
      <c r="K256" s="5">
        <v>-5.7705434701350894E-11</v>
      </c>
      <c r="L256" s="5">
        <v>-5.7705434701350894E-11</v>
      </c>
      <c r="M256" s="5">
        <v>0</v>
      </c>
      <c r="N256" s="5">
        <v>2.0000000000000001E-4</v>
      </c>
      <c r="O256" s="5">
        <v>-13.537106521155941</v>
      </c>
      <c r="P256" s="5">
        <v>-13.537106521155941</v>
      </c>
      <c r="Q256" s="5">
        <v>1.0641502075965886E-8</v>
      </c>
      <c r="R256" s="5">
        <v>0</v>
      </c>
      <c r="S256" s="5">
        <v>-8.1239689224168852E-6</v>
      </c>
      <c r="T256" s="5">
        <v>1.0369857978624328E-5</v>
      </c>
      <c r="U256" s="5">
        <v>1.0369857978624328E-5</v>
      </c>
      <c r="V256" s="5">
        <v>0</v>
      </c>
      <c r="W256" s="5">
        <v>0</v>
      </c>
      <c r="X256" s="5">
        <v>2.0684474710591281</v>
      </c>
      <c r="Y256" s="5">
        <v>3673.8910507565197</v>
      </c>
      <c r="Z256" s="5">
        <f t="shared" ref="Z256:AA256" si="102">Z255+0.0002</f>
        <v>2.0000000000000001E-4</v>
      </c>
      <c r="AA256" s="5">
        <f t="shared" si="102"/>
        <v>4.0000000000000002E-4</v>
      </c>
      <c r="AB256" s="4">
        <v>2</v>
      </c>
    </row>
    <row r="257" spans="1:28" x14ac:dyDescent="0.25">
      <c r="C257" s="4">
        <v>9</v>
      </c>
      <c r="D257" s="5">
        <v>61313033087.849754</v>
      </c>
      <c r="E257" s="5">
        <v>61313033087.849754</v>
      </c>
      <c r="F257" s="5">
        <v>0.16771216567958094</v>
      </c>
      <c r="G257" s="5">
        <v>0</v>
      </c>
      <c r="H257" s="5">
        <v>23837222525.202522</v>
      </c>
      <c r="I257" s="5">
        <v>29582486126.260124</v>
      </c>
      <c r="J257" s="5">
        <v>29582486126.260124</v>
      </c>
      <c r="K257" s="5">
        <v>-5.7551695147306075E-11</v>
      </c>
      <c r="L257" s="5">
        <v>-5.7551695147306075E-11</v>
      </c>
      <c r="M257" s="5">
        <v>0</v>
      </c>
      <c r="N257" s="5">
        <v>2.0000000000000001E-4</v>
      </c>
      <c r="O257" s="5">
        <v>-20.192595109676546</v>
      </c>
      <c r="P257" s="5">
        <v>-20.192595109676546</v>
      </c>
      <c r="Q257" s="5">
        <v>1.0608655707974412E-8</v>
      </c>
      <c r="R257" s="5">
        <v>0</v>
      </c>
      <c r="S257" s="5">
        <v>-1.5690899066269127E-5</v>
      </c>
      <c r="T257" s="5">
        <v>9.8588818005288016E-6</v>
      </c>
      <c r="U257" s="5">
        <v>9.8588818005288016E-6</v>
      </c>
      <c r="V257" s="5">
        <v>0</v>
      </c>
      <c r="W257" s="5">
        <v>0</v>
      </c>
      <c r="X257" s="5">
        <v>1.9420995193631867</v>
      </c>
      <c r="Y257" s="5">
        <v>3407.9282281165615</v>
      </c>
      <c r="Z257" s="5">
        <f t="shared" ref="Z257:AA257" si="103">Z256+0.0002</f>
        <v>4.0000000000000002E-4</v>
      </c>
      <c r="AA257" s="5">
        <f t="shared" si="103"/>
        <v>6.0000000000000006E-4</v>
      </c>
      <c r="AB257" s="4">
        <v>2</v>
      </c>
    </row>
    <row r="258" spans="1:28" x14ac:dyDescent="0.25">
      <c r="C258" s="4">
        <v>10</v>
      </c>
      <c r="D258" s="5">
        <v>53737632080.102287</v>
      </c>
      <c r="E258" s="5">
        <v>53737632080.102287</v>
      </c>
      <c r="F258" s="5">
        <v>0.1495614597056113</v>
      </c>
      <c r="G258" s="5">
        <v>0</v>
      </c>
      <c r="H258" s="5">
        <v>21060279062.26791</v>
      </c>
      <c r="I258" s="5">
        <v>26974888953.113392</v>
      </c>
      <c r="J258" s="5">
        <v>26974888953.113392</v>
      </c>
      <c r="K258" s="5">
        <v>-5.7231967233481257E-11</v>
      </c>
      <c r="L258" s="5">
        <v>-5.7231967233481257E-11</v>
      </c>
      <c r="M258" s="5">
        <v>0</v>
      </c>
      <c r="N258" s="5">
        <v>2.0000000000000001E-4</v>
      </c>
      <c r="O258" s="5">
        <v>-26.560254541367996</v>
      </c>
      <c r="P258" s="5">
        <v>-26.560254541367996</v>
      </c>
      <c r="Q258" s="5">
        <v>1.0545366498492108E-8</v>
      </c>
      <c r="R258" s="5">
        <v>0</v>
      </c>
      <c r="S258" s="5">
        <v>-2.2952206487218057E-5</v>
      </c>
      <c r="T258" s="5">
        <v>9.3360549454227404E-6</v>
      </c>
      <c r="U258" s="5">
        <v>9.3360549454227404E-6</v>
      </c>
      <c r="V258" s="5">
        <v>0</v>
      </c>
      <c r="W258" s="5">
        <v>0</v>
      </c>
      <c r="X258" s="5">
        <v>1.814296221367705</v>
      </c>
      <c r="Y258" s="5">
        <v>3140.925872405503</v>
      </c>
      <c r="Z258" s="5">
        <f t="shared" ref="Z258:AA258" si="104">Z257+0.0002</f>
        <v>6.0000000000000006E-4</v>
      </c>
      <c r="AA258" s="5">
        <f t="shared" si="104"/>
        <v>8.0000000000000004E-4</v>
      </c>
      <c r="AB258" s="4">
        <v>2</v>
      </c>
    </row>
    <row r="259" spans="1:28" x14ac:dyDescent="0.25">
      <c r="C259" s="4">
        <v>11</v>
      </c>
      <c r="D259" s="5">
        <v>46227232534.333572</v>
      </c>
      <c r="E259" s="5">
        <v>46227232534.333572</v>
      </c>
      <c r="F259" s="5">
        <v>0.13151408708330559</v>
      </c>
      <c r="G259" s="5">
        <v>0</v>
      </c>
      <c r="H259" s="5">
        <v>18303733832.617981</v>
      </c>
      <c r="I259" s="5">
        <v>24368311691.630898</v>
      </c>
      <c r="J259" s="5">
        <v>24368311691.630898</v>
      </c>
      <c r="K259" s="5">
        <v>-5.6776526574375898E-11</v>
      </c>
      <c r="L259" s="5">
        <v>-5.6776526574375898E-11</v>
      </c>
      <c r="M259" s="5">
        <v>0</v>
      </c>
      <c r="N259" s="5">
        <v>2.0000000000000001E-4</v>
      </c>
      <c r="O259" s="5">
        <v>-32.692583705944045</v>
      </c>
      <c r="P259" s="5">
        <v>-32.692583705944045</v>
      </c>
      <c r="Q259" s="5">
        <v>1.0457187100334301E-8</v>
      </c>
      <c r="R259" s="5">
        <v>0</v>
      </c>
      <c r="S259" s="5">
        <v>-2.9963635550429705E-5</v>
      </c>
      <c r="T259" s="5">
        <v>8.8035389295064568E-6</v>
      </c>
      <c r="U259" s="5">
        <v>8.8035389295064568E-6</v>
      </c>
      <c r="V259" s="5">
        <v>0</v>
      </c>
      <c r="W259" s="5">
        <v>0</v>
      </c>
      <c r="X259" s="5">
        <v>1.6853030264306179</v>
      </c>
      <c r="Y259" s="5">
        <v>2873.0735903075838</v>
      </c>
      <c r="Z259" s="5">
        <f t="shared" ref="Z259:AA259" si="105">Z258+0.0002</f>
        <v>8.0000000000000004E-4</v>
      </c>
      <c r="AA259" s="5">
        <f t="shared" si="105"/>
        <v>1E-3</v>
      </c>
      <c r="AB259" s="4">
        <v>2</v>
      </c>
    </row>
    <row r="260" spans="1:28" x14ac:dyDescent="0.25">
      <c r="B260" t="s">
        <v>187</v>
      </c>
      <c r="C260" s="11">
        <v>12</v>
      </c>
      <c r="D260" s="5">
        <v>38771072437.809769</v>
      </c>
      <c r="E260" s="5">
        <v>38771072437.809769</v>
      </c>
      <c r="F260" s="5">
        <v>0.1135529393536755</v>
      </c>
      <c r="G260" s="5">
        <v>0</v>
      </c>
      <c r="H260" s="5">
        <v>15564209588.423611</v>
      </c>
      <c r="I260" s="5">
        <v>21762585479.421177</v>
      </c>
      <c r="J260" s="5">
        <v>21762585479.421177</v>
      </c>
      <c r="K260" s="5">
        <v>-5.6207842546037665E-11</v>
      </c>
      <c r="L260" s="5">
        <v>-5.6207842546037665E-11</v>
      </c>
      <c r="M260" s="5">
        <v>0</v>
      </c>
      <c r="N260" s="5">
        <v>2.0000000000000001E-4</v>
      </c>
      <c r="O260" s="5">
        <v>-38.628545224463494</v>
      </c>
      <c r="P260" s="5">
        <v>-38.628545224463494</v>
      </c>
      <c r="Q260" s="5">
        <v>1.0348238475081213E-8</v>
      </c>
      <c r="R260" s="5">
        <v>0</v>
      </c>
      <c r="S260" s="5">
        <v>-3.6766557541810741E-5</v>
      </c>
      <c r="T260" s="5">
        <v>8.2629379454987788E-6</v>
      </c>
      <c r="U260" s="5">
        <v>8.2629379454987788E-6</v>
      </c>
      <c r="V260" s="5">
        <v>0</v>
      </c>
      <c r="W260" s="5">
        <v>0</v>
      </c>
      <c r="X260" s="5">
        <v>1.5553169406752894</v>
      </c>
      <c r="Y260" s="5">
        <v>2604.5121004823491</v>
      </c>
      <c r="Z260" s="5">
        <f t="shared" ref="Z260:AA260" si="106">Z259+0.0002</f>
        <v>1E-3</v>
      </c>
      <c r="AA260" s="5">
        <f t="shared" si="106"/>
        <v>1.2000000000000001E-3</v>
      </c>
      <c r="AB260" s="4">
        <v>2</v>
      </c>
    </row>
    <row r="261" spans="1:28" x14ac:dyDescent="0.25">
      <c r="C261" s="11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4"/>
    </row>
    <row r="262" spans="1:28" x14ac:dyDescent="0.25">
      <c r="C262" s="11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4"/>
    </row>
    <row r="263" spans="1:28" x14ac:dyDescent="0.25">
      <c r="A263" s="15" t="s">
        <v>253</v>
      </c>
      <c r="C263" s="10" t="s">
        <v>27</v>
      </c>
      <c r="D263" s="10" t="s">
        <v>28</v>
      </c>
      <c r="E263" s="10" t="s">
        <v>29</v>
      </c>
      <c r="F263" s="10" t="s">
        <v>30</v>
      </c>
      <c r="G263" s="10" t="s">
        <v>31</v>
      </c>
      <c r="H263" s="10" t="s">
        <v>47</v>
      </c>
      <c r="I263" s="10" t="s">
        <v>32</v>
      </c>
      <c r="J263" s="10" t="s">
        <v>33</v>
      </c>
      <c r="K263" s="10" t="s">
        <v>34</v>
      </c>
      <c r="L263" s="10" t="s">
        <v>35</v>
      </c>
      <c r="M263" s="10" t="s">
        <v>36</v>
      </c>
      <c r="N263" s="10" t="s">
        <v>37</v>
      </c>
      <c r="O263" s="10" t="s">
        <v>38</v>
      </c>
      <c r="P263" s="10" t="s">
        <v>39</v>
      </c>
      <c r="Q263" s="10" t="s">
        <v>40</v>
      </c>
      <c r="R263" s="10" t="s">
        <v>41</v>
      </c>
      <c r="S263" s="10" t="s">
        <v>42</v>
      </c>
      <c r="T263" s="10" t="s">
        <v>102</v>
      </c>
      <c r="U263" s="10" t="s">
        <v>77</v>
      </c>
      <c r="V263" s="10" t="s">
        <v>78</v>
      </c>
      <c r="W263" s="10" t="s">
        <v>79</v>
      </c>
      <c r="X263" s="10" t="s">
        <v>80</v>
      </c>
      <c r="Y263" s="10" t="s">
        <v>43</v>
      </c>
      <c r="Z263" s="10" t="s">
        <v>44</v>
      </c>
      <c r="AA263" s="10" t="s">
        <v>45</v>
      </c>
      <c r="AB263" s="10" t="s">
        <v>46</v>
      </c>
    </row>
    <row r="264" spans="1:28" x14ac:dyDescent="0.25">
      <c r="A264" s="12" t="s">
        <v>81</v>
      </c>
      <c r="B264" t="s">
        <v>183</v>
      </c>
      <c r="C264" s="11">
        <v>1</v>
      </c>
      <c r="D264" s="5">
        <v>129803668823.54073</v>
      </c>
      <c r="E264" s="5">
        <v>129803668823.54073</v>
      </c>
      <c r="F264" s="5">
        <v>0.32443851634088239</v>
      </c>
      <c r="G264" s="5">
        <v>0</v>
      </c>
      <c r="H264" s="5">
        <v>48461323620.373802</v>
      </c>
      <c r="I264" s="5">
        <v>50152232847.685364</v>
      </c>
      <c r="J264" s="5">
        <v>50152232847.685364</v>
      </c>
      <c r="K264" s="5">
        <v>-4.0952492860424835E-11</v>
      </c>
      <c r="L264" s="5">
        <v>-4.0952492860424835E-11</v>
      </c>
      <c r="M264" s="5">
        <v>0</v>
      </c>
      <c r="N264" s="5">
        <v>2.0000000000000001E-4</v>
      </c>
      <c r="O264" s="5">
        <v>62.813899487573586</v>
      </c>
      <c r="P264" s="5">
        <v>62.813899487573586</v>
      </c>
      <c r="Q264" s="5">
        <v>7.6007293765704941E-9</v>
      </c>
      <c r="R264" s="5">
        <v>0</v>
      </c>
      <c r="S264" s="5">
        <v>7.6363714349579015E-5</v>
      </c>
      <c r="T264" s="5">
        <v>1.259045461365578E-5</v>
      </c>
      <c r="U264" s="5">
        <v>1.259045461365578E-5</v>
      </c>
      <c r="V264" s="5">
        <v>0</v>
      </c>
      <c r="W264" s="5">
        <v>0</v>
      </c>
      <c r="X264" s="5">
        <v>2.7757283443670846</v>
      </c>
      <c r="Y264" s="5">
        <v>5379.8059602622034</v>
      </c>
      <c r="Z264" s="5">
        <v>-1.1999999999999999E-3</v>
      </c>
      <c r="AA264" s="5">
        <v>-1E-3</v>
      </c>
      <c r="AB264" s="4">
        <v>2</v>
      </c>
    </row>
    <row r="265" spans="1:28" x14ac:dyDescent="0.25">
      <c r="C265" s="4">
        <v>2</v>
      </c>
      <c r="D265" s="5">
        <v>115797037082.96776</v>
      </c>
      <c r="E265" s="5">
        <v>115797037082.96776</v>
      </c>
      <c r="F265" s="5">
        <v>0.29402802083814217</v>
      </c>
      <c r="G265" s="5">
        <v>0</v>
      </c>
      <c r="H265" s="5">
        <v>43532952535.362633</v>
      </c>
      <c r="I265" s="5">
        <v>46614147626.768135</v>
      </c>
      <c r="J265" s="5">
        <v>46614147626.768135</v>
      </c>
      <c r="K265" s="5">
        <v>-4.8681500251301173E-11</v>
      </c>
      <c r="L265" s="5">
        <v>-4.8681500251301173E-11</v>
      </c>
      <c r="M265" s="5">
        <v>0</v>
      </c>
      <c r="N265" s="5">
        <v>2.0000000000000001E-4</v>
      </c>
      <c r="O265" s="5">
        <v>40.182114747798352</v>
      </c>
      <c r="P265" s="5">
        <v>40.182114747798352</v>
      </c>
      <c r="Q265" s="5">
        <v>9.0120561669657957E-9</v>
      </c>
      <c r="R265" s="5">
        <v>0</v>
      </c>
      <c r="S265" s="5">
        <v>5.1666168558192269E-5</v>
      </c>
      <c r="T265" s="5">
        <v>1.2475597545702748E-5</v>
      </c>
      <c r="U265" s="5">
        <v>1.2475597545702748E-5</v>
      </c>
      <c r="V265" s="5">
        <v>0</v>
      </c>
      <c r="W265" s="5">
        <v>0</v>
      </c>
      <c r="X265" s="5">
        <v>2.6768277687705129</v>
      </c>
      <c r="Y265" s="5">
        <v>5074.8769776932231</v>
      </c>
      <c r="Z265" s="5">
        <f t="shared" ref="Z265:AA265" si="107">Z264+0.0002</f>
        <v>-9.999999999999998E-4</v>
      </c>
      <c r="AA265" s="5">
        <f t="shared" si="107"/>
        <v>-8.0000000000000004E-4</v>
      </c>
      <c r="AB265" s="4">
        <v>2</v>
      </c>
    </row>
    <row r="266" spans="1:28" x14ac:dyDescent="0.25">
      <c r="C266" s="4">
        <v>3</v>
      </c>
      <c r="D266" s="5">
        <v>104053214810.41121</v>
      </c>
      <c r="E266" s="5">
        <v>104053214810.41121</v>
      </c>
      <c r="F266" s="5">
        <v>0.26721473191182166</v>
      </c>
      <c r="G266" s="5">
        <v>0</v>
      </c>
      <c r="H266" s="5">
        <v>39314678023.601784</v>
      </c>
      <c r="I266" s="5">
        <v>43111567234.51342</v>
      </c>
      <c r="J266" s="5">
        <v>43111567234.51342</v>
      </c>
      <c r="K266" s="5">
        <v>-5.1686120288371253E-11</v>
      </c>
      <c r="L266" s="5">
        <v>-5.1686120288371253E-11</v>
      </c>
      <c r="M266" s="5">
        <v>0</v>
      </c>
      <c r="N266" s="5">
        <v>2.0000000000000001E-4</v>
      </c>
      <c r="O266" s="5">
        <v>25.742569695088356</v>
      </c>
      <c r="P266" s="5">
        <v>25.742569695088356</v>
      </c>
      <c r="Q266" s="5">
        <v>9.5569139137254938E-9</v>
      </c>
      <c r="R266" s="5">
        <v>0</v>
      </c>
      <c r="S266" s="5">
        <v>3.5667305789121816E-5</v>
      </c>
      <c r="T266" s="5">
        <v>1.202344460545582E-5</v>
      </c>
      <c r="U266" s="5">
        <v>1.202344460545582E-5</v>
      </c>
      <c r="V266" s="5">
        <v>0</v>
      </c>
      <c r="W266" s="5">
        <v>0</v>
      </c>
      <c r="X266" s="5">
        <v>2.5365048930676739</v>
      </c>
      <c r="Y266" s="5">
        <v>4740.3606379054818</v>
      </c>
      <c r="Z266" s="5">
        <f t="shared" ref="Z266:AA266" si="108">Z265+0.0002</f>
        <v>-7.9999999999999982E-4</v>
      </c>
      <c r="AA266" s="5">
        <f t="shared" si="108"/>
        <v>-6.0000000000000006E-4</v>
      </c>
      <c r="AB266" s="4">
        <v>2</v>
      </c>
    </row>
    <row r="267" spans="1:28" x14ac:dyDescent="0.25">
      <c r="C267" s="4">
        <v>4</v>
      </c>
      <c r="D267" s="5">
        <v>93078064607.251205</v>
      </c>
      <c r="E267" s="5">
        <v>93078064607.251205</v>
      </c>
      <c r="F267" s="5">
        <v>0.24162340721281511</v>
      </c>
      <c r="G267" s="5">
        <v>0</v>
      </c>
      <c r="H267" s="5">
        <v>35337621966.221085</v>
      </c>
      <c r="I267" s="5">
        <v>39621047764.977722</v>
      </c>
      <c r="J267" s="5">
        <v>39621047764.977722</v>
      </c>
      <c r="K267" s="5">
        <v>-5.3085874933453886E-11</v>
      </c>
      <c r="L267" s="5">
        <v>-5.3085874933453886E-11</v>
      </c>
      <c r="M267" s="5">
        <v>0</v>
      </c>
      <c r="N267" s="5">
        <v>2.0000000000000001E-4</v>
      </c>
      <c r="O267" s="5">
        <v>14.085912871482755</v>
      </c>
      <c r="P267" s="5">
        <v>14.085912871482755</v>
      </c>
      <c r="Q267" s="5">
        <v>9.8074337755446359E-9</v>
      </c>
      <c r="R267" s="5">
        <v>0</v>
      </c>
      <c r="S267" s="5">
        <v>2.2623369086208262E-5</v>
      </c>
      <c r="T267" s="5">
        <v>1.1456712899378319E-5</v>
      </c>
      <c r="U267" s="5">
        <v>1.1456712899378319E-5</v>
      </c>
      <c r="V267" s="5">
        <v>0</v>
      </c>
      <c r="W267" s="5">
        <v>0</v>
      </c>
      <c r="X267" s="5">
        <v>2.382110940859326</v>
      </c>
      <c r="Y267" s="5">
        <v>4395.7935291852327</v>
      </c>
      <c r="Z267" s="5">
        <f t="shared" ref="Z267:AA267" si="109">Z266+0.0002</f>
        <v>-5.9999999999999984E-4</v>
      </c>
      <c r="AA267" s="5">
        <f t="shared" si="109"/>
        <v>-4.0000000000000007E-4</v>
      </c>
      <c r="AB267" s="4">
        <v>2</v>
      </c>
    </row>
    <row r="268" spans="1:28" x14ac:dyDescent="0.25">
      <c r="C268" s="4">
        <v>5</v>
      </c>
      <c r="D268" s="5">
        <v>82507370410.521469</v>
      </c>
      <c r="E268" s="5">
        <v>82507370410.521469</v>
      </c>
      <c r="F268" s="5">
        <v>0.21667504950982294</v>
      </c>
      <c r="G268" s="5">
        <v>0</v>
      </c>
      <c r="H268" s="5">
        <v>31487489022.896645</v>
      </c>
      <c r="I268" s="5">
        <v>36136874451.144829</v>
      </c>
      <c r="J268" s="5">
        <v>36136874451.144829</v>
      </c>
      <c r="K268" s="5">
        <v>-5.3641189572005542E-11</v>
      </c>
      <c r="L268" s="5">
        <v>-5.3641189572005542E-11</v>
      </c>
      <c r="M268" s="5">
        <v>0</v>
      </c>
      <c r="N268" s="5">
        <v>2.0000000000000001E-4</v>
      </c>
      <c r="O268" s="5">
        <v>3.8935421905608685</v>
      </c>
      <c r="P268" s="5">
        <v>3.8935421905608685</v>
      </c>
      <c r="Q268" s="5">
        <v>9.9030804082926993E-9</v>
      </c>
      <c r="R268" s="5">
        <v>0</v>
      </c>
      <c r="S268" s="5">
        <v>1.1134240530483909E-5</v>
      </c>
      <c r="T268" s="5">
        <v>1.0829692714124093E-5</v>
      </c>
      <c r="U268" s="5">
        <v>1.0829692714124093E-5</v>
      </c>
      <c r="V268" s="5">
        <v>0</v>
      </c>
      <c r="W268" s="5">
        <v>0</v>
      </c>
      <c r="X268" s="5">
        <v>2.220313140331029</v>
      </c>
      <c r="Y268" s="5">
        <v>4045.9379573793067</v>
      </c>
      <c r="Z268" s="5">
        <f t="shared" ref="Z268:AA268" si="110">Z267+0.0002</f>
        <v>-3.9999999999999986E-4</v>
      </c>
      <c r="AA268" s="5">
        <f t="shared" si="110"/>
        <v>-2.0000000000000006E-4</v>
      </c>
      <c r="AB268" s="4">
        <v>2</v>
      </c>
    </row>
    <row r="269" spans="1:28" x14ac:dyDescent="0.25">
      <c r="C269" s="4">
        <v>6</v>
      </c>
      <c r="D269" s="5">
        <v>72190307555.166138</v>
      </c>
      <c r="E269" s="5">
        <v>72190307555.166138</v>
      </c>
      <c r="F269" s="5">
        <v>0.1921298916087027</v>
      </c>
      <c r="G269" s="5">
        <v>0</v>
      </c>
      <c r="H269" s="5">
        <v>27716948616.603943</v>
      </c>
      <c r="I269" s="5">
        <v>32656680764.163528</v>
      </c>
      <c r="J269" s="5">
        <v>32656680764.163528</v>
      </c>
      <c r="K269" s="5">
        <v>-5.3666962188281414E-11</v>
      </c>
      <c r="L269" s="5">
        <v>-5.3666962188281414E-11</v>
      </c>
      <c r="M269" s="5">
        <v>0</v>
      </c>
      <c r="N269" s="5">
        <v>2.0000000000000001E-4</v>
      </c>
      <c r="O269" s="5">
        <v>-5.3805855847784692</v>
      </c>
      <c r="P269" s="5">
        <v>-5.3805855847784692</v>
      </c>
      <c r="Q269" s="5">
        <v>9.9016071955995319E-9</v>
      </c>
      <c r="R269" s="5">
        <v>0</v>
      </c>
      <c r="S269" s="5">
        <v>6.2012055339829577E-7</v>
      </c>
      <c r="T269" s="5">
        <v>1.0164866073779792E-5</v>
      </c>
      <c r="U269" s="5">
        <v>1.0164866073779792E-5</v>
      </c>
      <c r="V269" s="5">
        <v>0</v>
      </c>
      <c r="W269" s="5">
        <v>0</v>
      </c>
      <c r="X269" s="5">
        <v>2.0538724418092142</v>
      </c>
      <c r="Y269" s="5">
        <v>3692.7660298637247</v>
      </c>
      <c r="Z269" s="5">
        <f t="shared" ref="Z269:AA269" si="111">Z268+0.0002</f>
        <v>-1.9999999999999985E-4</v>
      </c>
      <c r="AA269" s="5">
        <f t="shared" si="111"/>
        <v>0</v>
      </c>
      <c r="AB269" s="4">
        <v>2</v>
      </c>
    </row>
    <row r="270" spans="1:28" x14ac:dyDescent="0.25">
      <c r="C270" s="4">
        <v>7</v>
      </c>
      <c r="D270" s="5">
        <v>62048735146.526459</v>
      </c>
      <c r="E270" s="5">
        <v>62048735146.526459</v>
      </c>
      <c r="F270" s="5">
        <v>0.16786371229501856</v>
      </c>
      <c r="G270" s="5">
        <v>0</v>
      </c>
      <c r="H270" s="5">
        <v>24001479203.522243</v>
      </c>
      <c r="I270" s="5">
        <v>29179240626.842781</v>
      </c>
      <c r="J270" s="5">
        <v>29179240626.842781</v>
      </c>
      <c r="K270" s="5">
        <v>-5.3326338579468173E-11</v>
      </c>
      <c r="L270" s="5">
        <v>-5.3326338579468173E-11</v>
      </c>
      <c r="M270" s="5">
        <v>0</v>
      </c>
      <c r="N270" s="5">
        <v>2.0000000000000001E-4</v>
      </c>
      <c r="O270" s="5">
        <v>-14.019370516363153</v>
      </c>
      <c r="P270" s="5">
        <v>-14.019370516363153</v>
      </c>
      <c r="Q270" s="5">
        <v>9.8329356431070506E-9</v>
      </c>
      <c r="R270" s="5">
        <v>0</v>
      </c>
      <c r="S270" s="5">
        <v>-9.2193797568525116E-6</v>
      </c>
      <c r="T270" s="5">
        <v>9.4738807116602648E-6</v>
      </c>
      <c r="U270" s="5">
        <v>9.4738807116602648E-6</v>
      </c>
      <c r="V270" s="5">
        <v>0</v>
      </c>
      <c r="W270" s="5">
        <v>0</v>
      </c>
      <c r="X270" s="5">
        <v>1.8842192686834249</v>
      </c>
      <c r="Y270" s="5">
        <v>3337.2994776310179</v>
      </c>
      <c r="Z270" s="5">
        <f t="shared" ref="Z270:AA270" si="112">Z269+0.0002</f>
        <v>0</v>
      </c>
      <c r="AA270" s="5">
        <f t="shared" si="112"/>
        <v>2.0000000000000001E-4</v>
      </c>
      <c r="AB270" s="4">
        <v>2</v>
      </c>
    </row>
    <row r="271" spans="1:28" x14ac:dyDescent="0.25">
      <c r="C271" s="4">
        <v>8</v>
      </c>
      <c r="D271" s="5">
        <v>52036555502.838165</v>
      </c>
      <c r="E271" s="5">
        <v>52036555502.838165</v>
      </c>
      <c r="F271" s="5">
        <v>0.14380322970993806</v>
      </c>
      <c r="G271" s="5">
        <v>0</v>
      </c>
      <c r="H271" s="5">
        <v>20326614781.843521</v>
      </c>
      <c r="I271" s="5">
        <v>25703830739.092178</v>
      </c>
      <c r="J271" s="5">
        <v>25703830739.092178</v>
      </c>
      <c r="K271" s="5">
        <v>-5.2715563395345175E-11</v>
      </c>
      <c r="L271" s="5">
        <v>-5.2715563395345175E-11</v>
      </c>
      <c r="M271" s="5">
        <v>0</v>
      </c>
      <c r="N271" s="5">
        <v>2.0000000000000001E-4</v>
      </c>
      <c r="O271" s="5">
        <v>-22.189703923753342</v>
      </c>
      <c r="P271" s="5">
        <v>-22.189703923753342</v>
      </c>
      <c r="Q271" s="5">
        <v>9.7147173537436636E-9</v>
      </c>
      <c r="R271" s="5">
        <v>0</v>
      </c>
      <c r="S271" s="5">
        <v>-1.8561468922416888E-5</v>
      </c>
      <c r="T271" s="5">
        <v>8.7636079786243278E-6</v>
      </c>
      <c r="U271" s="5">
        <v>8.7636079786243278E-6</v>
      </c>
      <c r="V271" s="5">
        <v>0</v>
      </c>
      <c r="W271" s="5">
        <v>0</v>
      </c>
      <c r="X271" s="5">
        <v>1.7121974710591279</v>
      </c>
      <c r="Y271" s="5">
        <v>2980.1410507565197</v>
      </c>
      <c r="Z271" s="5">
        <f t="shared" ref="Z271:AA271" si="113">Z270+0.0002</f>
        <v>2.0000000000000001E-4</v>
      </c>
      <c r="AA271" s="5">
        <f t="shared" si="113"/>
        <v>4.0000000000000002E-4</v>
      </c>
      <c r="AB271" s="4">
        <v>2</v>
      </c>
    </row>
    <row r="272" spans="1:28" x14ac:dyDescent="0.25">
      <c r="C272" s="4">
        <v>9</v>
      </c>
      <c r="D272" s="5">
        <v>42124134653.634338</v>
      </c>
      <c r="E272" s="5">
        <v>42124134653.634338</v>
      </c>
      <c r="F272" s="5">
        <v>0.11990133449009865</v>
      </c>
      <c r="G272" s="5">
        <v>0</v>
      </c>
      <c r="H272" s="5">
        <v>16683055858.535854</v>
      </c>
      <c r="I272" s="5">
        <v>22229986126.260124</v>
      </c>
      <c r="J272" s="5">
        <v>22229986126.260124</v>
      </c>
      <c r="K272" s="5">
        <v>-5.1896507667166261E-11</v>
      </c>
      <c r="L272" s="5">
        <v>-5.1896507667166261E-11</v>
      </c>
      <c r="M272" s="5">
        <v>0</v>
      </c>
      <c r="N272" s="5">
        <v>2.0000000000000001E-4</v>
      </c>
      <c r="O272" s="5">
        <v>-29.998872165953607</v>
      </c>
      <c r="P272" s="5">
        <v>-29.998872165953607</v>
      </c>
      <c r="Q272" s="5">
        <v>9.5582996894558922E-9</v>
      </c>
      <c r="R272" s="5">
        <v>0</v>
      </c>
      <c r="S272" s="5">
        <v>-2.7520065732935792E-5</v>
      </c>
      <c r="T272" s="5">
        <v>8.0384651338621345E-6</v>
      </c>
      <c r="U272" s="5">
        <v>8.0384651338621345E-6</v>
      </c>
      <c r="V272" s="5">
        <v>0</v>
      </c>
      <c r="W272" s="5">
        <v>0</v>
      </c>
      <c r="X272" s="5">
        <v>1.5383495193631864</v>
      </c>
      <c r="Y272" s="5">
        <v>2621.6782281165615</v>
      </c>
      <c r="Z272" s="5">
        <f t="shared" ref="Z272:AA272" si="114">Z271+0.0002</f>
        <v>4.0000000000000002E-4</v>
      </c>
      <c r="AA272" s="5">
        <f t="shared" si="114"/>
        <v>6.0000000000000006E-4</v>
      </c>
      <c r="AB272" s="4">
        <v>2</v>
      </c>
    </row>
    <row r="273" spans="1:28" x14ac:dyDescent="0.25">
      <c r="C273" s="4">
        <v>10</v>
      </c>
      <c r="D273" s="5">
        <v>32291216183.037994</v>
      </c>
      <c r="E273" s="5">
        <v>32291216183.037994</v>
      </c>
      <c r="F273" s="5">
        <v>9.6125824846778174E-2</v>
      </c>
      <c r="G273" s="5">
        <v>0</v>
      </c>
      <c r="H273" s="5">
        <v>13064445728.934578</v>
      </c>
      <c r="I273" s="5">
        <v>18757388953.113392</v>
      </c>
      <c r="J273" s="5">
        <v>18757388953.113392</v>
      </c>
      <c r="K273" s="5">
        <v>-5.0911463579207342E-11</v>
      </c>
      <c r="L273" s="5">
        <v>-5.0911463579207342E-11</v>
      </c>
      <c r="M273" s="5">
        <v>0</v>
      </c>
      <c r="N273" s="5">
        <v>2.0000000000000001E-4</v>
      </c>
      <c r="O273" s="5">
        <v>-37.52021125132471</v>
      </c>
      <c r="P273" s="5">
        <v>-37.52021125132471</v>
      </c>
      <c r="Q273" s="5">
        <v>9.3714391836772923E-9</v>
      </c>
      <c r="R273" s="5">
        <v>0</v>
      </c>
      <c r="S273" s="5">
        <v>-3.6173039820551391E-5</v>
      </c>
      <c r="T273" s="5">
        <v>7.3014716120894063E-6</v>
      </c>
      <c r="U273" s="5">
        <v>7.3014716120894063E-6</v>
      </c>
      <c r="V273" s="5">
        <v>0</v>
      </c>
      <c r="W273" s="5">
        <v>0</v>
      </c>
      <c r="X273" s="5">
        <v>1.3630462213677046</v>
      </c>
      <c r="Y273" s="5">
        <v>2262.175872405503</v>
      </c>
      <c r="Z273" s="5">
        <f t="shared" ref="Z273:AA273" si="115">Z272+0.0002</f>
        <v>6.0000000000000006E-4</v>
      </c>
      <c r="AA273" s="5">
        <f t="shared" si="115"/>
        <v>8.0000000000000004E-4</v>
      </c>
      <c r="AB273" s="4">
        <v>2</v>
      </c>
    </row>
    <row r="274" spans="1:28" x14ac:dyDescent="0.25">
      <c r="C274" s="4">
        <v>11</v>
      </c>
      <c r="D274" s="5">
        <v>22523299174.420395</v>
      </c>
      <c r="E274" s="5">
        <v>22523299174.420395</v>
      </c>
      <c r="F274" s="5">
        <v>7.2453648555121597E-2</v>
      </c>
      <c r="G274" s="5">
        <v>0</v>
      </c>
      <c r="H274" s="5">
        <v>9466233832.617981</v>
      </c>
      <c r="I274" s="5">
        <v>15285811691.630898</v>
      </c>
      <c r="J274" s="5">
        <v>15285811691.630898</v>
      </c>
      <c r="K274" s="5">
        <v>-4.9790706745967888E-11</v>
      </c>
      <c r="L274" s="5">
        <v>-4.9790706745967888E-11</v>
      </c>
      <c r="M274" s="5">
        <v>0</v>
      </c>
      <c r="N274" s="5">
        <v>2.0000000000000001E-4</v>
      </c>
      <c r="O274" s="5">
        <v>-44.806220069580419</v>
      </c>
      <c r="P274" s="5">
        <v>-44.806220069580419</v>
      </c>
      <c r="Q274" s="5">
        <v>9.1596884892231888E-9</v>
      </c>
      <c r="R274" s="5">
        <v>0</v>
      </c>
      <c r="S274" s="5">
        <v>-4.4576135550429701E-5</v>
      </c>
      <c r="T274" s="5">
        <v>6.5547889295064557E-6</v>
      </c>
      <c r="U274" s="5">
        <v>6.5547889295064557E-6</v>
      </c>
      <c r="V274" s="5">
        <v>0</v>
      </c>
      <c r="W274" s="5">
        <v>0</v>
      </c>
      <c r="X274" s="5">
        <v>1.1865530264306177</v>
      </c>
      <c r="Y274" s="5">
        <v>1901.8235903075838</v>
      </c>
      <c r="Z274" s="5">
        <f t="shared" ref="Z274:AA274" si="116">Z273+0.0002</f>
        <v>8.0000000000000004E-4</v>
      </c>
      <c r="AA274" s="5">
        <f t="shared" si="116"/>
        <v>1E-3</v>
      </c>
      <c r="AB274" s="4">
        <v>2</v>
      </c>
    </row>
    <row r="275" spans="1:28" x14ac:dyDescent="0.25">
      <c r="B275" t="s">
        <v>187</v>
      </c>
      <c r="C275" s="11">
        <v>12</v>
      </c>
      <c r="D275" s="5">
        <v>12809621615.047699</v>
      </c>
      <c r="E275" s="5">
        <v>12809621615.047699</v>
      </c>
      <c r="F275" s="5">
        <v>4.8867697156140644E-2</v>
      </c>
      <c r="G275" s="5">
        <v>0</v>
      </c>
      <c r="H275" s="5">
        <v>5885042921.7569427</v>
      </c>
      <c r="I275" s="5">
        <v>11815085479.421173</v>
      </c>
      <c r="J275" s="5">
        <v>11815085479.421173</v>
      </c>
      <c r="K275" s="5">
        <v>-4.8556706543495561E-11</v>
      </c>
      <c r="L275" s="5">
        <v>-4.8556706543495561E-11</v>
      </c>
      <c r="M275" s="5">
        <v>0</v>
      </c>
      <c r="N275" s="5">
        <v>2.0000000000000001E-4</v>
      </c>
      <c r="O275" s="5">
        <v>-51.895861241779521</v>
      </c>
      <c r="P275" s="5">
        <v>-51.895861241779521</v>
      </c>
      <c r="Q275" s="5">
        <v>8.9271685676738034E-9</v>
      </c>
      <c r="R275" s="5">
        <v>0</v>
      </c>
      <c r="S275" s="5">
        <v>-5.2770724208477406E-5</v>
      </c>
      <c r="T275" s="5">
        <v>5.8000212788321123E-6</v>
      </c>
      <c r="U275" s="5">
        <v>5.8000212788321123E-6</v>
      </c>
      <c r="V275" s="5">
        <v>0</v>
      </c>
      <c r="W275" s="5">
        <v>0</v>
      </c>
      <c r="X275" s="5">
        <v>1.009066940675289</v>
      </c>
      <c r="Y275" s="5">
        <v>1540.7621004823486</v>
      </c>
      <c r="Z275" s="5">
        <f t="shared" ref="Z275:AA275" si="117">Z274+0.0002</f>
        <v>1E-3</v>
      </c>
      <c r="AA275" s="5">
        <f t="shared" si="117"/>
        <v>1.2000000000000001E-3</v>
      </c>
      <c r="AB275" s="4">
        <v>2</v>
      </c>
    </row>
    <row r="276" spans="1:28" x14ac:dyDescent="0.25">
      <c r="C276" s="11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4"/>
    </row>
    <row r="278" spans="1:28" x14ac:dyDescent="0.25">
      <c r="A278" t="s">
        <v>137</v>
      </c>
    </row>
    <row r="279" spans="1:28" x14ac:dyDescent="0.25">
      <c r="A279" t="s">
        <v>137</v>
      </c>
    </row>
    <row r="280" spans="1:28" x14ac:dyDescent="0.25">
      <c r="A280" t="s">
        <v>137</v>
      </c>
    </row>
    <row r="282" spans="1:28" x14ac:dyDescent="0.25">
      <c r="A282" s="15" t="s">
        <v>134</v>
      </c>
      <c r="C282" s="10" t="s">
        <v>27</v>
      </c>
      <c r="D282" s="10" t="s">
        <v>28</v>
      </c>
      <c r="E282" s="10" t="s">
        <v>29</v>
      </c>
      <c r="F282" s="10" t="s">
        <v>30</v>
      </c>
      <c r="G282" s="10" t="s">
        <v>31</v>
      </c>
      <c r="H282" s="10" t="s">
        <v>47</v>
      </c>
      <c r="I282" s="10" t="s">
        <v>32</v>
      </c>
      <c r="J282" s="10" t="s">
        <v>33</v>
      </c>
      <c r="K282" s="10" t="s">
        <v>34</v>
      </c>
      <c r="L282" s="10" t="s">
        <v>35</v>
      </c>
      <c r="M282" s="10" t="s">
        <v>36</v>
      </c>
      <c r="N282" s="10" t="s">
        <v>37</v>
      </c>
      <c r="O282" s="10" t="s">
        <v>38</v>
      </c>
      <c r="P282" s="10" t="s">
        <v>39</v>
      </c>
      <c r="Q282" s="10" t="s">
        <v>40</v>
      </c>
      <c r="R282" s="10" t="s">
        <v>41</v>
      </c>
      <c r="S282" s="10" t="s">
        <v>42</v>
      </c>
      <c r="T282" s="10" t="s">
        <v>102</v>
      </c>
      <c r="U282" s="10" t="s">
        <v>77</v>
      </c>
      <c r="V282" s="10" t="s">
        <v>78</v>
      </c>
      <c r="W282" s="10" t="s">
        <v>79</v>
      </c>
      <c r="X282" s="10" t="s">
        <v>80</v>
      </c>
      <c r="Y282" s="10" t="s">
        <v>43</v>
      </c>
      <c r="Z282" s="10" t="s">
        <v>44</v>
      </c>
      <c r="AA282" s="10" t="s">
        <v>45</v>
      </c>
      <c r="AB282" s="10" t="s">
        <v>46</v>
      </c>
    </row>
    <row r="283" spans="1:28" x14ac:dyDescent="0.25">
      <c r="A283" s="12" t="s">
        <v>138</v>
      </c>
      <c r="B283" t="s">
        <v>183</v>
      </c>
      <c r="C283" s="11">
        <v>1</v>
      </c>
      <c r="D283" s="5">
        <v>146765182395.67111</v>
      </c>
      <c r="E283" s="5">
        <v>146765182395.67111</v>
      </c>
      <c r="F283" s="5">
        <v>0.35547439180027679</v>
      </c>
      <c r="G283" s="5">
        <v>0</v>
      </c>
      <c r="H283" s="5">
        <v>54050510257.216827</v>
      </c>
      <c r="I283" s="5">
        <v>52077525512.86084</v>
      </c>
      <c r="J283" s="5">
        <v>52077525512.86084</v>
      </c>
      <c r="K283" s="5">
        <v>-1.6296851442492125E-11</v>
      </c>
      <c r="L283" s="5">
        <v>-1.6296851442492125E-11</v>
      </c>
      <c r="M283" s="5">
        <v>0</v>
      </c>
      <c r="N283" s="5">
        <v>2.0000000000000001E-4</v>
      </c>
      <c r="O283" s="5">
        <v>110.18229366009885</v>
      </c>
      <c r="P283" s="5">
        <v>110.18229366009885</v>
      </c>
      <c r="Q283" s="5">
        <v>3.0818991367888449E-9</v>
      </c>
      <c r="R283" s="5">
        <v>0</v>
      </c>
      <c r="S283" s="5">
        <v>1.2699375065090609E-4</v>
      </c>
      <c r="T283" s="5">
        <v>1.1163507627822008E-5</v>
      </c>
      <c r="U283" s="5">
        <v>1.1163507627822008E-5</v>
      </c>
      <c r="V283" s="5">
        <v>0</v>
      </c>
      <c r="W283" s="5">
        <v>0</v>
      </c>
      <c r="X283" s="5">
        <v>2.6428869016623517</v>
      </c>
      <c r="Y283" s="5">
        <v>5402.0620726159659</v>
      </c>
      <c r="Z283" s="5">
        <v>-1.1999999999999999E-3</v>
      </c>
      <c r="AA283" s="5">
        <v>-1E-3</v>
      </c>
      <c r="AB283" s="4">
        <v>2</v>
      </c>
    </row>
    <row r="284" spans="1:28" x14ac:dyDescent="0.25">
      <c r="C284" s="4">
        <v>2</v>
      </c>
      <c r="D284" s="5">
        <v>141051087880.53528</v>
      </c>
      <c r="E284" s="5">
        <v>141051087880.53528</v>
      </c>
      <c r="F284" s="5">
        <v>0.34639064937358954</v>
      </c>
      <c r="G284" s="5">
        <v>0</v>
      </c>
      <c r="H284" s="5">
        <v>52257359312.880714</v>
      </c>
      <c r="I284" s="5">
        <v>51987867965.644035</v>
      </c>
      <c r="J284" s="5">
        <v>51987867965.644035</v>
      </c>
      <c r="K284" s="5">
        <v>-2.8226974701798543E-11</v>
      </c>
      <c r="L284" s="5">
        <v>-2.8226974701798543E-11</v>
      </c>
      <c r="M284" s="5">
        <v>0</v>
      </c>
      <c r="N284" s="5">
        <v>2.0000000000000001E-4</v>
      </c>
      <c r="O284" s="5">
        <v>89.495076055528571</v>
      </c>
      <c r="P284" s="5">
        <v>89.495076055528571</v>
      </c>
      <c r="Q284" s="5">
        <v>5.2699251636170451E-9</v>
      </c>
      <c r="R284" s="5">
        <v>0</v>
      </c>
      <c r="S284" s="5">
        <v>1.0502765158278875E-4</v>
      </c>
      <c r="T284" s="5">
        <v>1.201525432638166E-5</v>
      </c>
      <c r="U284" s="5">
        <v>1.201525432638166E-5</v>
      </c>
      <c r="V284" s="5">
        <v>0</v>
      </c>
      <c r="W284" s="5">
        <v>0</v>
      </c>
      <c r="X284" s="5">
        <v>2.7474873734152916</v>
      </c>
      <c r="Y284" s="5">
        <v>5476.7766952966367</v>
      </c>
      <c r="Z284" s="5">
        <f t="shared" ref="Z284:AA284" si="118">Z283+0.0002</f>
        <v>-9.999999999999998E-4</v>
      </c>
      <c r="AA284" s="5">
        <f t="shared" si="118"/>
        <v>-8.0000000000000004E-4</v>
      </c>
      <c r="AB284" s="4">
        <v>2</v>
      </c>
    </row>
    <row r="285" spans="1:28" x14ac:dyDescent="0.25">
      <c r="C285" s="4">
        <v>3</v>
      </c>
      <c r="D285" s="5">
        <v>137116932332.23267</v>
      </c>
      <c r="E285" s="5">
        <v>137116932332.23267</v>
      </c>
      <c r="F285" s="5">
        <v>0.34013649036858157</v>
      </c>
      <c r="G285" s="5">
        <v>0</v>
      </c>
      <c r="H285" s="5">
        <v>51022774424.948341</v>
      </c>
      <c r="I285" s="5">
        <v>51926138721.247414</v>
      </c>
      <c r="J285" s="5">
        <v>51926138721.247414</v>
      </c>
      <c r="K285" s="5">
        <v>-3.6440867644627941E-11</v>
      </c>
      <c r="L285" s="5">
        <v>-3.6440867644627941E-11</v>
      </c>
      <c r="M285" s="5">
        <v>0</v>
      </c>
      <c r="N285" s="5">
        <v>2.0000000000000001E-4</v>
      </c>
      <c r="O285" s="5">
        <v>75.251921396048999</v>
      </c>
      <c r="P285" s="5">
        <v>75.251921396048999</v>
      </c>
      <c r="Q285" s="5">
        <v>6.7763816477503068E-9</v>
      </c>
      <c r="R285" s="5">
        <v>0</v>
      </c>
      <c r="S285" s="5">
        <v>8.9903986705617151E-5</v>
      </c>
      <c r="T285" s="5">
        <v>1.2601682148149538E-5</v>
      </c>
      <c r="U285" s="5">
        <v>1.2601682148149538E-5</v>
      </c>
      <c r="V285" s="5">
        <v>0</v>
      </c>
      <c r="W285" s="5">
        <v>0</v>
      </c>
      <c r="X285" s="5">
        <v>2.819504825211347</v>
      </c>
      <c r="Y285" s="5">
        <v>5528.2177322938196</v>
      </c>
      <c r="Z285" s="5">
        <f t="shared" ref="Z285:AA285" si="119">Z284+0.0002</f>
        <v>-7.9999999999999982E-4</v>
      </c>
      <c r="AA285" s="5">
        <f t="shared" si="119"/>
        <v>-6.0000000000000006E-4</v>
      </c>
      <c r="AB285" s="4">
        <v>2</v>
      </c>
    </row>
    <row r="286" spans="1:28" x14ac:dyDescent="0.25">
      <c r="C286" s="4">
        <v>4</v>
      </c>
      <c r="D286" s="5">
        <v>133919108813.61722</v>
      </c>
      <c r="E286" s="5">
        <v>133919108813.61722</v>
      </c>
      <c r="F286" s="5">
        <v>0.33505288436728758</v>
      </c>
      <c r="G286" s="5">
        <v>0</v>
      </c>
      <c r="H286" s="5">
        <v>50019259301.59214</v>
      </c>
      <c r="I286" s="5">
        <v>51875962965.079605</v>
      </c>
      <c r="J286" s="5">
        <v>51875962965.079605</v>
      </c>
      <c r="K286" s="5">
        <v>-4.3117416070198453E-11</v>
      </c>
      <c r="L286" s="5">
        <v>-4.3117416070198453E-11</v>
      </c>
      <c r="M286" s="5">
        <v>0</v>
      </c>
      <c r="N286" s="5">
        <v>2.0000000000000001E-4</v>
      </c>
      <c r="O286" s="5">
        <v>63.674571596290264</v>
      </c>
      <c r="P286" s="5">
        <v>63.674571596290264</v>
      </c>
      <c r="Q286" s="5">
        <v>8.0008838097989165E-9</v>
      </c>
      <c r="R286" s="5">
        <v>0</v>
      </c>
      <c r="S286" s="5">
        <v>7.7610926444503724E-5</v>
      </c>
      <c r="T286" s="5">
        <v>1.3078351831743732E-5</v>
      </c>
      <c r="U286" s="5">
        <v>1.3078351831743732E-5</v>
      </c>
      <c r="V286" s="5">
        <v>0</v>
      </c>
      <c r="W286" s="5">
        <v>0</v>
      </c>
      <c r="X286" s="5">
        <v>2.8780432074071252</v>
      </c>
      <c r="Y286" s="5">
        <v>5570.0308624336612</v>
      </c>
      <c r="Z286" s="5">
        <f t="shared" ref="Z286:AA286" si="120">Z285+0.0002</f>
        <v>-5.9999999999999984E-4</v>
      </c>
      <c r="AA286" s="5">
        <f t="shared" si="120"/>
        <v>-4.0000000000000007E-4</v>
      </c>
      <c r="AB286" s="4">
        <v>2</v>
      </c>
    </row>
    <row r="287" spans="1:28" x14ac:dyDescent="0.25">
      <c r="C287" s="4">
        <v>5</v>
      </c>
      <c r="D287" s="5">
        <v>131153985861.06938</v>
      </c>
      <c r="E287" s="5">
        <v>131153985861.06938</v>
      </c>
      <c r="F287" s="5">
        <v>0.33065714596769824</v>
      </c>
      <c r="G287" s="5">
        <v>0</v>
      </c>
      <c r="H287" s="5">
        <v>49151530771.650467</v>
      </c>
      <c r="I287" s="5">
        <v>51832576538.58252</v>
      </c>
      <c r="J287" s="5">
        <v>51832576538.58252</v>
      </c>
      <c r="K287" s="5">
        <v>-4.8890554327476431E-11</v>
      </c>
      <c r="L287" s="5">
        <v>-4.8890554327476431E-11</v>
      </c>
      <c r="M287" s="5">
        <v>0</v>
      </c>
      <c r="N287" s="5">
        <v>2.0000000000000001E-4</v>
      </c>
      <c r="O287" s="5">
        <v>53.663764097179609</v>
      </c>
      <c r="P287" s="5">
        <v>53.663764097179609</v>
      </c>
      <c r="Q287" s="5">
        <v>9.0596974103665426E-9</v>
      </c>
      <c r="R287" s="5">
        <v>0</v>
      </c>
      <c r="S287" s="5">
        <v>6.6981251952718212E-5</v>
      </c>
      <c r="T287" s="5">
        <v>1.3490522883466029E-5</v>
      </c>
      <c r="U287" s="5">
        <v>1.3490522883466029E-5</v>
      </c>
      <c r="V287" s="5">
        <v>0</v>
      </c>
      <c r="W287" s="5">
        <v>0</v>
      </c>
      <c r="X287" s="5">
        <v>2.9286607049870561</v>
      </c>
      <c r="Y287" s="5">
        <v>5606.1862178478968</v>
      </c>
      <c r="Z287" s="5">
        <f t="shared" ref="Z287:AA287" si="121">Z286+0.0002</f>
        <v>-3.9999999999999986E-4</v>
      </c>
      <c r="AA287" s="5">
        <f t="shared" si="121"/>
        <v>-2.0000000000000006E-4</v>
      </c>
      <c r="AB287" s="4">
        <v>2</v>
      </c>
    </row>
    <row r="288" spans="1:28" x14ac:dyDescent="0.25">
      <c r="C288" s="4">
        <v>6</v>
      </c>
      <c r="D288" s="5">
        <v>128682539946.08676</v>
      </c>
      <c r="E288" s="5">
        <v>128682539946.08676</v>
      </c>
      <c r="F288" s="5">
        <v>0.32672826833822893</v>
      </c>
      <c r="G288" s="5">
        <v>0</v>
      </c>
      <c r="H288" s="5">
        <v>48375961595.364044</v>
      </c>
      <c r="I288" s="5">
        <v>51793798079.768204</v>
      </c>
      <c r="J288" s="5">
        <v>51793798079.768204</v>
      </c>
      <c r="K288" s="5">
        <v>-5.4050541498908602E-11</v>
      </c>
      <c r="L288" s="5">
        <v>-5.4050541498908602E-11</v>
      </c>
      <c r="M288" s="5">
        <v>0</v>
      </c>
      <c r="N288" s="5">
        <v>2.0000000000000001E-4</v>
      </c>
      <c r="O288" s="5">
        <v>44.716180310152225</v>
      </c>
      <c r="P288" s="5">
        <v>44.716180310152225</v>
      </c>
      <c r="Q288" s="5">
        <v>1.0006056972945748E-8</v>
      </c>
      <c r="R288" s="5">
        <v>0</v>
      </c>
      <c r="S288" s="5">
        <v>5.7480529543209492E-5</v>
      </c>
      <c r="T288" s="5">
        <v>1.3858918242202081E-5</v>
      </c>
      <c r="U288" s="5">
        <v>1.3858918242202081E-5</v>
      </c>
      <c r="V288" s="5">
        <v>0</v>
      </c>
      <c r="W288" s="5">
        <v>0</v>
      </c>
      <c r="X288" s="5">
        <v>2.9739022402704309</v>
      </c>
      <c r="Y288" s="5">
        <v>5638.5016001931654</v>
      </c>
      <c r="Z288" s="5">
        <f t="shared" ref="Z288:AA288" si="122">Z287+0.0002</f>
        <v>-1.9999999999999985E-4</v>
      </c>
      <c r="AA288" s="5">
        <f t="shared" si="122"/>
        <v>0</v>
      </c>
      <c r="AB288" s="4">
        <v>2</v>
      </c>
    </row>
    <row r="289" spans="1:28" x14ac:dyDescent="0.25">
      <c r="C289" s="4">
        <v>7</v>
      </c>
      <c r="D289" s="5">
        <v>126427295874.54584</v>
      </c>
      <c r="E289" s="5">
        <v>126427295874.54584</v>
      </c>
      <c r="F289" s="5">
        <v>0.32314308853398754</v>
      </c>
      <c r="G289" s="5">
        <v>0</v>
      </c>
      <c r="H289" s="5">
        <v>47668239133.67215</v>
      </c>
      <c r="I289" s="5">
        <v>51758411956.683609</v>
      </c>
      <c r="J289" s="5">
        <v>51758411956.683609</v>
      </c>
      <c r="K289" s="5">
        <v>-5.8759133504524697E-11</v>
      </c>
      <c r="L289" s="5">
        <v>-5.8759133504524697E-11</v>
      </c>
      <c r="M289" s="5">
        <v>0</v>
      </c>
      <c r="N289" s="5">
        <v>2.0000000000000001E-4</v>
      </c>
      <c r="O289" s="5">
        <v>36.551330265092147</v>
      </c>
      <c r="P289" s="5">
        <v>36.551330265092147</v>
      </c>
      <c r="Q289" s="5">
        <v>1.0869629094882247E-8</v>
      </c>
      <c r="R289" s="5">
        <v>0</v>
      </c>
      <c r="S289" s="5">
        <v>4.8810929387483885E-5</v>
      </c>
      <c r="T289" s="5">
        <v>1.4195086411505727E-5</v>
      </c>
      <c r="U289" s="5">
        <v>1.4195086411505727E-5</v>
      </c>
      <c r="V289" s="5">
        <v>0</v>
      </c>
      <c r="W289" s="5">
        <v>0</v>
      </c>
      <c r="X289" s="5">
        <v>3.015186050535791</v>
      </c>
      <c r="Y289" s="5">
        <v>5667.9900360969932</v>
      </c>
      <c r="Z289" s="5">
        <f t="shared" ref="Z289:AA289" si="123">Z288+0.0002</f>
        <v>0</v>
      </c>
      <c r="AA289" s="5">
        <f t="shared" si="123"/>
        <v>2.0000000000000001E-4</v>
      </c>
      <c r="AB289" s="4">
        <v>2</v>
      </c>
    </row>
    <row r="290" spans="1:28" x14ac:dyDescent="0.25">
      <c r="C290" s="4">
        <v>8</v>
      </c>
      <c r="D290" s="5">
        <v>124339828566.53026</v>
      </c>
      <c r="E290" s="5">
        <v>124339828566.53026</v>
      </c>
      <c r="F290" s="5">
        <v>0.31982462481240997</v>
      </c>
      <c r="G290" s="5">
        <v>0</v>
      </c>
      <c r="H290" s="5">
        <v>47013167019.494858</v>
      </c>
      <c r="I290" s="5">
        <v>51725658350.974747</v>
      </c>
      <c r="J290" s="5">
        <v>51725658350.974747</v>
      </c>
      <c r="K290" s="5">
        <v>-6.3117434232388395E-11</v>
      </c>
      <c r="L290" s="5">
        <v>-6.3117434232388395E-11</v>
      </c>
      <c r="M290" s="5">
        <v>0</v>
      </c>
      <c r="N290" s="5">
        <v>2.0000000000000001E-4</v>
      </c>
      <c r="O290" s="5">
        <v>28.993896566899579</v>
      </c>
      <c r="P290" s="5">
        <v>28.993896566899579</v>
      </c>
      <c r="Q290" s="5">
        <v>1.1668956580276933E-8</v>
      </c>
      <c r="R290" s="5">
        <v>0</v>
      </c>
      <c r="S290" s="5">
        <v>4.0786295988812045E-5</v>
      </c>
      <c r="T290" s="5">
        <v>1.4506245665739941E-5</v>
      </c>
      <c r="U290" s="5">
        <v>1.4506245665739941E-5</v>
      </c>
      <c r="V290" s="5">
        <v>0</v>
      </c>
      <c r="W290" s="5">
        <v>0</v>
      </c>
      <c r="X290" s="5">
        <v>3.0533985905294667</v>
      </c>
      <c r="Y290" s="5">
        <v>5695.2847075210475</v>
      </c>
      <c r="Z290" s="5">
        <f t="shared" ref="Z290:AA290" si="124">Z289+0.0002</f>
        <v>2.0000000000000001E-4</v>
      </c>
      <c r="AA290" s="5">
        <f t="shared" si="124"/>
        <v>4.0000000000000002E-4</v>
      </c>
      <c r="AB290" s="4">
        <v>2</v>
      </c>
    </row>
    <row r="291" spans="1:28" x14ac:dyDescent="0.25">
      <c r="C291" s="4">
        <v>9</v>
      </c>
      <c r="D291" s="5">
        <v>122387474535.75232</v>
      </c>
      <c r="E291" s="5">
        <v>122387474535.75232</v>
      </c>
      <c r="F291" s="5">
        <v>0.31672095176424553</v>
      </c>
      <c r="G291" s="5">
        <v>0</v>
      </c>
      <c r="H291" s="5">
        <v>46400495061.637924</v>
      </c>
      <c r="I291" s="5">
        <v>51695024753.081894</v>
      </c>
      <c r="J291" s="5">
        <v>51695024753.081894</v>
      </c>
      <c r="K291" s="5">
        <v>-6.7193639862394651E-11</v>
      </c>
      <c r="L291" s="5">
        <v>-6.7193639862394651E-11</v>
      </c>
      <c r="M291" s="5">
        <v>0</v>
      </c>
      <c r="N291" s="5">
        <v>2.0000000000000001E-4</v>
      </c>
      <c r="O291" s="5">
        <v>21.92562484530329</v>
      </c>
      <c r="P291" s="5">
        <v>21.92562484530329</v>
      </c>
      <c r="Q291" s="5">
        <v>1.241654684529787E-8</v>
      </c>
      <c r="R291" s="5">
        <v>0</v>
      </c>
      <c r="S291" s="5">
        <v>3.3281064505064534E-5</v>
      </c>
      <c r="T291" s="5">
        <v>1.4797264845721987E-5</v>
      </c>
      <c r="U291" s="5">
        <v>1.4797264845721987E-5</v>
      </c>
      <c r="V291" s="5">
        <v>0</v>
      </c>
      <c r="W291" s="5">
        <v>0</v>
      </c>
      <c r="X291" s="5">
        <v>3.0891377880711213</v>
      </c>
      <c r="Y291" s="5">
        <v>5720.8127057650863</v>
      </c>
      <c r="Z291" s="5">
        <f t="shared" ref="Z291:AA291" si="125">Z290+0.0002</f>
        <v>4.0000000000000002E-4</v>
      </c>
      <c r="AA291" s="5">
        <f t="shared" si="125"/>
        <v>6.0000000000000006E-4</v>
      </c>
      <c r="AB291" s="4">
        <v>2</v>
      </c>
    </row>
    <row r="292" spans="1:28" x14ac:dyDescent="0.25">
      <c r="C292" s="4">
        <v>10</v>
      </c>
      <c r="D292" s="5">
        <v>120546966621.93132</v>
      </c>
      <c r="E292" s="5">
        <v>120546966621.93132</v>
      </c>
      <c r="F292" s="5">
        <v>0.31379508139595813</v>
      </c>
      <c r="G292" s="5">
        <v>0</v>
      </c>
      <c r="H292" s="5">
        <v>45822921747.968689</v>
      </c>
      <c r="I292" s="5">
        <v>51666146087.398437</v>
      </c>
      <c r="J292" s="5">
        <v>51666146087.398437</v>
      </c>
      <c r="K292" s="5">
        <v>-7.103632853571831E-11</v>
      </c>
      <c r="L292" s="5">
        <v>-7.103632853571831E-11</v>
      </c>
      <c r="M292" s="5">
        <v>0</v>
      </c>
      <c r="N292" s="5">
        <v>2.0000000000000001E-4</v>
      </c>
      <c r="O292" s="5">
        <v>15.26227904041798</v>
      </c>
      <c r="P292" s="5">
        <v>15.26227904041798</v>
      </c>
      <c r="Q292" s="5">
        <v>1.3121309289698541E-8</v>
      </c>
      <c r="R292" s="5">
        <v>0</v>
      </c>
      <c r="S292" s="5">
        <v>2.6205791412616441E-5</v>
      </c>
      <c r="T292" s="5">
        <v>1.5071612169714871E-5</v>
      </c>
      <c r="U292" s="5">
        <v>1.5071612169714871E-5</v>
      </c>
      <c r="V292" s="5">
        <v>0</v>
      </c>
      <c r="W292" s="5">
        <v>0</v>
      </c>
      <c r="X292" s="5">
        <v>3.1228295647018265</v>
      </c>
      <c r="Y292" s="5">
        <v>5744.8782605013048</v>
      </c>
      <c r="Z292" s="5">
        <f t="shared" ref="Z292:AA292" si="126">Z291+0.0002</f>
        <v>6.0000000000000006E-4</v>
      </c>
      <c r="AA292" s="5">
        <f t="shared" si="126"/>
        <v>8.0000000000000004E-4</v>
      </c>
      <c r="AB292" s="4">
        <v>2</v>
      </c>
    </row>
    <row r="293" spans="1:28" x14ac:dyDescent="0.25">
      <c r="C293" s="4">
        <v>11</v>
      </c>
      <c r="D293" s="5">
        <v>118801035758.64961</v>
      </c>
      <c r="E293" s="5">
        <v>118801035758.64961</v>
      </c>
      <c r="F293" s="5">
        <v>0.31101956093250677</v>
      </c>
      <c r="G293" s="5">
        <v>0</v>
      </c>
      <c r="H293" s="5">
        <v>45275027839.678177</v>
      </c>
      <c r="I293" s="5">
        <v>51638751391.98391</v>
      </c>
      <c r="J293" s="5">
        <v>51638751391.98391</v>
      </c>
      <c r="K293" s="5">
        <v>-7.4681555324670517E-11</v>
      </c>
      <c r="L293" s="5">
        <v>-7.4681555324670517E-11</v>
      </c>
      <c r="M293" s="5">
        <v>0</v>
      </c>
      <c r="N293" s="5">
        <v>2.0000000000000001E-4</v>
      </c>
      <c r="O293" s="5">
        <v>8.9413384967200784</v>
      </c>
      <c r="P293" s="5">
        <v>8.9413384967200784</v>
      </c>
      <c r="Q293" s="5">
        <v>1.3789856538923065E-8</v>
      </c>
      <c r="R293" s="5">
        <v>0</v>
      </c>
      <c r="S293" s="5">
        <v>1.9494091036057653E-5</v>
      </c>
      <c r="T293" s="5">
        <v>1.5331861776152866E-5</v>
      </c>
      <c r="U293" s="5">
        <v>1.5331861776152866E-5</v>
      </c>
      <c r="V293" s="5">
        <v>0</v>
      </c>
      <c r="W293" s="5">
        <v>0</v>
      </c>
      <c r="X293" s="5">
        <v>3.1547900426854398</v>
      </c>
      <c r="Y293" s="5">
        <v>5767.7071733467428</v>
      </c>
      <c r="Z293" s="5">
        <f t="shared" ref="Z293:AA293" si="127">Z292+0.0002</f>
        <v>8.0000000000000004E-4</v>
      </c>
      <c r="AA293" s="5">
        <f t="shared" si="127"/>
        <v>1E-3</v>
      </c>
      <c r="AB293" s="4">
        <v>2</v>
      </c>
    </row>
    <row r="294" spans="1:28" x14ac:dyDescent="0.25">
      <c r="B294" t="s">
        <v>187</v>
      </c>
      <c r="C294" s="11">
        <v>12</v>
      </c>
      <c r="D294" s="5">
        <v>117136446434.33534</v>
      </c>
      <c r="E294" s="5">
        <v>117136446434.33534</v>
      </c>
      <c r="F294" s="5">
        <v>0.30837334977372532</v>
      </c>
      <c r="G294" s="5">
        <v>0</v>
      </c>
      <c r="H294" s="5">
        <v>44752659875.529266</v>
      </c>
      <c r="I294" s="5">
        <v>51612632993.776466</v>
      </c>
      <c r="J294" s="5">
        <v>51612632993.776466</v>
      </c>
      <c r="K294" s="5">
        <v>-7.8156953878648201E-11</v>
      </c>
      <c r="L294" s="5">
        <v>-7.8156953878648201E-11</v>
      </c>
      <c r="M294" s="5">
        <v>0</v>
      </c>
      <c r="N294" s="5">
        <v>2.0000000000000001E-4</v>
      </c>
      <c r="O294" s="5">
        <v>2.9148855769934983</v>
      </c>
      <c r="P294" s="5">
        <v>2.9148855769934983</v>
      </c>
      <c r="Q294" s="5">
        <v>1.4427256700214135E-8</v>
      </c>
      <c r="R294" s="5">
        <v>0</v>
      </c>
      <c r="S294" s="5">
        <v>1.309508347523353E-5</v>
      </c>
      <c r="T294" s="5">
        <v>1.5579986559123597E-5</v>
      </c>
      <c r="U294" s="5">
        <v>1.5579986559123597E-5</v>
      </c>
      <c r="V294" s="5">
        <v>0</v>
      </c>
      <c r="W294" s="5">
        <v>0</v>
      </c>
      <c r="X294" s="5">
        <v>3.185261507260793</v>
      </c>
      <c r="Y294" s="5">
        <v>5789.4725051862806</v>
      </c>
      <c r="Z294" s="5">
        <f t="shared" ref="Z294:AA294" si="128">Z293+0.0002</f>
        <v>1E-3</v>
      </c>
      <c r="AA294" s="5">
        <f t="shared" si="128"/>
        <v>1.2000000000000001E-3</v>
      </c>
      <c r="AB294" s="4">
        <v>2</v>
      </c>
    </row>
    <row r="298" spans="1:28" x14ac:dyDescent="0.25">
      <c r="A298" s="15" t="s">
        <v>136</v>
      </c>
      <c r="C298" s="10" t="s">
        <v>27</v>
      </c>
      <c r="D298" s="10" t="s">
        <v>28</v>
      </c>
      <c r="E298" s="10" t="s">
        <v>29</v>
      </c>
      <c r="F298" s="10" t="s">
        <v>30</v>
      </c>
      <c r="G298" s="10" t="s">
        <v>31</v>
      </c>
      <c r="H298" s="10" t="s">
        <v>47</v>
      </c>
      <c r="I298" s="10" t="s">
        <v>32</v>
      </c>
      <c r="J298" s="10" t="s">
        <v>33</v>
      </c>
      <c r="K298" s="10" t="s">
        <v>34</v>
      </c>
      <c r="L298" s="10" t="s">
        <v>35</v>
      </c>
      <c r="M298" s="10" t="s">
        <v>36</v>
      </c>
      <c r="N298" s="10" t="s">
        <v>37</v>
      </c>
      <c r="O298" s="10" t="s">
        <v>38</v>
      </c>
      <c r="P298" s="10" t="s">
        <v>39</v>
      </c>
      <c r="Q298" s="10" t="s">
        <v>40</v>
      </c>
      <c r="R298" s="10" t="s">
        <v>41</v>
      </c>
      <c r="S298" s="10" t="s">
        <v>42</v>
      </c>
      <c r="T298" s="10" t="s">
        <v>102</v>
      </c>
      <c r="U298" s="10" t="s">
        <v>77</v>
      </c>
      <c r="V298" s="10" t="s">
        <v>78</v>
      </c>
      <c r="W298" s="10" t="s">
        <v>79</v>
      </c>
      <c r="X298" s="10" t="s">
        <v>80</v>
      </c>
      <c r="Y298" s="10" t="s">
        <v>43</v>
      </c>
      <c r="Z298" s="10" t="s">
        <v>44</v>
      </c>
      <c r="AA298" s="10" t="s">
        <v>45</v>
      </c>
      <c r="AB298" s="10" t="s">
        <v>46</v>
      </c>
    </row>
    <row r="299" spans="1:28" x14ac:dyDescent="0.25">
      <c r="A299" s="12" t="s">
        <v>138</v>
      </c>
      <c r="B299" t="s">
        <v>183</v>
      </c>
      <c r="C299" s="11">
        <v>1</v>
      </c>
      <c r="D299" s="5">
        <v>144507664932.82224</v>
      </c>
      <c r="E299" s="5">
        <v>144507664932.82224</v>
      </c>
      <c r="F299" s="5">
        <v>0.34984958813092593</v>
      </c>
      <c r="G299" s="5">
        <v>0</v>
      </c>
      <c r="H299" s="5">
        <v>53208843590.550163</v>
      </c>
      <c r="I299" s="5">
        <v>51212525512.86084</v>
      </c>
      <c r="J299" s="5">
        <v>51212525512.86084</v>
      </c>
      <c r="K299" s="5">
        <v>-1.5631535268358031E-11</v>
      </c>
      <c r="L299" s="5">
        <v>-1.5631535268358031E-11</v>
      </c>
      <c r="M299" s="5">
        <v>0</v>
      </c>
      <c r="N299" s="5">
        <v>2.0000000000000001E-4</v>
      </c>
      <c r="O299" s="5">
        <v>109.0286140064192</v>
      </c>
      <c r="P299" s="5">
        <v>109.0286140064192</v>
      </c>
      <c r="Q299" s="5">
        <v>2.9583278404925488E-9</v>
      </c>
      <c r="R299" s="5">
        <v>0</v>
      </c>
      <c r="S299" s="5">
        <v>1.2560208398423942E-4</v>
      </c>
      <c r="T299" s="5">
        <v>1.0949340961155341E-5</v>
      </c>
      <c r="U299" s="5">
        <v>1.0949340961155341E-5</v>
      </c>
      <c r="V299" s="5">
        <v>0</v>
      </c>
      <c r="W299" s="5">
        <v>0</v>
      </c>
      <c r="X299" s="5">
        <v>2.5953869016623519</v>
      </c>
      <c r="Y299" s="5">
        <v>5309.5620726159659</v>
      </c>
      <c r="Z299" s="5">
        <v>-1.1999999999999999E-3</v>
      </c>
      <c r="AA299" s="5">
        <v>-1E-3</v>
      </c>
      <c r="AB299" s="4">
        <v>2</v>
      </c>
    </row>
    <row r="300" spans="1:28" x14ac:dyDescent="0.25">
      <c r="C300" s="4">
        <v>2</v>
      </c>
      <c r="D300" s="5">
        <v>134278535491.98866</v>
      </c>
      <c r="E300" s="5">
        <v>134278535491.98866</v>
      </c>
      <c r="F300" s="5">
        <v>0.32951623836553701</v>
      </c>
      <c r="G300" s="5">
        <v>0</v>
      </c>
      <c r="H300" s="5">
        <v>49732359312.880714</v>
      </c>
      <c r="I300" s="5">
        <v>49392867965.644035</v>
      </c>
      <c r="J300" s="5">
        <v>49392867965.644035</v>
      </c>
      <c r="K300" s="5">
        <v>-2.6231026179396256E-11</v>
      </c>
      <c r="L300" s="5">
        <v>-2.6231026179396256E-11</v>
      </c>
      <c r="M300" s="5">
        <v>0</v>
      </c>
      <c r="N300" s="5">
        <v>2.0000000000000001E-4</v>
      </c>
      <c r="O300" s="5">
        <v>86.034037094489605</v>
      </c>
      <c r="P300" s="5">
        <v>86.034037094489605</v>
      </c>
      <c r="Q300" s="5">
        <v>4.8992112747281559E-9</v>
      </c>
      <c r="R300" s="5">
        <v>0</v>
      </c>
      <c r="S300" s="5">
        <v>1.0085265158278874E-4</v>
      </c>
      <c r="T300" s="5">
        <v>1.1372754326381661E-5</v>
      </c>
      <c r="U300" s="5">
        <v>1.1372754326381661E-5</v>
      </c>
      <c r="V300" s="5">
        <v>0</v>
      </c>
      <c r="W300" s="5">
        <v>0</v>
      </c>
      <c r="X300" s="5">
        <v>2.6049873734152915</v>
      </c>
      <c r="Y300" s="5">
        <v>5199.2766952966367</v>
      </c>
      <c r="Z300" s="5">
        <f t="shared" ref="Z300:AA300" si="129">Z299+0.0002</f>
        <v>-9.999999999999998E-4</v>
      </c>
      <c r="AA300" s="5">
        <f t="shared" si="129"/>
        <v>-8.0000000000000004E-4</v>
      </c>
      <c r="AB300" s="4">
        <v>2</v>
      </c>
    </row>
    <row r="301" spans="1:28" x14ac:dyDescent="0.25">
      <c r="C301" s="4">
        <v>3</v>
      </c>
      <c r="D301" s="5">
        <v>125829345017.98831</v>
      </c>
      <c r="E301" s="5">
        <v>125829345017.98831</v>
      </c>
      <c r="F301" s="5">
        <v>0.3120124720218273</v>
      </c>
      <c r="G301" s="5">
        <v>0</v>
      </c>
      <c r="H301" s="5">
        <v>46814441091.615005</v>
      </c>
      <c r="I301" s="5">
        <v>47601138721.247414</v>
      </c>
      <c r="J301" s="5">
        <v>47601138721.247414</v>
      </c>
      <c r="K301" s="5">
        <v>-3.3114286773957461E-11</v>
      </c>
      <c r="L301" s="5">
        <v>-3.3114286773957461E-11</v>
      </c>
      <c r="M301" s="5">
        <v>0</v>
      </c>
      <c r="N301" s="5">
        <v>2.0000000000000001E-4</v>
      </c>
      <c r="O301" s="5">
        <v>69.483523127650727</v>
      </c>
      <c r="P301" s="5">
        <v>69.483523127650727</v>
      </c>
      <c r="Q301" s="5">
        <v>6.1585251662688253E-9</v>
      </c>
      <c r="R301" s="5">
        <v>0</v>
      </c>
      <c r="S301" s="5">
        <v>8.294565337228382E-5</v>
      </c>
      <c r="T301" s="5">
        <v>1.1530848814816204E-5</v>
      </c>
      <c r="U301" s="5">
        <v>1.1530848814816204E-5</v>
      </c>
      <c r="V301" s="5">
        <v>0</v>
      </c>
      <c r="W301" s="5">
        <v>0</v>
      </c>
      <c r="X301" s="5">
        <v>2.5820048252113472</v>
      </c>
      <c r="Y301" s="5">
        <v>5065.7177322938196</v>
      </c>
      <c r="Z301" s="5">
        <f t="shared" ref="Z301:AA301" si="130">Z300+0.0002</f>
        <v>-7.9999999999999982E-4</v>
      </c>
      <c r="AA301" s="5">
        <f t="shared" si="130"/>
        <v>-6.0000000000000006E-4</v>
      </c>
      <c r="AB301" s="4">
        <v>2</v>
      </c>
    </row>
    <row r="302" spans="1:28" x14ac:dyDescent="0.25">
      <c r="C302" s="4">
        <v>4</v>
      </c>
      <c r="D302" s="5">
        <v>118116486573.67511</v>
      </c>
      <c r="E302" s="5">
        <v>118116486573.67511</v>
      </c>
      <c r="F302" s="5">
        <v>0.29567925868183159</v>
      </c>
      <c r="G302" s="5">
        <v>0</v>
      </c>
      <c r="H302" s="5">
        <v>44127592634.925476</v>
      </c>
      <c r="I302" s="5">
        <v>45820962965.079605</v>
      </c>
      <c r="J302" s="5">
        <v>45820962965.079605</v>
      </c>
      <c r="K302" s="5">
        <v>-3.8460202851259784E-11</v>
      </c>
      <c r="L302" s="5">
        <v>-3.8460202851259784E-11</v>
      </c>
      <c r="M302" s="5">
        <v>0</v>
      </c>
      <c r="N302" s="5">
        <v>2.0000000000000001E-4</v>
      </c>
      <c r="O302" s="5">
        <v>55.598814020532686</v>
      </c>
      <c r="P302" s="5">
        <v>55.598814020532686</v>
      </c>
      <c r="Q302" s="5">
        <v>7.1358847357248427E-9</v>
      </c>
      <c r="R302" s="5">
        <v>0</v>
      </c>
      <c r="S302" s="5">
        <v>6.7869259777837056E-5</v>
      </c>
      <c r="T302" s="5">
        <v>1.1579185165077065E-5</v>
      </c>
      <c r="U302" s="5">
        <v>1.1579185165077065E-5</v>
      </c>
      <c r="V302" s="5">
        <v>0</v>
      </c>
      <c r="W302" s="5">
        <v>0</v>
      </c>
      <c r="X302" s="5">
        <v>2.5455432074071251</v>
      </c>
      <c r="Y302" s="5">
        <v>4922.5308624336612</v>
      </c>
      <c r="Z302" s="5">
        <f t="shared" ref="Z302:AA302" si="131">Z301+0.0002</f>
        <v>-5.9999999999999984E-4</v>
      </c>
      <c r="AA302" s="5">
        <f t="shared" si="131"/>
        <v>-4.0000000000000007E-4</v>
      </c>
      <c r="AB302" s="4">
        <v>2</v>
      </c>
    </row>
    <row r="303" spans="1:28" x14ac:dyDescent="0.25">
      <c r="C303" s="4">
        <v>5</v>
      </c>
      <c r="D303" s="5">
        <v>110836328695.42953</v>
      </c>
      <c r="E303" s="5">
        <v>110836328695.42953</v>
      </c>
      <c r="F303" s="5">
        <v>0.28003391294354057</v>
      </c>
      <c r="G303" s="5">
        <v>0</v>
      </c>
      <c r="H303" s="5">
        <v>41576530771.650467</v>
      </c>
      <c r="I303" s="5">
        <v>44047576538.58252</v>
      </c>
      <c r="J303" s="5">
        <v>44047576538.58252</v>
      </c>
      <c r="K303" s="5">
        <v>-4.2902708760269567E-11</v>
      </c>
      <c r="L303" s="5">
        <v>-4.2902708760269567E-11</v>
      </c>
      <c r="M303" s="5">
        <v>0</v>
      </c>
      <c r="N303" s="5">
        <v>2.0000000000000001E-4</v>
      </c>
      <c r="O303" s="5">
        <v>43.280647214062725</v>
      </c>
      <c r="P303" s="5">
        <v>43.280647214062725</v>
      </c>
      <c r="Q303" s="5">
        <v>7.9475557436998757E-9</v>
      </c>
      <c r="R303" s="5">
        <v>0</v>
      </c>
      <c r="S303" s="5">
        <v>5.4456251952718212E-5</v>
      </c>
      <c r="T303" s="5">
        <v>1.1563022883466029E-5</v>
      </c>
      <c r="U303" s="5">
        <v>1.1563022883466029E-5</v>
      </c>
      <c r="V303" s="5">
        <v>0</v>
      </c>
      <c r="W303" s="5">
        <v>0</v>
      </c>
      <c r="X303" s="5">
        <v>2.5011607049870559</v>
      </c>
      <c r="Y303" s="5">
        <v>4773.6862178478968</v>
      </c>
      <c r="Z303" s="5">
        <f t="shared" ref="Z303:AA303" si="132">Z302+0.0002</f>
        <v>-3.9999999999999986E-4</v>
      </c>
      <c r="AA303" s="5">
        <f t="shared" si="132"/>
        <v>-2.0000000000000006E-4</v>
      </c>
      <c r="AB303" s="4">
        <v>2</v>
      </c>
    </row>
    <row r="304" spans="1:28" x14ac:dyDescent="0.25">
      <c r="C304" s="4">
        <v>6</v>
      </c>
      <c r="D304" s="5">
        <v>103849847854.74916</v>
      </c>
      <c r="E304" s="5">
        <v>103849847854.74916</v>
      </c>
      <c r="F304" s="5">
        <v>0.26485542797536954</v>
      </c>
      <c r="G304" s="5">
        <v>0</v>
      </c>
      <c r="H304" s="5">
        <v>39117628262.030716</v>
      </c>
      <c r="I304" s="5">
        <v>42278798079.768204</v>
      </c>
      <c r="J304" s="5">
        <v>42278798079.768204</v>
      </c>
      <c r="K304" s="5">
        <v>-4.6732063583433549E-11</v>
      </c>
      <c r="L304" s="5">
        <v>-4.6732063583433549E-11</v>
      </c>
      <c r="M304" s="5">
        <v>0</v>
      </c>
      <c r="N304" s="5">
        <v>2.0000000000000001E-4</v>
      </c>
      <c r="O304" s="5">
        <v>32.025704119676035</v>
      </c>
      <c r="P304" s="5">
        <v>32.025704119676035</v>
      </c>
      <c r="Q304" s="5">
        <v>8.646772713686489E-9</v>
      </c>
      <c r="R304" s="5">
        <v>0</v>
      </c>
      <c r="S304" s="5">
        <v>4.2172196209876162E-5</v>
      </c>
      <c r="T304" s="5">
        <v>1.1503084908868747E-5</v>
      </c>
      <c r="U304" s="5">
        <v>1.1503084908868747E-5</v>
      </c>
      <c r="V304" s="5">
        <v>0</v>
      </c>
      <c r="W304" s="5">
        <v>0</v>
      </c>
      <c r="X304" s="5">
        <v>2.451402240270431</v>
      </c>
      <c r="Y304" s="5">
        <v>4621.0016001931654</v>
      </c>
      <c r="Z304" s="5">
        <f t="shared" ref="Z304:AA304" si="133">Z303+0.0002</f>
        <v>-1.9999999999999985E-4</v>
      </c>
      <c r="AA304" s="5">
        <f t="shared" si="133"/>
        <v>0</v>
      </c>
      <c r="AB304" s="4">
        <v>2</v>
      </c>
    </row>
    <row r="305" spans="1:28" x14ac:dyDescent="0.25">
      <c r="C305" s="4">
        <v>7</v>
      </c>
      <c r="D305" s="5">
        <v>97079568857.510498</v>
      </c>
      <c r="E305" s="5">
        <v>97079568857.510498</v>
      </c>
      <c r="F305" s="5">
        <v>0.25002064083242648</v>
      </c>
      <c r="G305" s="5">
        <v>0</v>
      </c>
      <c r="H305" s="5">
        <v>36726572467.005486</v>
      </c>
      <c r="I305" s="5">
        <v>40513411956.683609</v>
      </c>
      <c r="J305" s="5">
        <v>40513411956.683609</v>
      </c>
      <c r="K305" s="5">
        <v>-5.0110023240781454E-11</v>
      </c>
      <c r="L305" s="5">
        <v>-5.0110023240781454E-11</v>
      </c>
      <c r="M305" s="5">
        <v>0</v>
      </c>
      <c r="N305" s="5">
        <v>2.0000000000000001E-4</v>
      </c>
      <c r="O305" s="5">
        <v>21.553494767256652</v>
      </c>
      <c r="P305" s="5">
        <v>21.553494767256652</v>
      </c>
      <c r="Q305" s="5">
        <v>9.2632022430303953E-9</v>
      </c>
      <c r="R305" s="5">
        <v>0</v>
      </c>
      <c r="S305" s="5">
        <v>3.0719262720817217E-5</v>
      </c>
      <c r="T305" s="5">
        <v>1.1410919744839061E-5</v>
      </c>
      <c r="U305" s="5">
        <v>1.1410919744839061E-5</v>
      </c>
      <c r="V305" s="5">
        <v>0</v>
      </c>
      <c r="W305" s="5">
        <v>0</v>
      </c>
      <c r="X305" s="5">
        <v>2.3976860505357909</v>
      </c>
      <c r="Y305" s="5">
        <v>4465.4900360969932</v>
      </c>
      <c r="Z305" s="5">
        <f t="shared" ref="Z305:AA305" si="134">Z304+0.0002</f>
        <v>0</v>
      </c>
      <c r="AA305" s="5">
        <f t="shared" si="134"/>
        <v>2.0000000000000001E-4</v>
      </c>
      <c r="AB305" s="4">
        <v>2</v>
      </c>
    </row>
    <row r="306" spans="1:28" x14ac:dyDescent="0.25">
      <c r="C306" s="4">
        <v>8</v>
      </c>
      <c r="D306" s="5">
        <v>90477066623.79718</v>
      </c>
      <c r="E306" s="5">
        <v>90477066623.79718</v>
      </c>
      <c r="F306" s="5">
        <v>0.23545256977214718</v>
      </c>
      <c r="G306" s="5">
        <v>0</v>
      </c>
      <c r="H306" s="5">
        <v>34388167019.494858</v>
      </c>
      <c r="I306" s="5">
        <v>38750658350.974747</v>
      </c>
      <c r="J306" s="5">
        <v>38750658350.974747</v>
      </c>
      <c r="K306" s="5">
        <v>-5.3137691620376957E-11</v>
      </c>
      <c r="L306" s="5">
        <v>-5.3137691620376957E-11</v>
      </c>
      <c r="M306" s="5">
        <v>0</v>
      </c>
      <c r="N306" s="5">
        <v>2.0000000000000001E-4</v>
      </c>
      <c r="O306" s="5">
        <v>11.688701761704777</v>
      </c>
      <c r="P306" s="5">
        <v>11.688701761704777</v>
      </c>
      <c r="Q306" s="5">
        <v>9.8153871358324896E-9</v>
      </c>
      <c r="R306" s="5">
        <v>0</v>
      </c>
      <c r="S306" s="5">
        <v>1.9911295988812046E-5</v>
      </c>
      <c r="T306" s="5">
        <v>1.1293745665739941E-5</v>
      </c>
      <c r="U306" s="5">
        <v>1.1293745665739941E-5</v>
      </c>
      <c r="V306" s="5">
        <v>0</v>
      </c>
      <c r="W306" s="5">
        <v>0</v>
      </c>
      <c r="X306" s="5">
        <v>2.3408985905294664</v>
      </c>
      <c r="Y306" s="5">
        <v>4307.7847075210475</v>
      </c>
      <c r="Z306" s="5">
        <f t="shared" ref="Z306:AA306" si="135">Z305+0.0002</f>
        <v>2.0000000000000001E-4</v>
      </c>
      <c r="AA306" s="5">
        <f t="shared" si="135"/>
        <v>4.0000000000000002E-4</v>
      </c>
      <c r="AB306" s="4">
        <v>2</v>
      </c>
    </row>
    <row r="307" spans="1:28" x14ac:dyDescent="0.25">
      <c r="C307" s="4">
        <v>9</v>
      </c>
      <c r="D307" s="5">
        <v>84009677667.321487</v>
      </c>
      <c r="E307" s="5">
        <v>84009677667.321487</v>
      </c>
      <c r="F307" s="5">
        <v>0.22109928938528101</v>
      </c>
      <c r="G307" s="5">
        <v>0</v>
      </c>
      <c r="H307" s="5">
        <v>32092161728.304588</v>
      </c>
      <c r="I307" s="5">
        <v>36990024753.081894</v>
      </c>
      <c r="J307" s="5">
        <v>36990024753.081894</v>
      </c>
      <c r="K307" s="5">
        <v>-5.5883264902115023E-11</v>
      </c>
      <c r="L307" s="5">
        <v>-5.5883264902115023E-11</v>
      </c>
      <c r="M307" s="5">
        <v>0</v>
      </c>
      <c r="N307" s="5">
        <v>2.0000000000000001E-4</v>
      </c>
      <c r="O307" s="5">
        <v>2.3130707327491784</v>
      </c>
      <c r="P307" s="5">
        <v>2.3130707327491784</v>
      </c>
      <c r="Q307" s="5">
        <v>1.0315834808260833E-8</v>
      </c>
      <c r="R307" s="5">
        <v>0</v>
      </c>
      <c r="S307" s="5">
        <v>9.6227311717312002E-6</v>
      </c>
      <c r="T307" s="5">
        <v>1.1156431512388653E-5</v>
      </c>
      <c r="U307" s="5">
        <v>1.1156431512388653E-5</v>
      </c>
      <c r="V307" s="5">
        <v>0</v>
      </c>
      <c r="W307" s="5">
        <v>0</v>
      </c>
      <c r="X307" s="5">
        <v>2.2816377880711212</v>
      </c>
      <c r="Y307" s="5">
        <v>4148.3127057650863</v>
      </c>
      <c r="Z307" s="5">
        <f t="shared" ref="Z307:AA307" si="136">Z306+0.0002</f>
        <v>4.0000000000000002E-4</v>
      </c>
      <c r="AA307" s="5">
        <f t="shared" si="136"/>
        <v>6.0000000000000006E-4</v>
      </c>
      <c r="AB307" s="4">
        <v>2</v>
      </c>
    </row>
    <row r="308" spans="1:28" x14ac:dyDescent="0.25">
      <c r="C308" s="4">
        <v>10</v>
      </c>
      <c r="D308" s="5">
        <v>77654134827.802734</v>
      </c>
      <c r="E308" s="5">
        <v>77654134827.802734</v>
      </c>
      <c r="F308" s="5">
        <v>0.20692381167829191</v>
      </c>
      <c r="G308" s="5">
        <v>0</v>
      </c>
      <c r="H308" s="5">
        <v>29831255081.302021</v>
      </c>
      <c r="I308" s="5">
        <v>35231146087.398437</v>
      </c>
      <c r="J308" s="5">
        <v>35231146087.398437</v>
      </c>
      <c r="K308" s="5">
        <v>-5.8395321227170492E-11</v>
      </c>
      <c r="L308" s="5">
        <v>-5.8395321227170492E-11</v>
      </c>
      <c r="M308" s="5">
        <v>0</v>
      </c>
      <c r="N308" s="5">
        <v>2.0000000000000001E-4</v>
      </c>
      <c r="O308" s="5">
        <v>-6.6576343794954411</v>
      </c>
      <c r="P308" s="5">
        <v>-6.6576343794954411</v>
      </c>
      <c r="Q308" s="5">
        <v>1.0773454660068911E-8</v>
      </c>
      <c r="R308" s="5">
        <v>0</v>
      </c>
      <c r="S308" s="5">
        <v>-2.3587525405022647E-7</v>
      </c>
      <c r="T308" s="5">
        <v>1.1002445503048203E-5</v>
      </c>
      <c r="U308" s="5">
        <v>1.1002445503048203E-5</v>
      </c>
      <c r="V308" s="5">
        <v>0</v>
      </c>
      <c r="W308" s="5">
        <v>0</v>
      </c>
      <c r="X308" s="5">
        <v>2.2203295647018262</v>
      </c>
      <c r="Y308" s="5">
        <v>3987.3782605013048</v>
      </c>
      <c r="Z308" s="5">
        <f t="shared" ref="Z308:AA308" si="137">Z307+0.0002</f>
        <v>6.0000000000000006E-4</v>
      </c>
      <c r="AA308" s="5">
        <f t="shared" si="137"/>
        <v>8.0000000000000004E-4</v>
      </c>
      <c r="AB308" s="4">
        <v>2</v>
      </c>
    </row>
    <row r="309" spans="1:28" x14ac:dyDescent="0.25">
      <c r="C309" s="4">
        <v>11</v>
      </c>
      <c r="D309" s="5">
        <v>71393169038.823288</v>
      </c>
      <c r="E309" s="5">
        <v>71393169038.823288</v>
      </c>
      <c r="F309" s="5">
        <v>0.19289868387613884</v>
      </c>
      <c r="G309" s="5">
        <v>0</v>
      </c>
      <c r="H309" s="5">
        <v>27600027839.678177</v>
      </c>
      <c r="I309" s="5">
        <v>33473751391.98391</v>
      </c>
      <c r="J309" s="5">
        <v>33473751391.98391</v>
      </c>
      <c r="K309" s="5">
        <v>-6.070991566785451E-11</v>
      </c>
      <c r="L309" s="5">
        <v>-6.070991566785451E-11</v>
      </c>
      <c r="M309" s="5">
        <v>0</v>
      </c>
      <c r="N309" s="5">
        <v>2.0000000000000001E-4</v>
      </c>
      <c r="O309" s="5">
        <v>-15.285934230552648</v>
      </c>
      <c r="P309" s="5">
        <v>-15.285934230552648</v>
      </c>
      <c r="Q309" s="5">
        <v>1.1194859316700843E-8</v>
      </c>
      <c r="R309" s="5">
        <v>0</v>
      </c>
      <c r="S309" s="5">
        <v>-9.7309089639423461E-6</v>
      </c>
      <c r="T309" s="5">
        <v>1.0834361776152865E-5</v>
      </c>
      <c r="U309" s="5">
        <v>1.0834361776152865E-5</v>
      </c>
      <c r="V309" s="5">
        <v>0</v>
      </c>
      <c r="W309" s="5">
        <v>0</v>
      </c>
      <c r="X309" s="5">
        <v>2.1572900426854398</v>
      </c>
      <c r="Y309" s="5">
        <v>3825.2071733467428</v>
      </c>
      <c r="Z309" s="5">
        <f t="shared" ref="Z309:AA309" si="138">Z308+0.0002</f>
        <v>8.0000000000000004E-4</v>
      </c>
      <c r="AA309" s="5">
        <f t="shared" si="138"/>
        <v>1E-3</v>
      </c>
      <c r="AB309" s="4">
        <v>2</v>
      </c>
    </row>
    <row r="310" spans="1:28" x14ac:dyDescent="0.25">
      <c r="B310" t="s">
        <v>187</v>
      </c>
      <c r="C310" s="11">
        <v>12</v>
      </c>
      <c r="D310" s="5">
        <v>65213544788.811249</v>
      </c>
      <c r="E310" s="5">
        <v>65213544788.811249</v>
      </c>
      <c r="F310" s="5">
        <v>0.17900286537865567</v>
      </c>
      <c r="G310" s="5">
        <v>0</v>
      </c>
      <c r="H310" s="5">
        <v>25394326542.19593</v>
      </c>
      <c r="I310" s="5">
        <v>31717632993.776463</v>
      </c>
      <c r="J310" s="5">
        <v>31717632993.776463</v>
      </c>
      <c r="K310" s="5">
        <v>-6.2854681873563992E-11</v>
      </c>
      <c r="L310" s="5">
        <v>-6.2854681873563992E-11</v>
      </c>
      <c r="M310" s="5">
        <v>0</v>
      </c>
      <c r="N310" s="5">
        <v>2.0000000000000001E-4</v>
      </c>
      <c r="O310" s="5">
        <v>-23.619746457638538</v>
      </c>
      <c r="P310" s="5">
        <v>-23.619746457638538</v>
      </c>
      <c r="Q310" s="5">
        <v>1.1585116885399319E-8</v>
      </c>
      <c r="R310" s="5">
        <v>0</v>
      </c>
      <c r="S310" s="5">
        <v>-1.8913249858099807E-5</v>
      </c>
      <c r="T310" s="5">
        <v>1.0654153225790263E-5</v>
      </c>
      <c r="U310" s="5">
        <v>1.0654153225790263E-5</v>
      </c>
      <c r="V310" s="5">
        <v>0</v>
      </c>
      <c r="W310" s="5">
        <v>0</v>
      </c>
      <c r="X310" s="5">
        <v>2.0927615072607928</v>
      </c>
      <c r="Y310" s="5">
        <v>3661.9725051862802</v>
      </c>
      <c r="Z310" s="5">
        <f t="shared" ref="Z310:AA310" si="139">Z309+0.0002</f>
        <v>1E-3</v>
      </c>
      <c r="AA310" s="5">
        <f t="shared" si="139"/>
        <v>1.2000000000000001E-3</v>
      </c>
      <c r="AB310" s="4">
        <v>2</v>
      </c>
    </row>
    <row r="314" spans="1:28" x14ac:dyDescent="0.25">
      <c r="A314" s="15" t="s">
        <v>252</v>
      </c>
      <c r="C314" s="10" t="s">
        <v>27</v>
      </c>
      <c r="D314" s="10" t="s">
        <v>28</v>
      </c>
      <c r="E314" s="10" t="s">
        <v>29</v>
      </c>
      <c r="F314" s="10" t="s">
        <v>30</v>
      </c>
      <c r="G314" s="10" t="s">
        <v>31</v>
      </c>
      <c r="H314" s="10" t="s">
        <v>47</v>
      </c>
      <c r="I314" s="10" t="s">
        <v>32</v>
      </c>
      <c r="J314" s="10" t="s">
        <v>33</v>
      </c>
      <c r="K314" s="10" t="s">
        <v>34</v>
      </c>
      <c r="L314" s="10" t="s">
        <v>35</v>
      </c>
      <c r="M314" s="10" t="s">
        <v>36</v>
      </c>
      <c r="N314" s="10" t="s">
        <v>37</v>
      </c>
      <c r="O314" s="10" t="s">
        <v>38</v>
      </c>
      <c r="P314" s="10" t="s">
        <v>39</v>
      </c>
      <c r="Q314" s="10" t="s">
        <v>40</v>
      </c>
      <c r="R314" s="10" t="s">
        <v>41</v>
      </c>
      <c r="S314" s="10" t="s">
        <v>42</v>
      </c>
      <c r="T314" s="10" t="s">
        <v>102</v>
      </c>
      <c r="U314" s="10" t="s">
        <v>77</v>
      </c>
      <c r="V314" s="10" t="s">
        <v>78</v>
      </c>
      <c r="W314" s="10" t="s">
        <v>79</v>
      </c>
      <c r="X314" s="10" t="s">
        <v>80</v>
      </c>
      <c r="Y314" s="10" t="s">
        <v>43</v>
      </c>
      <c r="Z314" s="10" t="s">
        <v>44</v>
      </c>
      <c r="AA314" s="10" t="s">
        <v>45</v>
      </c>
      <c r="AB314" s="10" t="s">
        <v>46</v>
      </c>
    </row>
    <row r="315" spans="1:28" x14ac:dyDescent="0.25">
      <c r="A315" s="12" t="s">
        <v>138</v>
      </c>
      <c r="B315" t="s">
        <v>183</v>
      </c>
      <c r="C315" s="11">
        <v>1</v>
      </c>
      <c r="D315" s="5">
        <v>143378906201.3978</v>
      </c>
      <c r="E315" s="5">
        <v>143378906201.3978</v>
      </c>
      <c r="F315" s="5">
        <v>0.34703718629625052</v>
      </c>
      <c r="G315" s="5">
        <v>0</v>
      </c>
      <c r="H315" s="5">
        <v>52788010257.216827</v>
      </c>
      <c r="I315" s="5">
        <v>50780025512.86084</v>
      </c>
      <c r="J315" s="5">
        <v>50780025512.86084</v>
      </c>
      <c r="K315" s="5">
        <v>-1.5298877181290984E-11</v>
      </c>
      <c r="L315" s="5">
        <v>-1.5298877181290984E-11</v>
      </c>
      <c r="M315" s="5">
        <v>0</v>
      </c>
      <c r="N315" s="5">
        <v>2.0000000000000001E-4</v>
      </c>
      <c r="O315" s="5">
        <v>108.45177417957937</v>
      </c>
      <c r="P315" s="5">
        <v>108.45177417957937</v>
      </c>
      <c r="Q315" s="5">
        <v>2.8965421923444007E-9</v>
      </c>
      <c r="R315" s="5">
        <v>0</v>
      </c>
      <c r="S315" s="5">
        <v>1.249062506509061E-4</v>
      </c>
      <c r="T315" s="5">
        <v>1.0842257627822008E-5</v>
      </c>
      <c r="U315" s="5">
        <v>1.0842257627822008E-5</v>
      </c>
      <c r="V315" s="5">
        <v>0</v>
      </c>
      <c r="W315" s="5">
        <v>0</v>
      </c>
      <c r="X315" s="5">
        <v>2.5716369016623517</v>
      </c>
      <c r="Y315" s="5">
        <v>5263.3120726159659</v>
      </c>
      <c r="Z315" s="5">
        <v>-1.1999999999999999E-3</v>
      </c>
      <c r="AA315" s="5">
        <v>-1E-3</v>
      </c>
      <c r="AB315" s="4">
        <v>2</v>
      </c>
    </row>
    <row r="316" spans="1:28" x14ac:dyDescent="0.25">
      <c r="C316" s="4">
        <v>2</v>
      </c>
      <c r="D316" s="5">
        <v>130892259297.71535</v>
      </c>
      <c r="E316" s="5">
        <v>130892259297.71535</v>
      </c>
      <c r="F316" s="5">
        <v>0.32107903286151068</v>
      </c>
      <c r="G316" s="5">
        <v>0</v>
      </c>
      <c r="H316" s="5">
        <v>48469859312.880714</v>
      </c>
      <c r="I316" s="5">
        <v>48095367965.644035</v>
      </c>
      <c r="J316" s="5">
        <v>48095367965.644035</v>
      </c>
      <c r="K316" s="5">
        <v>-2.5233051918195111E-11</v>
      </c>
      <c r="L316" s="5">
        <v>-2.5233051918195111E-11</v>
      </c>
      <c r="M316" s="5">
        <v>0</v>
      </c>
      <c r="N316" s="5">
        <v>2.0000000000000001E-4</v>
      </c>
      <c r="O316" s="5">
        <v>84.303517613970129</v>
      </c>
      <c r="P316" s="5">
        <v>84.303517613970129</v>
      </c>
      <c r="Q316" s="5">
        <v>4.7138543302837116E-9</v>
      </c>
      <c r="R316" s="5">
        <v>0</v>
      </c>
      <c r="S316" s="5">
        <v>9.8765151582788755E-5</v>
      </c>
      <c r="T316" s="5">
        <v>1.1051504326381659E-5</v>
      </c>
      <c r="U316" s="5">
        <v>1.1051504326381659E-5</v>
      </c>
      <c r="V316" s="5">
        <v>0</v>
      </c>
      <c r="W316" s="5">
        <v>0</v>
      </c>
      <c r="X316" s="5">
        <v>2.5337373734152915</v>
      </c>
      <c r="Y316" s="5">
        <v>5060.5266952966367</v>
      </c>
      <c r="Z316" s="5">
        <f t="shared" ref="Z316:AA316" si="140">Z315+0.0002</f>
        <v>-9.999999999999998E-4</v>
      </c>
      <c r="AA316" s="5">
        <f t="shared" si="140"/>
        <v>-8.0000000000000004E-4</v>
      </c>
      <c r="AB316" s="4">
        <v>2</v>
      </c>
    </row>
    <row r="317" spans="1:28" x14ac:dyDescent="0.25">
      <c r="C317" s="4">
        <v>3</v>
      </c>
      <c r="D317" s="5">
        <v>120185551360.86612</v>
      </c>
      <c r="E317" s="5">
        <v>120185551360.86612</v>
      </c>
      <c r="F317" s="5">
        <v>0.29795046284845017</v>
      </c>
      <c r="G317" s="5">
        <v>0</v>
      </c>
      <c r="H317" s="5">
        <v>44710274424.948341</v>
      </c>
      <c r="I317" s="5">
        <v>45438638721.247414</v>
      </c>
      <c r="J317" s="5">
        <v>45438638721.247414</v>
      </c>
      <c r="K317" s="5">
        <v>-3.1450996338622221E-11</v>
      </c>
      <c r="L317" s="5">
        <v>-3.1450996338622221E-11</v>
      </c>
      <c r="M317" s="5">
        <v>0</v>
      </c>
      <c r="N317" s="5">
        <v>2.0000000000000001E-4</v>
      </c>
      <c r="O317" s="5">
        <v>66.599323993451605</v>
      </c>
      <c r="P317" s="5">
        <v>66.599323993451605</v>
      </c>
      <c r="Q317" s="5">
        <v>5.8495969255280849E-9</v>
      </c>
      <c r="R317" s="5">
        <v>0</v>
      </c>
      <c r="S317" s="5">
        <v>7.9466486705617148E-5</v>
      </c>
      <c r="T317" s="5">
        <v>1.0995432148149538E-5</v>
      </c>
      <c r="U317" s="5">
        <v>1.0995432148149538E-5</v>
      </c>
      <c r="V317" s="5">
        <v>0</v>
      </c>
      <c r="W317" s="5">
        <v>0</v>
      </c>
      <c r="X317" s="5">
        <v>2.4632548252113473</v>
      </c>
      <c r="Y317" s="5">
        <v>4834.4677322938196</v>
      </c>
      <c r="Z317" s="5">
        <f t="shared" ref="Z317:AA317" si="141">Z316+0.0002</f>
        <v>-7.9999999999999982E-4</v>
      </c>
      <c r="AA317" s="5">
        <f t="shared" si="141"/>
        <v>-6.0000000000000006E-4</v>
      </c>
      <c r="AB317" s="4">
        <v>2</v>
      </c>
    </row>
    <row r="318" spans="1:28" x14ac:dyDescent="0.25">
      <c r="C318" s="4">
        <v>4</v>
      </c>
      <c r="D318" s="5">
        <v>110215175453.70407</v>
      </c>
      <c r="E318" s="5">
        <v>110215175453.70407</v>
      </c>
      <c r="F318" s="5">
        <v>0.27599244583910365</v>
      </c>
      <c r="G318" s="5">
        <v>0</v>
      </c>
      <c r="H318" s="5">
        <v>41181759301.59214</v>
      </c>
      <c r="I318" s="5">
        <v>42793462965.079605</v>
      </c>
      <c r="J318" s="5">
        <v>42793462965.079605</v>
      </c>
      <c r="K318" s="5">
        <v>-3.613159624179045E-11</v>
      </c>
      <c r="L318" s="5">
        <v>-3.613159624179045E-11</v>
      </c>
      <c r="M318" s="5">
        <v>0</v>
      </c>
      <c r="N318" s="5">
        <v>2.0000000000000001E-4</v>
      </c>
      <c r="O318" s="5">
        <v>51.560935232653904</v>
      </c>
      <c r="P318" s="5">
        <v>51.560935232653904</v>
      </c>
      <c r="Q318" s="5">
        <v>6.7033851986878054E-9</v>
      </c>
      <c r="R318" s="5">
        <v>0</v>
      </c>
      <c r="S318" s="5">
        <v>6.2998426444503728E-5</v>
      </c>
      <c r="T318" s="5">
        <v>1.0829601831743733E-5</v>
      </c>
      <c r="U318" s="5">
        <v>1.0829601831743733E-5</v>
      </c>
      <c r="V318" s="5">
        <v>0</v>
      </c>
      <c r="W318" s="5">
        <v>0</v>
      </c>
      <c r="X318" s="5">
        <v>2.3792932074071254</v>
      </c>
      <c r="Y318" s="5">
        <v>4598.7808624336612</v>
      </c>
      <c r="Z318" s="5">
        <f t="shared" ref="Z318:AA318" si="142">Z317+0.0002</f>
        <v>-5.9999999999999984E-4</v>
      </c>
      <c r="AA318" s="5">
        <f t="shared" si="142"/>
        <v>-4.0000000000000007E-4</v>
      </c>
      <c r="AB318" s="4">
        <v>2</v>
      </c>
    </row>
    <row r="319" spans="1:28" x14ac:dyDescent="0.25">
      <c r="C319" s="4">
        <v>5</v>
      </c>
      <c r="D319" s="5">
        <v>100677500112.6096</v>
      </c>
      <c r="E319" s="5">
        <v>100677500112.6096</v>
      </c>
      <c r="F319" s="5">
        <v>0.25472229643146171</v>
      </c>
      <c r="G319" s="5">
        <v>0</v>
      </c>
      <c r="H319" s="5">
        <v>37789030771.650467</v>
      </c>
      <c r="I319" s="5">
        <v>40155076538.58252</v>
      </c>
      <c r="J319" s="5">
        <v>40155076538.58252</v>
      </c>
      <c r="K319" s="5">
        <v>-3.9908785976666138E-11</v>
      </c>
      <c r="L319" s="5">
        <v>-3.9908785976666138E-11</v>
      </c>
      <c r="M319" s="5">
        <v>0</v>
      </c>
      <c r="N319" s="5">
        <v>2.0000000000000001E-4</v>
      </c>
      <c r="O319" s="5">
        <v>38.08908877250429</v>
      </c>
      <c r="P319" s="5">
        <v>38.08908877250429</v>
      </c>
      <c r="Q319" s="5">
        <v>7.3914849103665423E-9</v>
      </c>
      <c r="R319" s="5">
        <v>0</v>
      </c>
      <c r="S319" s="5">
        <v>4.8193751952718209E-5</v>
      </c>
      <c r="T319" s="5">
        <v>1.0599272883466029E-5</v>
      </c>
      <c r="U319" s="5">
        <v>1.0599272883466029E-5</v>
      </c>
      <c r="V319" s="5">
        <v>0</v>
      </c>
      <c r="W319" s="5">
        <v>0</v>
      </c>
      <c r="X319" s="5">
        <v>2.2874107049870562</v>
      </c>
      <c r="Y319" s="5">
        <v>4357.4362178478968</v>
      </c>
      <c r="Z319" s="5">
        <f t="shared" ref="Z319:AA319" si="143">Z318+0.0002</f>
        <v>-3.9999999999999986E-4</v>
      </c>
      <c r="AA319" s="5">
        <f t="shared" si="143"/>
        <v>-2.0000000000000006E-4</v>
      </c>
      <c r="AB319" s="4">
        <v>2</v>
      </c>
    </row>
    <row r="320" spans="1:28" x14ac:dyDescent="0.25">
      <c r="C320" s="4">
        <v>6</v>
      </c>
      <c r="D320" s="5">
        <v>91433501809.080368</v>
      </c>
      <c r="E320" s="5">
        <v>91433501809.080368</v>
      </c>
      <c r="F320" s="5">
        <v>0.23391900779393987</v>
      </c>
      <c r="G320" s="5">
        <v>0</v>
      </c>
      <c r="H320" s="5">
        <v>34488461595.364044</v>
      </c>
      <c r="I320" s="5">
        <v>37521298079.768204</v>
      </c>
      <c r="J320" s="5">
        <v>37521298079.768204</v>
      </c>
      <c r="K320" s="5">
        <v>-4.3072824625696025E-11</v>
      </c>
      <c r="L320" s="5">
        <v>-4.3072824625696025E-11</v>
      </c>
      <c r="M320" s="5">
        <v>0</v>
      </c>
      <c r="N320" s="5">
        <v>2.0000000000000001E-4</v>
      </c>
      <c r="O320" s="5">
        <v>25.680466024437944</v>
      </c>
      <c r="P320" s="5">
        <v>25.680466024437944</v>
      </c>
      <c r="Q320" s="5">
        <v>7.9671305840568594E-9</v>
      </c>
      <c r="R320" s="5">
        <v>0</v>
      </c>
      <c r="S320" s="5">
        <v>3.4518029543209496E-5</v>
      </c>
      <c r="T320" s="5">
        <v>1.0325168242202081E-5</v>
      </c>
      <c r="U320" s="5">
        <v>1.0325168242202081E-5</v>
      </c>
      <c r="V320" s="5">
        <v>0</v>
      </c>
      <c r="W320" s="5">
        <v>0</v>
      </c>
      <c r="X320" s="5">
        <v>2.190152240270431</v>
      </c>
      <c r="Y320" s="5">
        <v>4112.2516001931654</v>
      </c>
      <c r="Z320" s="5">
        <f t="shared" ref="Z320:AA320" si="144">Z319+0.0002</f>
        <v>-1.9999999999999985E-4</v>
      </c>
      <c r="AA320" s="5">
        <f t="shared" si="144"/>
        <v>0</v>
      </c>
      <c r="AB320" s="4">
        <v>2</v>
      </c>
    </row>
    <row r="321" spans="1:28" x14ac:dyDescent="0.25">
      <c r="C321" s="4">
        <v>7</v>
      </c>
      <c r="D321" s="5">
        <v>82405705348.992828</v>
      </c>
      <c r="E321" s="5">
        <v>82405705348.992828</v>
      </c>
      <c r="F321" s="5">
        <v>0.21345941698164594</v>
      </c>
      <c r="G321" s="5">
        <v>0</v>
      </c>
      <c r="H321" s="5">
        <v>31255739133.67215</v>
      </c>
      <c r="I321" s="5">
        <v>34890911956.683609</v>
      </c>
      <c r="J321" s="5">
        <v>34890911956.683609</v>
      </c>
      <c r="K321" s="5">
        <v>-4.5785468108909829E-11</v>
      </c>
      <c r="L321" s="5">
        <v>-4.5785468108909829E-11</v>
      </c>
      <c r="M321" s="5">
        <v>0</v>
      </c>
      <c r="N321" s="5">
        <v>2.0000000000000001E-4</v>
      </c>
      <c r="O321" s="5">
        <v>14.054577018338907</v>
      </c>
      <c r="P321" s="5">
        <v>14.054577018338907</v>
      </c>
      <c r="Q321" s="5">
        <v>8.4599888171044695E-9</v>
      </c>
      <c r="R321" s="5">
        <v>0</v>
      </c>
      <c r="S321" s="5">
        <v>2.1673429387483889E-5</v>
      </c>
      <c r="T321" s="5">
        <v>1.0018836411505728E-5</v>
      </c>
      <c r="U321" s="5">
        <v>1.0018836411505728E-5</v>
      </c>
      <c r="V321" s="5">
        <v>0</v>
      </c>
      <c r="W321" s="5">
        <v>0</v>
      </c>
      <c r="X321" s="5">
        <v>2.088936050535791</v>
      </c>
      <c r="Y321" s="5">
        <v>3864.2400360969932</v>
      </c>
      <c r="Z321" s="5">
        <f t="shared" ref="Z321:AA321" si="145">Z320+0.0002</f>
        <v>0</v>
      </c>
      <c r="AA321" s="5">
        <f t="shared" si="145"/>
        <v>2.0000000000000001E-4</v>
      </c>
      <c r="AB321" s="4">
        <v>2</v>
      </c>
    </row>
    <row r="322" spans="1:28" x14ac:dyDescent="0.25">
      <c r="C322" s="4">
        <v>8</v>
      </c>
      <c r="D322" s="5">
        <v>73545685652.430634</v>
      </c>
      <c r="E322" s="5">
        <v>73545685652.430634</v>
      </c>
      <c r="F322" s="5">
        <v>0.19326654225201578</v>
      </c>
      <c r="G322" s="5">
        <v>0</v>
      </c>
      <c r="H322" s="5">
        <v>28075667019.494858</v>
      </c>
      <c r="I322" s="5">
        <v>32263158350.974747</v>
      </c>
      <c r="J322" s="5">
        <v>32263158350.974747</v>
      </c>
      <c r="K322" s="5">
        <v>-4.8147820314371237E-11</v>
      </c>
      <c r="L322" s="5">
        <v>-4.8147820314371237E-11</v>
      </c>
      <c r="M322" s="5">
        <v>0</v>
      </c>
      <c r="N322" s="5">
        <v>2.0000000000000001E-4</v>
      </c>
      <c r="O322" s="5">
        <v>3.0361043591073766</v>
      </c>
      <c r="P322" s="5">
        <v>3.0361043591073766</v>
      </c>
      <c r="Q322" s="5">
        <v>8.8886024136102661E-9</v>
      </c>
      <c r="R322" s="5">
        <v>0</v>
      </c>
      <c r="S322" s="5">
        <v>9.4737959888120497E-6</v>
      </c>
      <c r="T322" s="5">
        <v>9.6874956657399407E-6</v>
      </c>
      <c r="U322" s="5">
        <v>9.6874956657399407E-6</v>
      </c>
      <c r="V322" s="5">
        <v>0</v>
      </c>
      <c r="W322" s="5">
        <v>0</v>
      </c>
      <c r="X322" s="5">
        <v>1.9846485905294666</v>
      </c>
      <c r="Y322" s="5">
        <v>3614.0347075210475</v>
      </c>
      <c r="Z322" s="5">
        <f t="shared" ref="Z322:AA322" si="146">Z321+0.0002</f>
        <v>2.0000000000000001E-4</v>
      </c>
      <c r="AA322" s="5">
        <f t="shared" si="146"/>
        <v>4.0000000000000002E-4</v>
      </c>
      <c r="AB322" s="4">
        <v>2</v>
      </c>
    </row>
    <row r="323" spans="1:28" x14ac:dyDescent="0.25">
      <c r="C323" s="4">
        <v>9</v>
      </c>
      <c r="D323" s="5">
        <v>64820779233.106071</v>
      </c>
      <c r="E323" s="5">
        <v>64820779233.106071</v>
      </c>
      <c r="F323" s="5">
        <v>0.17328845819579877</v>
      </c>
      <c r="G323" s="5">
        <v>0</v>
      </c>
      <c r="H323" s="5">
        <v>24937995061.637924</v>
      </c>
      <c r="I323" s="5">
        <v>29637524753.081894</v>
      </c>
      <c r="J323" s="5">
        <v>29637524753.081894</v>
      </c>
      <c r="K323" s="5">
        <v>-5.0228077421975209E-11</v>
      </c>
      <c r="L323" s="5">
        <v>-5.0228077421975209E-11</v>
      </c>
      <c r="M323" s="5">
        <v>0</v>
      </c>
      <c r="N323" s="5">
        <v>2.0000000000000001E-4</v>
      </c>
      <c r="O323" s="5">
        <v>-7.4932063235278719</v>
      </c>
      <c r="P323" s="5">
        <v>-7.4932063235278719</v>
      </c>
      <c r="Q323" s="5">
        <v>9.2654787897423146E-9</v>
      </c>
      <c r="R323" s="5">
        <v>0</v>
      </c>
      <c r="S323" s="5">
        <v>-2.2064354949354682E-6</v>
      </c>
      <c r="T323" s="5">
        <v>9.3360148457219859E-6</v>
      </c>
      <c r="U323" s="5">
        <v>9.3360148457219859E-6</v>
      </c>
      <c r="V323" s="5">
        <v>0</v>
      </c>
      <c r="W323" s="5">
        <v>0</v>
      </c>
      <c r="X323" s="5">
        <v>1.8778877880711213</v>
      </c>
      <c r="Y323" s="5">
        <v>3362.0627057650863</v>
      </c>
      <c r="Z323" s="5">
        <f t="shared" ref="Z323:AA323" si="147">Z322+0.0002</f>
        <v>4.0000000000000002E-4</v>
      </c>
      <c r="AA323" s="5">
        <f t="shared" si="147"/>
        <v>6.0000000000000006E-4</v>
      </c>
      <c r="AB323" s="4">
        <v>2</v>
      </c>
    </row>
    <row r="324" spans="1:28" x14ac:dyDescent="0.25">
      <c r="C324" s="4">
        <v>10</v>
      </c>
      <c r="D324" s="5">
        <v>56207718930.738457</v>
      </c>
      <c r="E324" s="5">
        <v>56207718930.738457</v>
      </c>
      <c r="F324" s="5">
        <v>0.15348817681945881</v>
      </c>
      <c r="G324" s="5">
        <v>0</v>
      </c>
      <c r="H324" s="5">
        <v>21835421747.968685</v>
      </c>
      <c r="I324" s="5">
        <v>27013646087.398434</v>
      </c>
      <c r="J324" s="5">
        <v>27013646087.398434</v>
      </c>
      <c r="K324" s="5">
        <v>-5.2074817572896577E-11</v>
      </c>
      <c r="L324" s="5">
        <v>-5.2074817572896577E-11</v>
      </c>
      <c r="M324" s="5">
        <v>0</v>
      </c>
      <c r="N324" s="5">
        <v>2.0000000000000001E-4</v>
      </c>
      <c r="O324" s="5">
        <v>-17.617591089452148</v>
      </c>
      <c r="P324" s="5">
        <v>-17.617591089452148</v>
      </c>
      <c r="Q324" s="5">
        <v>9.5995273452540949E-9</v>
      </c>
      <c r="R324" s="5">
        <v>0</v>
      </c>
      <c r="S324" s="5">
        <v>-1.345670858738356E-5</v>
      </c>
      <c r="T324" s="5">
        <v>8.9678621697148708E-6</v>
      </c>
      <c r="U324" s="5">
        <v>8.9678621697148708E-6</v>
      </c>
      <c r="V324" s="5">
        <v>0</v>
      </c>
      <c r="W324" s="5">
        <v>0</v>
      </c>
      <c r="X324" s="5">
        <v>1.7690795647018265</v>
      </c>
      <c r="Y324" s="5">
        <v>3108.6282605013043</v>
      </c>
      <c r="Z324" s="5">
        <f t="shared" ref="Z324:AA324" si="148">Z323+0.0002</f>
        <v>6.0000000000000006E-4</v>
      </c>
      <c r="AA324" s="5">
        <f t="shared" si="148"/>
        <v>8.0000000000000004E-4</v>
      </c>
      <c r="AB324" s="4">
        <v>2</v>
      </c>
    </row>
    <row r="325" spans="1:28" x14ac:dyDescent="0.25">
      <c r="C325" s="4">
        <v>11</v>
      </c>
      <c r="D325" s="5">
        <v>47689235678.910141</v>
      </c>
      <c r="E325" s="5">
        <v>47689235678.910141</v>
      </c>
      <c r="F325" s="5">
        <v>0.13383824534795491</v>
      </c>
      <c r="G325" s="5">
        <v>0</v>
      </c>
      <c r="H325" s="5">
        <v>18762527839.678177</v>
      </c>
      <c r="I325" s="5">
        <v>24391251391.98391</v>
      </c>
      <c r="J325" s="5">
        <v>24391251391.98391</v>
      </c>
      <c r="K325" s="5">
        <v>-5.3724095839446501E-11</v>
      </c>
      <c r="L325" s="5">
        <v>-5.3724095839446501E-11</v>
      </c>
      <c r="M325" s="5">
        <v>0</v>
      </c>
      <c r="N325" s="5">
        <v>2.0000000000000001E-4</v>
      </c>
      <c r="O325" s="5">
        <v>-27.399570594189001</v>
      </c>
      <c r="P325" s="5">
        <v>-27.399570594189001</v>
      </c>
      <c r="Q325" s="5">
        <v>9.8973607055897326E-9</v>
      </c>
      <c r="R325" s="5">
        <v>0</v>
      </c>
      <c r="S325" s="5">
        <v>-2.4343408963942349E-5</v>
      </c>
      <c r="T325" s="5">
        <v>8.5856117761528657E-6</v>
      </c>
      <c r="U325" s="5">
        <v>8.5856117761528657E-6</v>
      </c>
      <c r="V325" s="5">
        <v>0</v>
      </c>
      <c r="W325" s="5">
        <v>0</v>
      </c>
      <c r="X325" s="5">
        <v>1.65854004268544</v>
      </c>
      <c r="Y325" s="5">
        <v>2853.9571733467428</v>
      </c>
      <c r="Z325" s="5">
        <f t="shared" ref="Z325:AA325" si="149">Z324+0.0002</f>
        <v>8.0000000000000004E-4</v>
      </c>
      <c r="AA325" s="5">
        <f t="shared" si="149"/>
        <v>1E-3</v>
      </c>
      <c r="AB325" s="4">
        <v>2</v>
      </c>
    </row>
    <row r="326" spans="1:28" x14ac:dyDescent="0.25">
      <c r="B326" t="s">
        <v>187</v>
      </c>
      <c r="C326" s="11">
        <v>12</v>
      </c>
      <c r="D326" s="5">
        <v>39252093966.049225</v>
      </c>
      <c r="E326" s="5">
        <v>39252093966.049225</v>
      </c>
      <c r="F326" s="5">
        <v>0.11431762318112088</v>
      </c>
      <c r="G326" s="5">
        <v>0</v>
      </c>
      <c r="H326" s="5">
        <v>15715159875.529263</v>
      </c>
      <c r="I326" s="5">
        <v>21770132993.776463</v>
      </c>
      <c r="J326" s="5">
        <v>21770132993.776463</v>
      </c>
      <c r="K326" s="5">
        <v>-5.5203545871021894E-11</v>
      </c>
      <c r="L326" s="5">
        <v>-5.5203545871021894E-11</v>
      </c>
      <c r="M326" s="5">
        <v>0</v>
      </c>
      <c r="N326" s="5">
        <v>2.0000000000000001E-4</v>
      </c>
      <c r="O326" s="5">
        <v>-36.887062474954547</v>
      </c>
      <c r="P326" s="5">
        <v>-36.887062474954547</v>
      </c>
      <c r="Q326" s="5">
        <v>1.0164046977991913E-8</v>
      </c>
      <c r="R326" s="5">
        <v>0</v>
      </c>
      <c r="S326" s="5">
        <v>-3.4917416524766478E-5</v>
      </c>
      <c r="T326" s="5">
        <v>8.1912365591235946E-6</v>
      </c>
      <c r="U326" s="5">
        <v>8.1912365591235946E-6</v>
      </c>
      <c r="V326" s="5">
        <v>0</v>
      </c>
      <c r="W326" s="5">
        <v>0</v>
      </c>
      <c r="X326" s="5">
        <v>1.5465115072607929</v>
      </c>
      <c r="Y326" s="5">
        <v>2598.2225051862802</v>
      </c>
      <c r="Z326" s="5">
        <f t="shared" ref="Z326:AA326" si="150">Z325+0.0002</f>
        <v>1E-3</v>
      </c>
      <c r="AA326" s="5">
        <f t="shared" si="150"/>
        <v>1.2000000000000001E-3</v>
      </c>
      <c r="AB326" s="4">
        <v>2</v>
      </c>
    </row>
    <row r="327" spans="1:28" x14ac:dyDescent="0.25">
      <c r="C327" s="11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4"/>
    </row>
    <row r="328" spans="1:28" x14ac:dyDescent="0.25">
      <c r="C328" s="11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4"/>
    </row>
    <row r="329" spans="1:28" x14ac:dyDescent="0.25">
      <c r="A329" s="15" t="s">
        <v>253</v>
      </c>
      <c r="C329" s="10" t="s">
        <v>27</v>
      </c>
      <c r="D329" s="10" t="s">
        <v>28</v>
      </c>
      <c r="E329" s="10" t="s">
        <v>29</v>
      </c>
      <c r="F329" s="10" t="s">
        <v>30</v>
      </c>
      <c r="G329" s="10" t="s">
        <v>31</v>
      </c>
      <c r="H329" s="10" t="s">
        <v>47</v>
      </c>
      <c r="I329" s="10" t="s">
        <v>32</v>
      </c>
      <c r="J329" s="10" t="s">
        <v>33</v>
      </c>
      <c r="K329" s="10" t="s">
        <v>34</v>
      </c>
      <c r="L329" s="10" t="s">
        <v>35</v>
      </c>
      <c r="M329" s="10" t="s">
        <v>36</v>
      </c>
      <c r="N329" s="10" t="s">
        <v>37</v>
      </c>
      <c r="O329" s="10" t="s">
        <v>38</v>
      </c>
      <c r="P329" s="10" t="s">
        <v>39</v>
      </c>
      <c r="Q329" s="10" t="s">
        <v>40</v>
      </c>
      <c r="R329" s="10" t="s">
        <v>41</v>
      </c>
      <c r="S329" s="10" t="s">
        <v>42</v>
      </c>
      <c r="T329" s="10" t="s">
        <v>102</v>
      </c>
      <c r="U329" s="10" t="s">
        <v>77</v>
      </c>
      <c r="V329" s="10" t="s">
        <v>78</v>
      </c>
      <c r="W329" s="10" t="s">
        <v>79</v>
      </c>
      <c r="X329" s="10" t="s">
        <v>80</v>
      </c>
      <c r="Y329" s="10" t="s">
        <v>43</v>
      </c>
      <c r="Z329" s="10" t="s">
        <v>44</v>
      </c>
      <c r="AA329" s="10" t="s">
        <v>45</v>
      </c>
      <c r="AB329" s="10" t="s">
        <v>46</v>
      </c>
    </row>
    <row r="330" spans="1:28" x14ac:dyDescent="0.25">
      <c r="A330" s="12" t="s">
        <v>182</v>
      </c>
      <c r="B330" t="s">
        <v>183</v>
      </c>
      <c r="C330" s="11">
        <v>1</v>
      </c>
      <c r="D330" s="5">
        <v>142250147469.97339</v>
      </c>
      <c r="E330" s="5">
        <v>142250147469.97339</v>
      </c>
      <c r="F330" s="5">
        <v>0.34422478446157512</v>
      </c>
      <c r="G330" s="5">
        <v>0</v>
      </c>
      <c r="H330" s="5">
        <v>52367176923.883499</v>
      </c>
      <c r="I330" s="5">
        <v>50347525512.86084</v>
      </c>
      <c r="J330" s="5">
        <v>50347525512.86084</v>
      </c>
      <c r="K330" s="5">
        <v>-1.4966219094223936E-11</v>
      </c>
      <c r="L330" s="5">
        <v>-1.4966219094223936E-11</v>
      </c>
      <c r="M330" s="5">
        <v>0</v>
      </c>
      <c r="N330" s="5">
        <v>2.0000000000000001E-4</v>
      </c>
      <c r="O330" s="5">
        <v>107.87493435273954</v>
      </c>
      <c r="P330" s="5">
        <v>107.87493435273954</v>
      </c>
      <c r="Q330" s="5">
        <v>2.8347565441962531E-9</v>
      </c>
      <c r="R330" s="5">
        <v>0</v>
      </c>
      <c r="S330" s="5">
        <v>1.2421041731757276E-4</v>
      </c>
      <c r="T330" s="5">
        <v>1.0735174294488676E-5</v>
      </c>
      <c r="U330" s="5">
        <v>1.0735174294488676E-5</v>
      </c>
      <c r="V330" s="5">
        <v>0</v>
      </c>
      <c r="W330" s="5">
        <v>0</v>
      </c>
      <c r="X330" s="5">
        <v>2.547886901662352</v>
      </c>
      <c r="Y330" s="5">
        <v>5217.0620726159659</v>
      </c>
      <c r="Z330" s="5">
        <v>-1.1999999999999999E-3</v>
      </c>
      <c r="AA330" s="5">
        <v>-1E-3</v>
      </c>
      <c r="AB330" s="4">
        <v>2</v>
      </c>
    </row>
    <row r="331" spans="1:28" x14ac:dyDescent="0.25">
      <c r="C331" s="4">
        <v>2</v>
      </c>
      <c r="D331" s="5">
        <v>127505983103.44205</v>
      </c>
      <c r="E331" s="5">
        <v>127505983103.44205</v>
      </c>
      <c r="F331" s="5">
        <v>0.31264182735748441</v>
      </c>
      <c r="G331" s="5">
        <v>0</v>
      </c>
      <c r="H331" s="5">
        <v>47207359312.880714</v>
      </c>
      <c r="I331" s="5">
        <v>46797867965.644035</v>
      </c>
      <c r="J331" s="5">
        <v>46797867965.644035</v>
      </c>
      <c r="K331" s="5">
        <v>-2.4235077656993969E-11</v>
      </c>
      <c r="L331" s="5">
        <v>-2.4235077656993969E-11</v>
      </c>
      <c r="M331" s="5">
        <v>0</v>
      </c>
      <c r="N331" s="5">
        <v>2.0000000000000001E-4</v>
      </c>
      <c r="O331" s="5">
        <v>82.572998133450653</v>
      </c>
      <c r="P331" s="5">
        <v>82.572998133450653</v>
      </c>
      <c r="Q331" s="5">
        <v>4.5284973858392674E-9</v>
      </c>
      <c r="R331" s="5">
        <v>0</v>
      </c>
      <c r="S331" s="5">
        <v>9.6677651582788751E-5</v>
      </c>
      <c r="T331" s="5">
        <v>1.073025432638166E-5</v>
      </c>
      <c r="U331" s="5">
        <v>1.073025432638166E-5</v>
      </c>
      <c r="V331" s="5">
        <v>0</v>
      </c>
      <c r="W331" s="5">
        <v>0</v>
      </c>
      <c r="X331" s="5">
        <v>2.4624873734152914</v>
      </c>
      <c r="Y331" s="5">
        <v>4921.7766952966367</v>
      </c>
      <c r="Z331" s="5">
        <f t="shared" ref="Z331:AA331" si="151">Z330+0.0002</f>
        <v>-9.999999999999998E-4</v>
      </c>
      <c r="AA331" s="5">
        <f t="shared" si="151"/>
        <v>-8.0000000000000004E-4</v>
      </c>
      <c r="AB331" s="4">
        <v>2</v>
      </c>
    </row>
    <row r="332" spans="1:28" x14ac:dyDescent="0.25">
      <c r="C332" s="4">
        <v>3</v>
      </c>
      <c r="D332" s="5">
        <v>114541757703.74394</v>
      </c>
      <c r="E332" s="5">
        <v>114541757703.74394</v>
      </c>
      <c r="F332" s="5">
        <v>0.28388845367507304</v>
      </c>
      <c r="G332" s="5">
        <v>0</v>
      </c>
      <c r="H332" s="5">
        <v>42606107758.281677</v>
      </c>
      <c r="I332" s="5">
        <v>43276138721.247414</v>
      </c>
      <c r="J332" s="5">
        <v>43276138721.247414</v>
      </c>
      <c r="K332" s="5">
        <v>-2.9787705903286982E-11</v>
      </c>
      <c r="L332" s="5">
        <v>-2.9787705903286982E-11</v>
      </c>
      <c r="M332" s="5">
        <v>0</v>
      </c>
      <c r="N332" s="5">
        <v>2.0000000000000001E-4</v>
      </c>
      <c r="O332" s="5">
        <v>63.715124859252462</v>
      </c>
      <c r="P332" s="5">
        <v>63.715124859252462</v>
      </c>
      <c r="Q332" s="5">
        <v>5.5406686847873437E-9</v>
      </c>
      <c r="R332" s="5">
        <v>0</v>
      </c>
      <c r="S332" s="5">
        <v>7.598732003895049E-5</v>
      </c>
      <c r="T332" s="5">
        <v>1.0460015481482871E-5</v>
      </c>
      <c r="U332" s="5">
        <v>1.0460015481482871E-5</v>
      </c>
      <c r="V332" s="5">
        <v>0</v>
      </c>
      <c r="W332" s="5">
        <v>0</v>
      </c>
      <c r="X332" s="5">
        <v>2.344504825211347</v>
      </c>
      <c r="Y332" s="5">
        <v>4603.2177322938196</v>
      </c>
      <c r="Z332" s="5">
        <f t="shared" ref="Z332:AA332" si="152">Z331+0.0002</f>
        <v>-7.9999999999999982E-4</v>
      </c>
      <c r="AA332" s="5">
        <f t="shared" si="152"/>
        <v>-6.0000000000000006E-4</v>
      </c>
      <c r="AB332" s="4">
        <v>2</v>
      </c>
    </row>
    <row r="333" spans="1:28" x14ac:dyDescent="0.25">
      <c r="C333" s="4">
        <v>4</v>
      </c>
      <c r="D333" s="5">
        <v>102313864333.733</v>
      </c>
      <c r="E333" s="5">
        <v>102313864333.733</v>
      </c>
      <c r="F333" s="5">
        <v>0.25630563299637565</v>
      </c>
      <c r="G333" s="5">
        <v>0</v>
      </c>
      <c r="H333" s="5">
        <v>38235925968.258804</v>
      </c>
      <c r="I333" s="5">
        <v>39765962965.079605</v>
      </c>
      <c r="J333" s="5">
        <v>39765962965.079605</v>
      </c>
      <c r="K333" s="5">
        <v>-3.3802989632321109E-11</v>
      </c>
      <c r="L333" s="5">
        <v>-3.3802989632321109E-11</v>
      </c>
      <c r="M333" s="5">
        <v>0</v>
      </c>
      <c r="N333" s="5">
        <v>2.0000000000000001E-4</v>
      </c>
      <c r="O333" s="5">
        <v>47.523056444775115</v>
      </c>
      <c r="P333" s="5">
        <v>47.523056444775115</v>
      </c>
      <c r="Q333" s="5">
        <v>6.2708856616507681E-9</v>
      </c>
      <c r="R333" s="5">
        <v>0</v>
      </c>
      <c r="S333" s="5">
        <v>5.8127593111170394E-5</v>
      </c>
      <c r="T333" s="5">
        <v>1.0080018498410399E-5</v>
      </c>
      <c r="U333" s="5">
        <v>1.0080018498410399E-5</v>
      </c>
      <c r="V333" s="5">
        <v>0</v>
      </c>
      <c r="W333" s="5">
        <v>0</v>
      </c>
      <c r="X333" s="5">
        <v>2.2130432074071251</v>
      </c>
      <c r="Y333" s="5">
        <v>4275.0308624336612</v>
      </c>
      <c r="Z333" s="5">
        <f t="shared" ref="Z333:AA333" si="153">Z332+0.0002</f>
        <v>-5.9999999999999984E-4</v>
      </c>
      <c r="AA333" s="5">
        <f t="shared" si="153"/>
        <v>-4.0000000000000007E-4</v>
      </c>
      <c r="AB333" s="4">
        <v>2</v>
      </c>
    </row>
    <row r="334" spans="1:28" x14ac:dyDescent="0.25">
      <c r="C334" s="4">
        <v>5</v>
      </c>
      <c r="D334" s="5">
        <v>90518671529.789673</v>
      </c>
      <c r="E334" s="5">
        <v>90518671529.789673</v>
      </c>
      <c r="F334" s="5">
        <v>0.22941067991938288</v>
      </c>
      <c r="G334" s="5">
        <v>0</v>
      </c>
      <c r="H334" s="5">
        <v>34001530771.650467</v>
      </c>
      <c r="I334" s="5">
        <v>36262576538.58252</v>
      </c>
      <c r="J334" s="5">
        <v>36262576538.58252</v>
      </c>
      <c r="K334" s="5">
        <v>-3.6914863193062702E-11</v>
      </c>
      <c r="L334" s="5">
        <v>-3.6914863193062702E-11</v>
      </c>
      <c r="M334" s="5">
        <v>0</v>
      </c>
      <c r="N334" s="5">
        <v>2.0000000000000001E-4</v>
      </c>
      <c r="O334" s="5">
        <v>32.897530330945841</v>
      </c>
      <c r="P334" s="5">
        <v>32.897530330945841</v>
      </c>
      <c r="Q334" s="5">
        <v>6.8354140770332088E-9</v>
      </c>
      <c r="R334" s="5">
        <v>0</v>
      </c>
      <c r="S334" s="5">
        <v>4.1931251952718212E-5</v>
      </c>
      <c r="T334" s="5">
        <v>9.6355228834660295E-6</v>
      </c>
      <c r="U334" s="5">
        <v>9.6355228834660295E-6</v>
      </c>
      <c r="V334" s="5">
        <v>0</v>
      </c>
      <c r="W334" s="5">
        <v>0</v>
      </c>
      <c r="X334" s="5">
        <v>2.0736607049870561</v>
      </c>
      <c r="Y334" s="5">
        <v>3941.1862178478968</v>
      </c>
      <c r="Z334" s="5">
        <f t="shared" ref="Z334:AA334" si="154">Z333+0.0002</f>
        <v>-3.9999999999999986E-4</v>
      </c>
      <c r="AA334" s="5">
        <f t="shared" si="154"/>
        <v>-2.0000000000000006E-4</v>
      </c>
      <c r="AB334" s="4">
        <v>2</v>
      </c>
    </row>
    <row r="335" spans="1:28" x14ac:dyDescent="0.25">
      <c r="C335" s="4">
        <v>6</v>
      </c>
      <c r="D335" s="5">
        <v>79017155763.41156</v>
      </c>
      <c r="E335" s="5">
        <v>79017155763.41156</v>
      </c>
      <c r="F335" s="5">
        <v>0.20298258761251015</v>
      </c>
      <c r="G335" s="5">
        <v>0</v>
      </c>
      <c r="H335" s="5">
        <v>29859294928.69738</v>
      </c>
      <c r="I335" s="5">
        <v>32763798079.768204</v>
      </c>
      <c r="J335" s="5">
        <v>32763798079.768204</v>
      </c>
      <c r="K335" s="5">
        <v>-3.9413585667958495E-11</v>
      </c>
      <c r="L335" s="5">
        <v>-3.9413585667958495E-11</v>
      </c>
      <c r="M335" s="5">
        <v>0</v>
      </c>
      <c r="N335" s="5">
        <v>2.0000000000000001E-4</v>
      </c>
      <c r="O335" s="5">
        <v>19.335227929199849</v>
      </c>
      <c r="P335" s="5">
        <v>19.335227929199849</v>
      </c>
      <c r="Q335" s="5">
        <v>7.2874884544272298E-9</v>
      </c>
      <c r="R335" s="5">
        <v>0</v>
      </c>
      <c r="S335" s="5">
        <v>2.6863862876542831E-5</v>
      </c>
      <c r="T335" s="5">
        <v>9.1472515755354136E-6</v>
      </c>
      <c r="U335" s="5">
        <v>9.1472515755354136E-6</v>
      </c>
      <c r="V335" s="5">
        <v>0</v>
      </c>
      <c r="W335" s="5">
        <v>0</v>
      </c>
      <c r="X335" s="5">
        <v>1.9289022402704308</v>
      </c>
      <c r="Y335" s="5">
        <v>3603.5016001931654</v>
      </c>
      <c r="Z335" s="5">
        <f t="shared" ref="Z335:AA335" si="155">Z334+0.0002</f>
        <v>-1.9999999999999985E-4</v>
      </c>
      <c r="AA335" s="5">
        <f t="shared" si="155"/>
        <v>0</v>
      </c>
      <c r="AB335" s="4">
        <v>2</v>
      </c>
    </row>
    <row r="336" spans="1:28" x14ac:dyDescent="0.25">
      <c r="C336" s="4">
        <v>7</v>
      </c>
      <c r="D336" s="5">
        <v>67731841840.475159</v>
      </c>
      <c r="E336" s="5">
        <v>67731841840.475159</v>
      </c>
      <c r="F336" s="5">
        <v>0.17689819313086536</v>
      </c>
      <c r="G336" s="5">
        <v>0</v>
      </c>
      <c r="H336" s="5">
        <v>25784905800.338818</v>
      </c>
      <c r="I336" s="5">
        <v>29268411956.683609</v>
      </c>
      <c r="J336" s="5">
        <v>29268411956.683609</v>
      </c>
      <c r="K336" s="5">
        <v>-4.1460912977038211E-11</v>
      </c>
      <c r="L336" s="5">
        <v>-4.1460912977038211E-11</v>
      </c>
      <c r="M336" s="5">
        <v>0</v>
      </c>
      <c r="N336" s="5">
        <v>2.0000000000000001E-4</v>
      </c>
      <c r="O336" s="5">
        <v>6.555659269421156</v>
      </c>
      <c r="P336" s="5">
        <v>6.555659269421156</v>
      </c>
      <c r="Q336" s="5">
        <v>7.6567753911785438E-9</v>
      </c>
      <c r="R336" s="5">
        <v>0</v>
      </c>
      <c r="S336" s="5">
        <v>1.2627596054150555E-5</v>
      </c>
      <c r="T336" s="5">
        <v>8.6267530781723928E-6</v>
      </c>
      <c r="U336" s="5">
        <v>8.6267530781723928E-6</v>
      </c>
      <c r="V336" s="5">
        <v>0</v>
      </c>
      <c r="W336" s="5">
        <v>0</v>
      </c>
      <c r="X336" s="5">
        <v>1.7801860505357909</v>
      </c>
      <c r="Y336" s="5">
        <v>3262.9900360969932</v>
      </c>
      <c r="Z336" s="5">
        <f t="shared" ref="Z336:AA336" si="156">Z335+0.0002</f>
        <v>0</v>
      </c>
      <c r="AA336" s="5">
        <f t="shared" si="156"/>
        <v>2.0000000000000001E-4</v>
      </c>
      <c r="AB336" s="4">
        <v>2</v>
      </c>
    </row>
    <row r="337" spans="1:28" x14ac:dyDescent="0.25">
      <c r="C337" s="4">
        <v>8</v>
      </c>
      <c r="D337" s="5">
        <v>56614304681.064087</v>
      </c>
      <c r="E337" s="5">
        <v>56614304681.064087</v>
      </c>
      <c r="F337" s="5">
        <v>0.15108051473188436</v>
      </c>
      <c r="G337" s="5">
        <v>0</v>
      </c>
      <c r="H337" s="5">
        <v>21763167019.494858</v>
      </c>
      <c r="I337" s="5">
        <v>25775658350.974747</v>
      </c>
      <c r="J337" s="5">
        <v>25775658350.974747</v>
      </c>
      <c r="K337" s="5">
        <v>-4.3157949008365518E-11</v>
      </c>
      <c r="L337" s="5">
        <v>-4.3157949008365518E-11</v>
      </c>
      <c r="M337" s="5">
        <v>0</v>
      </c>
      <c r="N337" s="5">
        <v>2.0000000000000001E-4</v>
      </c>
      <c r="O337" s="5">
        <v>-5.6164930434900242</v>
      </c>
      <c r="P337" s="5">
        <v>-5.6164930434900242</v>
      </c>
      <c r="Q337" s="5">
        <v>7.9618176913880442E-9</v>
      </c>
      <c r="R337" s="5">
        <v>0</v>
      </c>
      <c r="S337" s="5">
        <v>-9.6370401118795325E-7</v>
      </c>
      <c r="T337" s="5">
        <v>8.0812456657399406E-6</v>
      </c>
      <c r="U337" s="5">
        <v>8.0812456657399406E-6</v>
      </c>
      <c r="V337" s="5">
        <v>0</v>
      </c>
      <c r="W337" s="5">
        <v>0</v>
      </c>
      <c r="X337" s="5">
        <v>1.6283985905294664</v>
      </c>
      <c r="Y337" s="5">
        <v>2920.2847075210475</v>
      </c>
      <c r="Z337" s="5">
        <f t="shared" ref="Z337:AA337" si="157">Z336+0.0002</f>
        <v>2.0000000000000001E-4</v>
      </c>
      <c r="AA337" s="5">
        <f t="shared" si="157"/>
        <v>4.0000000000000002E-4</v>
      </c>
      <c r="AB337" s="4">
        <v>2</v>
      </c>
    </row>
    <row r="338" spans="1:28" x14ac:dyDescent="0.25">
      <c r="C338" s="4">
        <v>9</v>
      </c>
      <c r="D338" s="5">
        <v>45631880798.890656</v>
      </c>
      <c r="E338" s="5">
        <v>45631880798.890656</v>
      </c>
      <c r="F338" s="5">
        <v>0.12547762700631648</v>
      </c>
      <c r="G338" s="5">
        <v>0</v>
      </c>
      <c r="H338" s="5">
        <v>17783828394.971256</v>
      </c>
      <c r="I338" s="5">
        <v>22285024753.081894</v>
      </c>
      <c r="J338" s="5">
        <v>22285024753.081894</v>
      </c>
      <c r="K338" s="5">
        <v>-4.4572889941835395E-11</v>
      </c>
      <c r="L338" s="5">
        <v>-4.4572889941835395E-11</v>
      </c>
      <c r="M338" s="5">
        <v>0</v>
      </c>
      <c r="N338" s="5">
        <v>2.0000000000000001E-4</v>
      </c>
      <c r="O338" s="5">
        <v>-17.299483379804933</v>
      </c>
      <c r="P338" s="5">
        <v>-17.299483379804933</v>
      </c>
      <c r="Q338" s="5">
        <v>8.2151227712237965E-9</v>
      </c>
      <c r="R338" s="5">
        <v>0</v>
      </c>
      <c r="S338" s="5">
        <v>-1.4035602161602133E-5</v>
      </c>
      <c r="T338" s="5">
        <v>7.5155981790553188E-6</v>
      </c>
      <c r="U338" s="5">
        <v>7.5155981790553188E-6</v>
      </c>
      <c r="V338" s="5">
        <v>0</v>
      </c>
      <c r="W338" s="5">
        <v>0</v>
      </c>
      <c r="X338" s="5">
        <v>1.4741377880711211</v>
      </c>
      <c r="Y338" s="5">
        <v>2575.8127057650863</v>
      </c>
      <c r="Z338" s="5">
        <f t="shared" ref="Z338:AA338" si="158">Z337+0.0002</f>
        <v>4.0000000000000002E-4</v>
      </c>
      <c r="AA338" s="5">
        <f t="shared" si="158"/>
        <v>6.0000000000000006E-4</v>
      </c>
      <c r="AB338" s="4">
        <v>2</v>
      </c>
    </row>
    <row r="339" spans="1:28" x14ac:dyDescent="0.25">
      <c r="C339" s="4">
        <v>10</v>
      </c>
      <c r="D339" s="5">
        <v>34761303033.674164</v>
      </c>
      <c r="E339" s="5">
        <v>34761303033.674164</v>
      </c>
      <c r="F339" s="5">
        <v>0.10005254196062568</v>
      </c>
      <c r="G339" s="5">
        <v>0</v>
      </c>
      <c r="H339" s="5">
        <v>13839588414.635353</v>
      </c>
      <c r="I339" s="5">
        <v>18796146087.398434</v>
      </c>
      <c r="J339" s="5">
        <v>18796146087.398434</v>
      </c>
      <c r="K339" s="5">
        <v>-4.5754313918622662E-11</v>
      </c>
      <c r="L339" s="5">
        <v>-4.5754313918622662E-11</v>
      </c>
      <c r="M339" s="5">
        <v>0</v>
      </c>
      <c r="N339" s="5">
        <v>2.0000000000000001E-4</v>
      </c>
      <c r="O339" s="5">
        <v>-28.577547799408862</v>
      </c>
      <c r="P339" s="5">
        <v>-28.577547799408862</v>
      </c>
      <c r="Q339" s="5">
        <v>8.4256000304392807E-9</v>
      </c>
      <c r="R339" s="5">
        <v>0</v>
      </c>
      <c r="S339" s="5">
        <v>-2.6677541920716894E-5</v>
      </c>
      <c r="T339" s="5">
        <v>6.9332788363815367E-6</v>
      </c>
      <c r="U339" s="5">
        <v>6.9332788363815367E-6</v>
      </c>
      <c r="V339" s="5">
        <v>0</v>
      </c>
      <c r="W339" s="5">
        <v>0</v>
      </c>
      <c r="X339" s="5">
        <v>1.3178295647018261</v>
      </c>
      <c r="Y339" s="5">
        <v>2229.8782605013043</v>
      </c>
      <c r="Z339" s="5">
        <f t="shared" ref="Z339:AA339" si="159">Z338+0.0002</f>
        <v>6.0000000000000006E-4</v>
      </c>
      <c r="AA339" s="5">
        <f t="shared" si="159"/>
        <v>8.0000000000000004E-4</v>
      </c>
      <c r="AB339" s="4">
        <v>2</v>
      </c>
    </row>
    <row r="340" spans="1:28" x14ac:dyDescent="0.25">
      <c r="C340" s="4">
        <v>11</v>
      </c>
      <c r="D340" s="5">
        <v>23985302318.996964</v>
      </c>
      <c r="E340" s="5">
        <v>23985302318.996964</v>
      </c>
      <c r="F340" s="5">
        <v>7.477780681977092E-2</v>
      </c>
      <c r="G340" s="5">
        <v>0</v>
      </c>
      <c r="H340" s="5">
        <v>9925027839.6781769</v>
      </c>
      <c r="I340" s="5">
        <v>15308751391.98391</v>
      </c>
      <c r="J340" s="5">
        <v>15308751391.98391</v>
      </c>
      <c r="K340" s="5">
        <v>-4.6738276011038491E-11</v>
      </c>
      <c r="L340" s="5">
        <v>-4.6738276011038491E-11</v>
      </c>
      <c r="M340" s="5">
        <v>0</v>
      </c>
      <c r="N340" s="5">
        <v>2.0000000000000001E-4</v>
      </c>
      <c r="O340" s="5">
        <v>-39.513206957825375</v>
      </c>
      <c r="P340" s="5">
        <v>-39.513206957825375</v>
      </c>
      <c r="Q340" s="5">
        <v>8.5998620944786207E-9</v>
      </c>
      <c r="R340" s="5">
        <v>0</v>
      </c>
      <c r="S340" s="5">
        <v>-3.8955908963942345E-5</v>
      </c>
      <c r="T340" s="5">
        <v>6.3368617761528646E-6</v>
      </c>
      <c r="U340" s="5">
        <v>6.3368617761528646E-6</v>
      </c>
      <c r="V340" s="5">
        <v>0</v>
      </c>
      <c r="W340" s="5">
        <v>0</v>
      </c>
      <c r="X340" s="5">
        <v>1.1597900426854397</v>
      </c>
      <c r="Y340" s="5">
        <v>1882.7071733467428</v>
      </c>
      <c r="Z340" s="5">
        <f t="shared" ref="Z340:AA340" si="160">Z339+0.0002</f>
        <v>8.0000000000000004E-4</v>
      </c>
      <c r="AA340" s="5">
        <f t="shared" si="160"/>
        <v>1E-3</v>
      </c>
      <c r="AB340" s="4">
        <v>2</v>
      </c>
    </row>
    <row r="341" spans="1:28" x14ac:dyDescent="0.25">
      <c r="B341" t="s">
        <v>187</v>
      </c>
      <c r="C341" s="11">
        <v>12</v>
      </c>
      <c r="D341" s="5">
        <v>13290643143.287155</v>
      </c>
      <c r="E341" s="5">
        <v>13290643143.287155</v>
      </c>
      <c r="F341" s="5">
        <v>4.9632380983586022E-2</v>
      </c>
      <c r="G341" s="5">
        <v>0</v>
      </c>
      <c r="H341" s="5">
        <v>6035993208.8625946</v>
      </c>
      <c r="I341" s="5">
        <v>11822632993.776459</v>
      </c>
      <c r="J341" s="5">
        <v>11822632993.776459</v>
      </c>
      <c r="K341" s="5">
        <v>-4.755240986847979E-11</v>
      </c>
      <c r="L341" s="5">
        <v>-4.755240986847979E-11</v>
      </c>
      <c r="M341" s="5">
        <v>0</v>
      </c>
      <c r="N341" s="5">
        <v>2.0000000000000001E-4</v>
      </c>
      <c r="O341" s="5">
        <v>-50.154378492270574</v>
      </c>
      <c r="P341" s="5">
        <v>-50.154378492270574</v>
      </c>
      <c r="Q341" s="5">
        <v>8.7429770705845031E-9</v>
      </c>
      <c r="R341" s="5">
        <v>0</v>
      </c>
      <c r="S341" s="5">
        <v>-5.0921583191433143E-5</v>
      </c>
      <c r="T341" s="5">
        <v>5.7283198924569281E-6</v>
      </c>
      <c r="U341" s="5">
        <v>5.7283198924569281E-6</v>
      </c>
      <c r="V341" s="5">
        <v>0</v>
      </c>
      <c r="W341" s="5">
        <v>0</v>
      </c>
      <c r="X341" s="5">
        <v>1.0002615072607925</v>
      </c>
      <c r="Y341" s="5">
        <v>1534.4725051862797</v>
      </c>
      <c r="Z341" s="5">
        <f t="shared" ref="Z341:AA341" si="161">Z340+0.0002</f>
        <v>1E-3</v>
      </c>
      <c r="AA341" s="5">
        <f t="shared" si="161"/>
        <v>1.2000000000000001E-3</v>
      </c>
      <c r="AB341" s="4">
        <v>2</v>
      </c>
    </row>
    <row r="342" spans="1:28" x14ac:dyDescent="0.25">
      <c r="C342" s="11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4"/>
    </row>
    <row r="346" spans="1:28" x14ac:dyDescent="0.25">
      <c r="A346" t="s">
        <v>137</v>
      </c>
    </row>
    <row r="347" spans="1:28" x14ac:dyDescent="0.25">
      <c r="A347" t="s">
        <v>137</v>
      </c>
    </row>
    <row r="348" spans="1:28" x14ac:dyDescent="0.25">
      <c r="A348" t="s">
        <v>137</v>
      </c>
    </row>
    <row r="350" spans="1:28" x14ac:dyDescent="0.25">
      <c r="A350" s="15" t="s">
        <v>134</v>
      </c>
      <c r="C350" s="10" t="s">
        <v>27</v>
      </c>
      <c r="D350" s="10" t="s">
        <v>28</v>
      </c>
      <c r="E350" s="10" t="s">
        <v>29</v>
      </c>
      <c r="F350" s="10" t="s">
        <v>30</v>
      </c>
      <c r="G350" s="10" t="s">
        <v>31</v>
      </c>
      <c r="H350" s="10" t="s">
        <v>47</v>
      </c>
      <c r="I350" s="10" t="s">
        <v>32</v>
      </c>
      <c r="J350" s="10" t="s">
        <v>33</v>
      </c>
      <c r="K350" s="10" t="s">
        <v>34</v>
      </c>
      <c r="L350" s="10" t="s">
        <v>35</v>
      </c>
      <c r="M350" s="10" t="s">
        <v>36</v>
      </c>
      <c r="N350" s="10" t="s">
        <v>37</v>
      </c>
      <c r="O350" s="10" t="s">
        <v>38</v>
      </c>
      <c r="P350" s="10" t="s">
        <v>39</v>
      </c>
      <c r="Q350" s="10" t="s">
        <v>40</v>
      </c>
      <c r="R350" s="10" t="s">
        <v>41</v>
      </c>
      <c r="S350" s="10" t="s">
        <v>42</v>
      </c>
      <c r="T350" s="10" t="s">
        <v>102</v>
      </c>
      <c r="U350" s="10" t="s">
        <v>77</v>
      </c>
      <c r="V350" s="10" t="s">
        <v>78</v>
      </c>
      <c r="W350" s="10" t="s">
        <v>79</v>
      </c>
      <c r="X350" s="10" t="s">
        <v>80</v>
      </c>
      <c r="Y350" s="10" t="s">
        <v>43</v>
      </c>
      <c r="Z350" s="10" t="s">
        <v>44</v>
      </c>
      <c r="AA350" s="10" t="s">
        <v>45</v>
      </c>
      <c r="AB350" s="10" t="s">
        <v>46</v>
      </c>
    </row>
    <row r="351" spans="1:28" x14ac:dyDescent="0.25">
      <c r="A351" s="12" t="s">
        <v>139</v>
      </c>
      <c r="B351" t="s">
        <v>183</v>
      </c>
      <c r="C351" s="11">
        <v>1</v>
      </c>
      <c r="D351" s="5">
        <v>154504392701.54126</v>
      </c>
      <c r="E351" s="5">
        <v>154504392701.54126</v>
      </c>
      <c r="F351" s="5">
        <v>0.3677774772354705</v>
      </c>
      <c r="G351" s="5">
        <v>0</v>
      </c>
      <c r="H351" s="5">
        <v>56479166666.666664</v>
      </c>
      <c r="I351" s="5">
        <v>52198958333.333336</v>
      </c>
      <c r="J351" s="5">
        <v>52198958333.333336</v>
      </c>
      <c r="K351" s="5">
        <v>-1.3860753627793601E-13</v>
      </c>
      <c r="L351" s="5">
        <v>-1.3860753627793601E-13</v>
      </c>
      <c r="M351" s="5">
        <v>0</v>
      </c>
      <c r="N351" s="5">
        <v>2.0000000000000001E-4</v>
      </c>
      <c r="O351" s="5">
        <v>138.20120851370848</v>
      </c>
      <c r="P351" s="5">
        <v>138.20120851370848</v>
      </c>
      <c r="Q351" s="5">
        <v>1.1842110339506163E-10</v>
      </c>
      <c r="R351" s="5">
        <v>0</v>
      </c>
      <c r="S351" s="5">
        <v>1.5674479166666666E-4</v>
      </c>
      <c r="T351" s="5">
        <v>1.0009895833333335E-5</v>
      </c>
      <c r="U351" s="5">
        <v>1.0009895833333335E-5</v>
      </c>
      <c r="V351" s="5">
        <v>0</v>
      </c>
      <c r="W351" s="5">
        <v>0</v>
      </c>
      <c r="X351" s="5">
        <v>2.5012152777777779</v>
      </c>
      <c r="Y351" s="5">
        <v>5300.8680555555557</v>
      </c>
      <c r="Z351" s="5">
        <v>-1.1999999999999999E-3</v>
      </c>
      <c r="AA351" s="5">
        <v>-1E-3</v>
      </c>
      <c r="AB351" s="4">
        <v>2</v>
      </c>
    </row>
    <row r="352" spans="1:28" x14ac:dyDescent="0.25">
      <c r="C352" s="4">
        <v>2</v>
      </c>
      <c r="D352" s="5">
        <v>153973289010.0957</v>
      </c>
      <c r="E352" s="5">
        <v>153973289010.0957</v>
      </c>
      <c r="F352" s="5">
        <v>0.36693317738670622</v>
      </c>
      <c r="G352" s="5">
        <v>0</v>
      </c>
      <c r="H352" s="5">
        <v>56312500000</v>
      </c>
      <c r="I352" s="5">
        <v>52190625000</v>
      </c>
      <c r="J352" s="5">
        <v>52190625000</v>
      </c>
      <c r="K352" s="5">
        <v>-1.2474678265014296E-12</v>
      </c>
      <c r="L352" s="5">
        <v>-1.2474678265014296E-12</v>
      </c>
      <c r="M352" s="5">
        <v>0</v>
      </c>
      <c r="N352" s="5">
        <v>2.0000000000000001E-4</v>
      </c>
      <c r="O352" s="5">
        <v>136.27840909090907</v>
      </c>
      <c r="P352" s="5">
        <v>136.27840909090907</v>
      </c>
      <c r="Q352" s="5">
        <v>3.2178993055555557E-10</v>
      </c>
      <c r="R352" s="5">
        <v>0</v>
      </c>
      <c r="S352" s="5">
        <v>1.54703125E-4</v>
      </c>
      <c r="T352" s="5">
        <v>1.00890625E-5</v>
      </c>
      <c r="U352" s="5">
        <v>1.00890625E-5</v>
      </c>
      <c r="V352" s="5">
        <v>0</v>
      </c>
      <c r="W352" s="5">
        <v>0</v>
      </c>
      <c r="X352" s="5">
        <v>2.5109374999999998</v>
      </c>
      <c r="Y352" s="5">
        <v>5307.8125</v>
      </c>
      <c r="Z352" s="5">
        <f t="shared" ref="Z352:AA352" si="162">Z351+0.0002</f>
        <v>-9.999999999999998E-4</v>
      </c>
      <c r="AA352" s="5">
        <f t="shared" si="162"/>
        <v>-8.0000000000000004E-4</v>
      </c>
      <c r="AB352" s="4">
        <v>2</v>
      </c>
    </row>
    <row r="353" spans="1:28" x14ac:dyDescent="0.25">
      <c r="C353" s="4">
        <v>3</v>
      </c>
      <c r="D353" s="5">
        <v>152911081627.20462</v>
      </c>
      <c r="E353" s="5">
        <v>152911081627.20462</v>
      </c>
      <c r="F353" s="5">
        <v>0.36524457768917762</v>
      </c>
      <c r="G353" s="5">
        <v>0</v>
      </c>
      <c r="H353" s="5">
        <v>55979166666.666664</v>
      </c>
      <c r="I353" s="5">
        <v>52173958333.333336</v>
      </c>
      <c r="J353" s="5">
        <v>52173958333.333336</v>
      </c>
      <c r="K353" s="5">
        <v>-3.4651884069484149E-12</v>
      </c>
      <c r="L353" s="5">
        <v>-3.4651884069484149E-12</v>
      </c>
      <c r="M353" s="5">
        <v>0</v>
      </c>
      <c r="N353" s="5">
        <v>2.0000000000000001E-4</v>
      </c>
      <c r="O353" s="5">
        <v>132.43281024531021</v>
      </c>
      <c r="P353" s="5">
        <v>132.43281024531021</v>
      </c>
      <c r="Q353" s="5">
        <v>7.2852758487654315E-10</v>
      </c>
      <c r="R353" s="5">
        <v>0</v>
      </c>
      <c r="S353" s="5">
        <v>1.5061979166666666E-4</v>
      </c>
      <c r="T353" s="5">
        <v>1.0247395833333334E-5</v>
      </c>
      <c r="U353" s="5">
        <v>1.0247395833333334E-5</v>
      </c>
      <c r="V353" s="5">
        <v>0</v>
      </c>
      <c r="W353" s="5">
        <v>0</v>
      </c>
      <c r="X353" s="5">
        <v>2.5303819444444446</v>
      </c>
      <c r="Y353" s="5">
        <v>5321.7013888888887</v>
      </c>
      <c r="Z353" s="5">
        <f t="shared" ref="Z353:AA353" si="163">Z352+0.0002</f>
        <v>-7.9999999999999982E-4</v>
      </c>
      <c r="AA353" s="5">
        <f t="shared" si="163"/>
        <v>-6.0000000000000006E-4</v>
      </c>
      <c r="AB353" s="4">
        <v>2</v>
      </c>
    </row>
    <row r="354" spans="1:28" x14ac:dyDescent="0.25">
      <c r="C354" s="4">
        <v>4</v>
      </c>
      <c r="D354" s="5">
        <v>151317770552.86798</v>
      </c>
      <c r="E354" s="5">
        <v>151317770552.86798</v>
      </c>
      <c r="F354" s="5">
        <v>0.36271167814288469</v>
      </c>
      <c r="G354" s="5">
        <v>0</v>
      </c>
      <c r="H354" s="5">
        <v>55479166666.666664</v>
      </c>
      <c r="I354" s="5">
        <v>52148958333.333336</v>
      </c>
      <c r="J354" s="5">
        <v>52148958333.333336</v>
      </c>
      <c r="K354" s="5">
        <v>-6.7917692776188928E-12</v>
      </c>
      <c r="L354" s="5">
        <v>-6.7917692776188928E-12</v>
      </c>
      <c r="M354" s="5">
        <v>0</v>
      </c>
      <c r="N354" s="5">
        <v>2.0000000000000001E-4</v>
      </c>
      <c r="O354" s="5">
        <v>126.66441197691195</v>
      </c>
      <c r="P354" s="5">
        <v>126.66441197691195</v>
      </c>
      <c r="Q354" s="5">
        <v>1.3386340663580246E-9</v>
      </c>
      <c r="R354" s="5">
        <v>0</v>
      </c>
      <c r="S354" s="5">
        <v>1.4449479166666666E-4</v>
      </c>
      <c r="T354" s="5">
        <v>1.0484895833333334E-5</v>
      </c>
      <c r="U354" s="5">
        <v>1.0484895833333334E-5</v>
      </c>
      <c r="V354" s="5">
        <v>0</v>
      </c>
      <c r="W354" s="5">
        <v>0</v>
      </c>
      <c r="X354" s="5">
        <v>2.559548611111111</v>
      </c>
      <c r="Y354" s="5">
        <v>5342.5347222222226</v>
      </c>
      <c r="Z354" s="5">
        <f t="shared" ref="Z354:AA354" si="164">Z353+0.0002</f>
        <v>-5.9999999999999984E-4</v>
      </c>
      <c r="AA354" s="5">
        <f t="shared" si="164"/>
        <v>-4.0000000000000007E-4</v>
      </c>
      <c r="AB354" s="4">
        <v>2</v>
      </c>
    </row>
    <row r="355" spans="1:28" x14ac:dyDescent="0.25">
      <c r="C355" s="4">
        <v>5</v>
      </c>
      <c r="D355" s="5">
        <v>149193355787.08582</v>
      </c>
      <c r="E355" s="5">
        <v>149193355787.08582</v>
      </c>
      <c r="F355" s="5">
        <v>0.35933447874782748</v>
      </c>
      <c r="G355" s="5">
        <v>0</v>
      </c>
      <c r="H355" s="5">
        <v>54812500000</v>
      </c>
      <c r="I355" s="5">
        <v>52115625000</v>
      </c>
      <c r="J355" s="5">
        <v>52115625000</v>
      </c>
      <c r="K355" s="5">
        <v>-1.1227210438512867E-11</v>
      </c>
      <c r="L355" s="5">
        <v>-1.1227210438512867E-11</v>
      </c>
      <c r="M355" s="5">
        <v>0</v>
      </c>
      <c r="N355" s="5">
        <v>2.0000000000000001E-4</v>
      </c>
      <c r="O355" s="5">
        <v>118.97321428571426</v>
      </c>
      <c r="P355" s="5">
        <v>118.97321428571426</v>
      </c>
      <c r="Q355" s="5">
        <v>2.1521093750000001E-9</v>
      </c>
      <c r="R355" s="5">
        <v>0</v>
      </c>
      <c r="S355" s="5">
        <v>1.36328125E-4</v>
      </c>
      <c r="T355" s="5">
        <v>1.0801562500000001E-5</v>
      </c>
      <c r="U355" s="5">
        <v>1.0801562500000001E-5</v>
      </c>
      <c r="V355" s="5">
        <v>0</v>
      </c>
      <c r="W355" s="5">
        <v>0</v>
      </c>
      <c r="X355" s="5">
        <v>2.5984375000000002</v>
      </c>
      <c r="Y355" s="5">
        <v>5370.3125</v>
      </c>
      <c r="Z355" s="5">
        <f t="shared" ref="Z355:AA355" si="165">Z354+0.0002</f>
        <v>-3.9999999999999986E-4</v>
      </c>
      <c r="AA355" s="5">
        <f t="shared" si="165"/>
        <v>-2.0000000000000006E-4</v>
      </c>
      <c r="AB355" s="4">
        <v>2</v>
      </c>
    </row>
    <row r="356" spans="1:28" x14ac:dyDescent="0.25">
      <c r="C356" s="4">
        <v>6</v>
      </c>
      <c r="D356" s="5">
        <v>146537837329.85809</v>
      </c>
      <c r="E356" s="5">
        <v>146537837329.85809</v>
      </c>
      <c r="F356" s="5">
        <v>0.355112979504006</v>
      </c>
      <c r="G356" s="5">
        <v>0</v>
      </c>
      <c r="H356" s="5">
        <v>53979166666.666664</v>
      </c>
      <c r="I356" s="5">
        <v>52073958333.333336</v>
      </c>
      <c r="J356" s="5">
        <v>52073958333.333336</v>
      </c>
      <c r="K356" s="5">
        <v>-1.6771511889630329E-11</v>
      </c>
      <c r="L356" s="5">
        <v>-1.6771511889630329E-11</v>
      </c>
      <c r="M356" s="5">
        <v>0</v>
      </c>
      <c r="N356" s="5">
        <v>2.0000000000000001E-4</v>
      </c>
      <c r="O356" s="5">
        <v>109.35921717171715</v>
      </c>
      <c r="P356" s="5">
        <v>109.35921717171715</v>
      </c>
      <c r="Q356" s="5">
        <v>3.168953510802469E-9</v>
      </c>
      <c r="R356" s="5">
        <v>0</v>
      </c>
      <c r="S356" s="5">
        <v>1.2611979166666666E-4</v>
      </c>
      <c r="T356" s="5">
        <v>1.1197395833333333E-5</v>
      </c>
      <c r="U356" s="5">
        <v>1.1197395833333333E-5</v>
      </c>
      <c r="V356" s="5">
        <v>0</v>
      </c>
      <c r="W356" s="5">
        <v>0</v>
      </c>
      <c r="X356" s="5">
        <v>2.6470486111111113</v>
      </c>
      <c r="Y356" s="5">
        <v>5405.0347222222226</v>
      </c>
      <c r="Z356" s="5">
        <f t="shared" ref="Z356:AA356" si="166">Z355+0.0002</f>
        <v>-1.9999999999999985E-4</v>
      </c>
      <c r="AA356" s="5">
        <f t="shared" si="166"/>
        <v>0</v>
      </c>
      <c r="AB356" s="4">
        <v>2</v>
      </c>
    </row>
    <row r="357" spans="1:28" x14ac:dyDescent="0.25">
      <c r="C357" s="4">
        <v>7</v>
      </c>
      <c r="D357" s="5">
        <v>143351215181.18481</v>
      </c>
      <c r="E357" s="5">
        <v>143351215181.18481</v>
      </c>
      <c r="F357" s="5">
        <v>0.35004718041142019</v>
      </c>
      <c r="G357" s="5">
        <v>0</v>
      </c>
      <c r="H357" s="5">
        <v>52979166666.666664</v>
      </c>
      <c r="I357" s="5">
        <v>52023958333.333336</v>
      </c>
      <c r="J357" s="5">
        <v>52023958333.333336</v>
      </c>
      <c r="K357" s="5">
        <v>-2.3424673630971285E-11</v>
      </c>
      <c r="L357" s="5">
        <v>-2.3424673630971285E-11</v>
      </c>
      <c r="M357" s="5">
        <v>0</v>
      </c>
      <c r="N357" s="5">
        <v>2.0000000000000001E-4</v>
      </c>
      <c r="O357" s="5">
        <v>97.822420634920618</v>
      </c>
      <c r="P357" s="5">
        <v>97.822420634920618</v>
      </c>
      <c r="Q357" s="5">
        <v>4.3891664737654323E-9</v>
      </c>
      <c r="R357" s="5">
        <v>0</v>
      </c>
      <c r="S357" s="5">
        <v>1.1386979166666666E-4</v>
      </c>
      <c r="T357" s="5">
        <v>1.1672395833333333E-5</v>
      </c>
      <c r="U357" s="5">
        <v>1.1672395833333333E-5</v>
      </c>
      <c r="V357" s="5">
        <v>0</v>
      </c>
      <c r="W357" s="5">
        <v>0</v>
      </c>
      <c r="X357" s="5">
        <v>2.7053819444444445</v>
      </c>
      <c r="Y357" s="5">
        <v>5446.7013888888887</v>
      </c>
      <c r="Z357" s="5">
        <f t="shared" ref="Z357:AA357" si="167">Z356+0.0002</f>
        <v>0</v>
      </c>
      <c r="AA357" s="5">
        <f t="shared" si="167"/>
        <v>2.0000000000000001E-4</v>
      </c>
      <c r="AB357" s="4">
        <v>2</v>
      </c>
    </row>
    <row r="358" spans="1:28" x14ac:dyDescent="0.25">
      <c r="C358" s="4">
        <v>8</v>
      </c>
      <c r="D358" s="5">
        <v>139633489341.06601</v>
      </c>
      <c r="E358" s="5">
        <v>139633489341.06601</v>
      </c>
      <c r="F358" s="5">
        <v>0.34413708147007005</v>
      </c>
      <c r="G358" s="5">
        <v>0</v>
      </c>
      <c r="H358" s="5">
        <v>51812500000</v>
      </c>
      <c r="I358" s="5">
        <v>51965625000</v>
      </c>
      <c r="J358" s="5">
        <v>51965625000</v>
      </c>
      <c r="K358" s="5">
        <v>-3.1186695662535743E-11</v>
      </c>
      <c r="L358" s="5">
        <v>-3.1186695662535743E-11</v>
      </c>
      <c r="M358" s="5">
        <v>0</v>
      </c>
      <c r="N358" s="5">
        <v>2.0000000000000001E-4</v>
      </c>
      <c r="O358" s="5">
        <v>84.36282467532466</v>
      </c>
      <c r="P358" s="5">
        <v>84.36282467532466</v>
      </c>
      <c r="Q358" s="5">
        <v>5.8127482638888899E-9</v>
      </c>
      <c r="R358" s="5">
        <v>0</v>
      </c>
      <c r="S358" s="5">
        <v>9.9578125000000003E-5</v>
      </c>
      <c r="T358" s="5">
        <v>1.22265625E-5</v>
      </c>
      <c r="U358" s="5">
        <v>1.22265625E-5</v>
      </c>
      <c r="V358" s="5">
        <v>0</v>
      </c>
      <c r="W358" s="5">
        <v>0</v>
      </c>
      <c r="X358" s="5">
        <v>2.7734375</v>
      </c>
      <c r="Y358" s="5">
        <v>5495.3125</v>
      </c>
      <c r="Z358" s="5">
        <f t="shared" ref="Z358:AA358" si="168">Z357+0.0002</f>
        <v>2.0000000000000001E-4</v>
      </c>
      <c r="AA358" s="5">
        <f t="shared" si="168"/>
        <v>4.0000000000000002E-4</v>
      </c>
      <c r="AB358" s="4">
        <v>2</v>
      </c>
    </row>
    <row r="359" spans="1:28" x14ac:dyDescent="0.25">
      <c r="C359" s="4">
        <v>9</v>
      </c>
      <c r="D359" s="5">
        <v>135384659809.50165</v>
      </c>
      <c r="E359" s="5">
        <v>135384659809.50165</v>
      </c>
      <c r="F359" s="5">
        <v>0.33738268267995564</v>
      </c>
      <c r="G359" s="5">
        <v>0</v>
      </c>
      <c r="H359" s="5">
        <v>50479166666.666664</v>
      </c>
      <c r="I359" s="5">
        <v>51898958333.333336</v>
      </c>
      <c r="J359" s="5">
        <v>51898958333.333336</v>
      </c>
      <c r="K359" s="5">
        <v>-4.0057577984323686E-11</v>
      </c>
      <c r="L359" s="5">
        <v>-4.0057577984323686E-11</v>
      </c>
      <c r="M359" s="5">
        <v>0</v>
      </c>
      <c r="N359" s="5">
        <v>2.0000000000000001E-4</v>
      </c>
      <c r="O359" s="5">
        <v>68.980429292929273</v>
      </c>
      <c r="P359" s="5">
        <v>68.980429292929273</v>
      </c>
      <c r="Q359" s="5">
        <v>7.4396988811728414E-9</v>
      </c>
      <c r="R359" s="5">
        <v>0</v>
      </c>
      <c r="S359" s="5">
        <v>8.3244791666666661E-5</v>
      </c>
      <c r="T359" s="5">
        <v>1.2859895833333333E-5</v>
      </c>
      <c r="U359" s="5">
        <v>1.2859895833333333E-5</v>
      </c>
      <c r="V359" s="5">
        <v>0</v>
      </c>
      <c r="W359" s="5">
        <v>0</v>
      </c>
      <c r="X359" s="5">
        <v>2.8512152777777779</v>
      </c>
      <c r="Y359" s="5">
        <v>5550.8680555555557</v>
      </c>
      <c r="Z359" s="5">
        <f t="shared" ref="Z359:AA359" si="169">Z358+0.0002</f>
        <v>4.0000000000000002E-4</v>
      </c>
      <c r="AA359" s="5">
        <f t="shared" si="169"/>
        <v>6.0000000000000006E-4</v>
      </c>
      <c r="AB359" s="4">
        <v>2</v>
      </c>
    </row>
    <row r="360" spans="1:28" x14ac:dyDescent="0.25">
      <c r="C360" s="4">
        <v>10</v>
      </c>
      <c r="D360" s="5">
        <v>130604726586.49174</v>
      </c>
      <c r="E360" s="5">
        <v>130604726586.49174</v>
      </c>
      <c r="F360" s="5">
        <v>0.32978398404107689</v>
      </c>
      <c r="G360" s="5">
        <v>0</v>
      </c>
      <c r="H360" s="5">
        <v>48979166666.666664</v>
      </c>
      <c r="I360" s="5">
        <v>51823958333.333336</v>
      </c>
      <c r="J360" s="5">
        <v>51823958333.333336</v>
      </c>
      <c r="K360" s="5">
        <v>-5.0037320596335138E-11</v>
      </c>
      <c r="L360" s="5">
        <v>-5.0037320596335138E-11</v>
      </c>
      <c r="M360" s="5">
        <v>0</v>
      </c>
      <c r="N360" s="5">
        <v>2.0000000000000001E-4</v>
      </c>
      <c r="O360" s="5">
        <v>51.675234487734457</v>
      </c>
      <c r="P360" s="5">
        <v>51.675234487734457</v>
      </c>
      <c r="Q360" s="5">
        <v>9.2700183256172878E-9</v>
      </c>
      <c r="R360" s="5">
        <v>0</v>
      </c>
      <c r="S360" s="5">
        <v>6.4869791666666635E-5</v>
      </c>
      <c r="T360" s="5">
        <v>1.3572395833333333E-5</v>
      </c>
      <c r="U360" s="5">
        <v>1.3572395833333333E-5</v>
      </c>
      <c r="V360" s="5">
        <v>0</v>
      </c>
      <c r="W360" s="5">
        <v>0</v>
      </c>
      <c r="X360" s="5">
        <v>2.9387152777777779</v>
      </c>
      <c r="Y360" s="5">
        <v>5613.3680555555557</v>
      </c>
      <c r="Z360" s="5">
        <f t="shared" ref="Z360:AA360" si="170">Z359+0.0002</f>
        <v>6.0000000000000006E-4</v>
      </c>
      <c r="AA360" s="5">
        <f t="shared" si="170"/>
        <v>8.0000000000000004E-4</v>
      </c>
      <c r="AB360" s="4">
        <v>2</v>
      </c>
    </row>
    <row r="361" spans="1:28" x14ac:dyDescent="0.25">
      <c r="C361" s="4">
        <v>11</v>
      </c>
      <c r="D361" s="5">
        <v>125293689672.03632</v>
      </c>
      <c r="E361" s="5">
        <v>125293689672.03632</v>
      </c>
      <c r="F361" s="5">
        <v>0.32134098555343393</v>
      </c>
      <c r="G361" s="5">
        <v>0</v>
      </c>
      <c r="H361" s="5">
        <v>47312500000</v>
      </c>
      <c r="I361" s="5">
        <v>51740625000</v>
      </c>
      <c r="J361" s="5">
        <v>51740625000</v>
      </c>
      <c r="K361" s="5">
        <v>-6.1125923498570052E-11</v>
      </c>
      <c r="L361" s="5">
        <v>-6.1125923498570052E-11</v>
      </c>
      <c r="M361" s="5">
        <v>0</v>
      </c>
      <c r="N361" s="5">
        <v>2.0000000000000001E-4</v>
      </c>
      <c r="O361" s="5">
        <v>32.447240259740255</v>
      </c>
      <c r="P361" s="5">
        <v>32.447240259740255</v>
      </c>
      <c r="Q361" s="5">
        <v>1.1303706597222224E-8</v>
      </c>
      <c r="R361" s="5">
        <v>0</v>
      </c>
      <c r="S361" s="5">
        <v>4.4453125000000005E-5</v>
      </c>
      <c r="T361" s="5">
        <v>1.4364062499999999E-5</v>
      </c>
      <c r="U361" s="5">
        <v>1.4364062499999999E-5</v>
      </c>
      <c r="V361" s="5">
        <v>0</v>
      </c>
      <c r="W361" s="5">
        <v>0</v>
      </c>
      <c r="X361" s="5">
        <v>3.0359375000000002</v>
      </c>
      <c r="Y361" s="5">
        <v>5682.8125</v>
      </c>
      <c r="Z361" s="5">
        <f t="shared" ref="Z361:AA361" si="171">Z360+0.0002</f>
        <v>8.0000000000000004E-4</v>
      </c>
      <c r="AA361" s="5">
        <f t="shared" si="171"/>
        <v>1E-3</v>
      </c>
      <c r="AB361" s="4">
        <v>2</v>
      </c>
    </row>
    <row r="362" spans="1:28" x14ac:dyDescent="0.25">
      <c r="B362" t="s">
        <v>187</v>
      </c>
      <c r="C362" s="11">
        <v>12</v>
      </c>
      <c r="D362" s="5">
        <v>119451549066.13531</v>
      </c>
      <c r="E362" s="5">
        <v>119451549066.13531</v>
      </c>
      <c r="F362" s="5">
        <v>0.31205368721702659</v>
      </c>
      <c r="G362" s="5">
        <v>0</v>
      </c>
      <c r="H362" s="5">
        <v>45479166666.666664</v>
      </c>
      <c r="I362" s="5">
        <v>51648958333.333336</v>
      </c>
      <c r="J362" s="5">
        <v>51648958333.333336</v>
      </c>
      <c r="K362" s="5">
        <v>-7.3323386691028495E-11</v>
      </c>
      <c r="L362" s="5">
        <v>-7.3323386691028495E-11</v>
      </c>
      <c r="M362" s="5">
        <v>0</v>
      </c>
      <c r="N362" s="5">
        <v>2.0000000000000001E-4</v>
      </c>
      <c r="O362" s="5">
        <v>11.296446608946567</v>
      </c>
      <c r="P362" s="5">
        <v>11.296446608946567</v>
      </c>
      <c r="Q362" s="5">
        <v>1.3540763695987659E-8</v>
      </c>
      <c r="R362" s="5">
        <v>0</v>
      </c>
      <c r="S362" s="5">
        <v>2.1994791666666636E-5</v>
      </c>
      <c r="T362" s="5">
        <v>1.5234895833333333E-5</v>
      </c>
      <c r="U362" s="5">
        <v>1.5234895833333333E-5</v>
      </c>
      <c r="V362" s="5">
        <v>0</v>
      </c>
      <c r="W362" s="5">
        <v>0</v>
      </c>
      <c r="X362" s="5">
        <v>3.1428819444444449</v>
      </c>
      <c r="Y362" s="5">
        <v>5759.2013888888887</v>
      </c>
      <c r="Z362" s="5">
        <f t="shared" ref="Z362:AA362" si="172">Z361+0.0002</f>
        <v>1E-3</v>
      </c>
      <c r="AA362" s="5">
        <f t="shared" si="172"/>
        <v>1.2000000000000001E-3</v>
      </c>
      <c r="AB362" s="4">
        <v>2</v>
      </c>
    </row>
    <row r="363" spans="1:28" x14ac:dyDescent="0.25"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4"/>
    </row>
    <row r="364" spans="1:28" x14ac:dyDescent="0.25"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4"/>
    </row>
    <row r="365" spans="1:28" x14ac:dyDescent="0.25"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4"/>
    </row>
    <row r="366" spans="1:28" x14ac:dyDescent="0.25">
      <c r="A366" s="15" t="s">
        <v>202</v>
      </c>
      <c r="C366" s="10" t="s">
        <v>27</v>
      </c>
      <c r="D366" s="10" t="s">
        <v>28</v>
      </c>
      <c r="E366" s="10" t="s">
        <v>29</v>
      </c>
      <c r="F366" s="10" t="s">
        <v>30</v>
      </c>
      <c r="G366" s="10" t="s">
        <v>31</v>
      </c>
      <c r="H366" s="10" t="s">
        <v>47</v>
      </c>
      <c r="I366" s="10" t="s">
        <v>32</v>
      </c>
      <c r="J366" s="10" t="s">
        <v>33</v>
      </c>
      <c r="K366" s="10" t="s">
        <v>34</v>
      </c>
      <c r="L366" s="10" t="s">
        <v>35</v>
      </c>
      <c r="M366" s="10" t="s">
        <v>36</v>
      </c>
      <c r="N366" s="10" t="s">
        <v>37</v>
      </c>
      <c r="O366" s="10" t="s">
        <v>38</v>
      </c>
      <c r="P366" s="10" t="s">
        <v>39</v>
      </c>
      <c r="Q366" s="10" t="s">
        <v>40</v>
      </c>
      <c r="R366" s="10" t="s">
        <v>41</v>
      </c>
      <c r="S366" s="10" t="s">
        <v>42</v>
      </c>
      <c r="T366" s="10" t="s">
        <v>48</v>
      </c>
      <c r="U366" s="10" t="s">
        <v>77</v>
      </c>
      <c r="V366" s="10" t="s">
        <v>78</v>
      </c>
      <c r="W366" s="10" t="s">
        <v>79</v>
      </c>
      <c r="X366" s="10" t="s">
        <v>80</v>
      </c>
      <c r="Y366" s="10" t="s">
        <v>43</v>
      </c>
      <c r="Z366" s="10" t="s">
        <v>44</v>
      </c>
      <c r="AA366" s="10" t="s">
        <v>45</v>
      </c>
      <c r="AB366" s="10" t="s">
        <v>46</v>
      </c>
    </row>
    <row r="367" spans="1:28" x14ac:dyDescent="0.25">
      <c r="A367" s="12" t="s">
        <v>201</v>
      </c>
      <c r="B367" t="s">
        <v>183</v>
      </c>
      <c r="C367" s="11">
        <v>1</v>
      </c>
      <c r="D367" s="5">
        <v>153375633970.11682</v>
      </c>
      <c r="E367" s="5">
        <v>153375633970.11682</v>
      </c>
      <c r="F367" s="5">
        <v>0.36496507540079509</v>
      </c>
      <c r="G367" s="5">
        <v>0</v>
      </c>
      <c r="H367" s="5">
        <v>56058333333.333328</v>
      </c>
      <c r="I367" s="5">
        <v>51766458333.333336</v>
      </c>
      <c r="J367" s="5">
        <v>51766458333.333336</v>
      </c>
      <c r="K367" s="5">
        <v>1.9405055078911115E-13</v>
      </c>
      <c r="L367" s="5">
        <v>1.9405055078911115E-13</v>
      </c>
      <c r="M367" s="5">
        <v>0</v>
      </c>
      <c r="N367" s="5">
        <v>2.0000000000000001E-4</v>
      </c>
      <c r="O367" s="5">
        <v>137.62436868686865</v>
      </c>
      <c r="P367" s="5">
        <v>137.62436868686865</v>
      </c>
      <c r="Q367" s="5">
        <v>5.6635455246913611E-11</v>
      </c>
      <c r="R367" s="5">
        <v>0</v>
      </c>
      <c r="S367" s="5">
        <v>1.5604895833333334E-4</v>
      </c>
      <c r="T367" s="5">
        <v>9.902812500000002E-6</v>
      </c>
      <c r="U367" s="5">
        <v>9.902812500000002E-6</v>
      </c>
      <c r="V367" s="5">
        <v>0</v>
      </c>
      <c r="W367" s="5">
        <v>0</v>
      </c>
      <c r="X367" s="5">
        <v>2.4774652777777777</v>
      </c>
      <c r="Y367" s="5">
        <v>5254.6180555555557</v>
      </c>
      <c r="Z367" s="5">
        <v>-1.1999999999999999E-3</v>
      </c>
      <c r="AA367" s="5">
        <v>-1E-3</v>
      </c>
      <c r="AB367" s="4">
        <v>2</v>
      </c>
    </row>
    <row r="368" spans="1:28" x14ac:dyDescent="0.25">
      <c r="C368" s="4">
        <v>2</v>
      </c>
      <c r="D368" s="5">
        <v>150587012815.82239</v>
      </c>
      <c r="E368" s="5">
        <v>150587012815.82239</v>
      </c>
      <c r="F368" s="5">
        <v>0.35849597188267995</v>
      </c>
      <c r="G368" s="5">
        <v>0</v>
      </c>
      <c r="H368" s="5">
        <v>55050000000</v>
      </c>
      <c r="I368" s="5">
        <v>50893125000</v>
      </c>
      <c r="J368" s="5">
        <v>50893125000</v>
      </c>
      <c r="K368" s="5">
        <v>-2.4949356530028589E-13</v>
      </c>
      <c r="L368" s="5">
        <v>-2.4949356530028589E-13</v>
      </c>
      <c r="M368" s="5">
        <v>0</v>
      </c>
      <c r="N368" s="5">
        <v>2.0000000000000001E-4</v>
      </c>
      <c r="O368" s="5">
        <v>134.54788961038957</v>
      </c>
      <c r="P368" s="5">
        <v>134.54788961038957</v>
      </c>
      <c r="Q368" s="5">
        <v>1.3643298611111111E-10</v>
      </c>
      <c r="R368" s="5">
        <v>0</v>
      </c>
      <c r="S368" s="5">
        <v>1.5261562500000001E-4</v>
      </c>
      <c r="T368" s="5">
        <v>9.7678125000000008E-6</v>
      </c>
      <c r="U368" s="5">
        <v>9.7678125000000008E-6</v>
      </c>
      <c r="V368" s="5">
        <v>0</v>
      </c>
      <c r="W368" s="5">
        <v>0</v>
      </c>
      <c r="X368" s="5">
        <v>2.4396874999999998</v>
      </c>
      <c r="Y368" s="5">
        <v>5169.0625</v>
      </c>
      <c r="Z368" s="5">
        <f t="shared" ref="Z368:AA368" si="173">Z367+0.0002</f>
        <v>-9.999999999999998E-4</v>
      </c>
      <c r="AA368" s="5">
        <f t="shared" si="173"/>
        <v>-8.0000000000000004E-4</v>
      </c>
      <c r="AB368" s="4">
        <v>2</v>
      </c>
    </row>
    <row r="369" spans="1:28" x14ac:dyDescent="0.25">
      <c r="C369" s="4">
        <v>3</v>
      </c>
      <c r="D369" s="5">
        <v>147267287970.08243</v>
      </c>
      <c r="E369" s="5">
        <v>147267287970.08243</v>
      </c>
      <c r="F369" s="5">
        <v>0.35118256851580049</v>
      </c>
      <c r="G369" s="5">
        <v>0</v>
      </c>
      <c r="H369" s="5">
        <v>53875000000</v>
      </c>
      <c r="I369" s="5">
        <v>50011458333.333336</v>
      </c>
      <c r="J369" s="5">
        <v>50011458333.333336</v>
      </c>
      <c r="K369" s="5">
        <v>-1.8018979716131755E-12</v>
      </c>
      <c r="L369" s="5">
        <v>-1.8018979716131755E-12</v>
      </c>
      <c r="M369" s="5">
        <v>0</v>
      </c>
      <c r="N369" s="5">
        <v>2.0000000000000001E-4</v>
      </c>
      <c r="O369" s="5">
        <v>129.54861111111109</v>
      </c>
      <c r="P369" s="5">
        <v>129.54861111111109</v>
      </c>
      <c r="Q369" s="5">
        <v>4.1959934413580239E-10</v>
      </c>
      <c r="R369" s="5">
        <v>0</v>
      </c>
      <c r="S369" s="5">
        <v>1.47140625E-4</v>
      </c>
      <c r="T369" s="5">
        <v>9.711979166666667E-6</v>
      </c>
      <c r="U369" s="5">
        <v>9.711979166666667E-6</v>
      </c>
      <c r="V369" s="5">
        <v>0</v>
      </c>
      <c r="W369" s="5">
        <v>0</v>
      </c>
      <c r="X369" s="5">
        <v>2.4116319444444447</v>
      </c>
      <c r="Y369" s="5">
        <v>5090.4513888888887</v>
      </c>
      <c r="Z369" s="5">
        <f t="shared" ref="Z369:AA369" si="174">Z368+0.0002</f>
        <v>-7.9999999999999982E-4</v>
      </c>
      <c r="AA369" s="5">
        <f t="shared" si="174"/>
        <v>-6.0000000000000006E-4</v>
      </c>
      <c r="AB369" s="4">
        <v>2</v>
      </c>
    </row>
    <row r="370" spans="1:28" x14ac:dyDescent="0.25">
      <c r="C370" s="4">
        <v>4</v>
      </c>
      <c r="D370" s="5">
        <v>143416459432.89694</v>
      </c>
      <c r="E370" s="5">
        <v>143416459432.89694</v>
      </c>
      <c r="F370" s="5">
        <v>0.34302486530015669</v>
      </c>
      <c r="G370" s="5">
        <v>0</v>
      </c>
      <c r="H370" s="5">
        <v>52533333333.333328</v>
      </c>
      <c r="I370" s="5">
        <v>49121458333.333336</v>
      </c>
      <c r="J370" s="5">
        <v>49121458333.333336</v>
      </c>
      <c r="K370" s="5">
        <v>-4.4631626681495576E-12</v>
      </c>
      <c r="L370" s="5">
        <v>-4.4631626681495576E-12</v>
      </c>
      <c r="M370" s="5">
        <v>0</v>
      </c>
      <c r="N370" s="5">
        <v>2.0000000000000001E-4</v>
      </c>
      <c r="O370" s="5">
        <v>122.62653318903317</v>
      </c>
      <c r="P370" s="5">
        <v>122.62653318903317</v>
      </c>
      <c r="Q370" s="5">
        <v>9.0613452932098746E-10</v>
      </c>
      <c r="R370" s="5">
        <v>0</v>
      </c>
      <c r="S370" s="5">
        <v>1.3962395833333333E-4</v>
      </c>
      <c r="T370" s="5">
        <v>9.7353125000000007E-6</v>
      </c>
      <c r="U370" s="5">
        <v>9.7353125000000007E-6</v>
      </c>
      <c r="V370" s="5">
        <v>0</v>
      </c>
      <c r="W370" s="5">
        <v>0</v>
      </c>
      <c r="X370" s="5">
        <v>2.3932986111111108</v>
      </c>
      <c r="Y370" s="5">
        <v>5018.7847222222226</v>
      </c>
      <c r="Z370" s="5">
        <f t="shared" ref="Z370:AA370" si="175">Z369+0.0002</f>
        <v>-5.9999999999999984E-4</v>
      </c>
      <c r="AA370" s="5">
        <f t="shared" si="175"/>
        <v>-4.0000000000000007E-4</v>
      </c>
      <c r="AB370" s="4">
        <v>2</v>
      </c>
    </row>
    <row r="371" spans="1:28" x14ac:dyDescent="0.25">
      <c r="C371" s="4">
        <v>5</v>
      </c>
      <c r="D371" s="5">
        <v>139034527204.2659</v>
      </c>
      <c r="E371" s="5">
        <v>139034527204.2659</v>
      </c>
      <c r="F371" s="5">
        <v>0.33402286223574862</v>
      </c>
      <c r="G371" s="5">
        <v>0</v>
      </c>
      <c r="H371" s="5">
        <v>51025000000</v>
      </c>
      <c r="I371" s="5">
        <v>48223125000</v>
      </c>
      <c r="J371" s="5">
        <v>48223125000</v>
      </c>
      <c r="K371" s="5">
        <v>-8.2332876549094363E-12</v>
      </c>
      <c r="L371" s="5">
        <v>-8.2332876549094363E-12</v>
      </c>
      <c r="M371" s="5">
        <v>0</v>
      </c>
      <c r="N371" s="5">
        <v>2.0000000000000001E-4</v>
      </c>
      <c r="O371" s="5">
        <v>113.78165584415582</v>
      </c>
      <c r="P371" s="5">
        <v>113.78165584415582</v>
      </c>
      <c r="Q371" s="5">
        <v>1.5960385416666667E-9</v>
      </c>
      <c r="R371" s="5">
        <v>0</v>
      </c>
      <c r="S371" s="5">
        <v>1.3006562500000001E-4</v>
      </c>
      <c r="T371" s="5">
        <v>9.8378125000000001E-6</v>
      </c>
      <c r="U371" s="5">
        <v>9.8378125000000001E-6</v>
      </c>
      <c r="V371" s="5">
        <v>0</v>
      </c>
      <c r="W371" s="5">
        <v>0</v>
      </c>
      <c r="X371" s="5">
        <v>2.3846875000000001</v>
      </c>
      <c r="Y371" s="5">
        <v>4954.0625</v>
      </c>
      <c r="Z371" s="5">
        <f t="shared" ref="Z371:AA371" si="176">Z370+0.0002</f>
        <v>-3.9999999999999986E-4</v>
      </c>
      <c r="AA371" s="5">
        <f t="shared" si="176"/>
        <v>-2.0000000000000006E-4</v>
      </c>
      <c r="AB371" s="4">
        <v>2</v>
      </c>
    </row>
    <row r="372" spans="1:28" x14ac:dyDescent="0.25">
      <c r="C372" s="4">
        <v>6</v>
      </c>
      <c r="D372" s="5">
        <v>134121491284.1893</v>
      </c>
      <c r="E372" s="5">
        <v>134121491284.1893</v>
      </c>
      <c r="F372" s="5">
        <v>0.32417655932257633</v>
      </c>
      <c r="G372" s="5">
        <v>0</v>
      </c>
      <c r="H372" s="5">
        <v>49350000000</v>
      </c>
      <c r="I372" s="5">
        <v>47316458333.333336</v>
      </c>
      <c r="J372" s="5">
        <v>47316458333.333336</v>
      </c>
      <c r="K372" s="5">
        <v>-1.3112272931892802E-11</v>
      </c>
      <c r="L372" s="5">
        <v>-1.3112272931892802E-11</v>
      </c>
      <c r="M372" s="5">
        <v>0</v>
      </c>
      <c r="N372" s="5">
        <v>2.0000000000000001E-4</v>
      </c>
      <c r="O372" s="5">
        <v>103.01397907647906</v>
      </c>
      <c r="P372" s="5">
        <v>103.01397907647906</v>
      </c>
      <c r="Q372" s="5">
        <v>2.4893113811728394E-9</v>
      </c>
      <c r="R372" s="5">
        <v>0</v>
      </c>
      <c r="S372" s="5">
        <v>1.1846562499999999E-4</v>
      </c>
      <c r="T372" s="5">
        <v>1.0019479166666665E-5</v>
      </c>
      <c r="U372" s="5">
        <v>1.0019479166666665E-5</v>
      </c>
      <c r="V372" s="5">
        <v>0</v>
      </c>
      <c r="W372" s="5">
        <v>0</v>
      </c>
      <c r="X372" s="5">
        <v>2.3857986111111114</v>
      </c>
      <c r="Y372" s="5">
        <v>4896.2847222222226</v>
      </c>
      <c r="Z372" s="5">
        <f t="shared" ref="Z372:AA372" si="177">Z371+0.0002</f>
        <v>-1.9999999999999985E-4</v>
      </c>
      <c r="AA372" s="5">
        <f t="shared" si="177"/>
        <v>0</v>
      </c>
      <c r="AB372" s="4">
        <v>2</v>
      </c>
    </row>
    <row r="373" spans="1:28" x14ac:dyDescent="0.25">
      <c r="C373" s="4">
        <v>7</v>
      </c>
      <c r="D373" s="5">
        <v>128677351672.66714</v>
      </c>
      <c r="E373" s="5">
        <v>128677351672.66714</v>
      </c>
      <c r="F373" s="5">
        <v>0.31348595656063966</v>
      </c>
      <c r="G373" s="5">
        <v>0</v>
      </c>
      <c r="H373" s="5">
        <v>47508333333.333328</v>
      </c>
      <c r="I373" s="5">
        <v>46401458333.333336</v>
      </c>
      <c r="J373" s="5">
        <v>46401458333.333336</v>
      </c>
      <c r="K373" s="5">
        <v>-1.9100118499099664E-11</v>
      </c>
      <c r="L373" s="5">
        <v>-1.9100118499099664E-11</v>
      </c>
      <c r="M373" s="5">
        <v>0</v>
      </c>
      <c r="N373" s="5">
        <v>2.0000000000000001E-4</v>
      </c>
      <c r="O373" s="5">
        <v>90.323502886002871</v>
      </c>
      <c r="P373" s="5">
        <v>90.323502886002871</v>
      </c>
      <c r="Q373" s="5">
        <v>3.5859530478395066E-9</v>
      </c>
      <c r="R373" s="5">
        <v>0</v>
      </c>
      <c r="S373" s="5">
        <v>1.0482395833333333E-4</v>
      </c>
      <c r="T373" s="5">
        <v>1.02803125E-5</v>
      </c>
      <c r="U373" s="5">
        <v>1.02803125E-5</v>
      </c>
      <c r="V373" s="5">
        <v>0</v>
      </c>
      <c r="W373" s="5">
        <v>0</v>
      </c>
      <c r="X373" s="5">
        <v>2.3966319444444446</v>
      </c>
      <c r="Y373" s="5">
        <v>4845.4513888888887</v>
      </c>
      <c r="Z373" s="5">
        <f t="shared" ref="Z373:AA373" si="178">Z372+0.0002</f>
        <v>0</v>
      </c>
      <c r="AA373" s="5">
        <f t="shared" si="178"/>
        <v>2.0000000000000001E-4</v>
      </c>
      <c r="AB373" s="4">
        <v>2</v>
      </c>
    </row>
    <row r="374" spans="1:28" x14ac:dyDescent="0.25">
      <c r="C374" s="4">
        <v>8</v>
      </c>
      <c r="D374" s="5">
        <v>122702108369.69946</v>
      </c>
      <c r="E374" s="5">
        <v>122702108369.69946</v>
      </c>
      <c r="F374" s="5">
        <v>0.30195105394993865</v>
      </c>
      <c r="G374" s="5">
        <v>0</v>
      </c>
      <c r="H374" s="5">
        <v>45500000000</v>
      </c>
      <c r="I374" s="5">
        <v>45478125000</v>
      </c>
      <c r="J374" s="5">
        <v>45478125000</v>
      </c>
      <c r="K374" s="5">
        <v>-2.6196824356530023E-11</v>
      </c>
      <c r="L374" s="5">
        <v>-2.6196824356530023E-11</v>
      </c>
      <c r="M374" s="5">
        <v>0</v>
      </c>
      <c r="N374" s="5">
        <v>2.0000000000000001E-4</v>
      </c>
      <c r="O374" s="5">
        <v>75.710227272727252</v>
      </c>
      <c r="P374" s="5">
        <v>75.710227272727252</v>
      </c>
      <c r="Q374" s="5">
        <v>4.8859635416666672E-9</v>
      </c>
      <c r="R374" s="5">
        <v>0</v>
      </c>
      <c r="S374" s="5">
        <v>8.9140625E-5</v>
      </c>
      <c r="T374" s="5">
        <v>1.06203125E-5</v>
      </c>
      <c r="U374" s="5">
        <v>1.06203125E-5</v>
      </c>
      <c r="V374" s="5">
        <v>0</v>
      </c>
      <c r="W374" s="5">
        <v>0</v>
      </c>
      <c r="X374" s="5">
        <v>2.4171874999999998</v>
      </c>
      <c r="Y374" s="5">
        <v>4801.5625</v>
      </c>
      <c r="Z374" s="5">
        <f t="shared" ref="Z374:AA374" si="179">Z373+0.0002</f>
        <v>2.0000000000000001E-4</v>
      </c>
      <c r="AA374" s="5">
        <f t="shared" si="179"/>
        <v>4.0000000000000002E-4</v>
      </c>
      <c r="AB374" s="4">
        <v>2</v>
      </c>
    </row>
    <row r="375" spans="1:28" x14ac:dyDescent="0.25">
      <c r="C375" s="4">
        <v>9</v>
      </c>
      <c r="D375" s="5">
        <v>116195761375.28622</v>
      </c>
      <c r="E375" s="5">
        <v>116195761375.28622</v>
      </c>
      <c r="F375" s="5">
        <v>0.28957185149047338</v>
      </c>
      <c r="G375" s="5">
        <v>0</v>
      </c>
      <c r="H375" s="5">
        <v>43325000000</v>
      </c>
      <c r="I375" s="5">
        <v>44546458333.333336</v>
      </c>
      <c r="J375" s="5">
        <v>44546458333.333336</v>
      </c>
      <c r="K375" s="5">
        <v>-3.4402390504183872E-11</v>
      </c>
      <c r="L375" s="5">
        <v>-3.4402390504183872E-11</v>
      </c>
      <c r="M375" s="5">
        <v>0</v>
      </c>
      <c r="N375" s="5">
        <v>2.0000000000000001E-4</v>
      </c>
      <c r="O375" s="5">
        <v>59.174152236652219</v>
      </c>
      <c r="P375" s="5">
        <v>59.174152236652219</v>
      </c>
      <c r="Q375" s="5">
        <v>6.3893428626543226E-9</v>
      </c>
      <c r="R375" s="5">
        <v>0</v>
      </c>
      <c r="S375" s="5">
        <v>7.1415624999999989E-5</v>
      </c>
      <c r="T375" s="5">
        <v>1.1039479166666666E-5</v>
      </c>
      <c r="U375" s="5">
        <v>1.1039479166666666E-5</v>
      </c>
      <c r="V375" s="5">
        <v>0</v>
      </c>
      <c r="W375" s="5">
        <v>0</v>
      </c>
      <c r="X375" s="5">
        <v>2.4474652777777779</v>
      </c>
      <c r="Y375" s="5">
        <v>4764.6180555555557</v>
      </c>
      <c r="Z375" s="5">
        <f t="shared" ref="Z375:AA375" si="180">Z374+0.0002</f>
        <v>4.0000000000000002E-4</v>
      </c>
      <c r="AA375" s="5">
        <f t="shared" si="180"/>
        <v>6.0000000000000006E-4</v>
      </c>
      <c r="AB375" s="4">
        <v>2</v>
      </c>
    </row>
    <row r="376" spans="1:28" x14ac:dyDescent="0.25">
      <c r="C376" s="4">
        <v>10</v>
      </c>
      <c r="D376" s="5">
        <v>109158310689.42746</v>
      </c>
      <c r="E376" s="5">
        <v>109158310689.42746</v>
      </c>
      <c r="F376" s="5">
        <v>0.27634834918224377</v>
      </c>
      <c r="G376" s="5">
        <v>0</v>
      </c>
      <c r="H376" s="5">
        <v>40983333333.333328</v>
      </c>
      <c r="I376" s="5">
        <v>43606458333.333336</v>
      </c>
      <c r="J376" s="5">
        <v>43606458333.333336</v>
      </c>
      <c r="K376" s="5">
        <v>-4.3716816942061229E-11</v>
      </c>
      <c r="L376" s="5">
        <v>-4.3716816942061229E-11</v>
      </c>
      <c r="M376" s="5">
        <v>0</v>
      </c>
      <c r="N376" s="5">
        <v>2.0000000000000001E-4</v>
      </c>
      <c r="O376" s="5">
        <v>40.715277777777743</v>
      </c>
      <c r="P376" s="5">
        <v>40.715277777777743</v>
      </c>
      <c r="Q376" s="5">
        <v>8.0960910108024736E-9</v>
      </c>
      <c r="R376" s="5">
        <v>0</v>
      </c>
      <c r="S376" s="5">
        <v>5.1648958333333301E-5</v>
      </c>
      <c r="T376" s="5">
        <v>1.1537812499999999E-5</v>
      </c>
      <c r="U376" s="5">
        <v>1.1537812499999999E-5</v>
      </c>
      <c r="V376" s="5">
        <v>0</v>
      </c>
      <c r="W376" s="5">
        <v>0</v>
      </c>
      <c r="X376" s="5">
        <v>2.4874652777777779</v>
      </c>
      <c r="Y376" s="5">
        <v>4734.6180555555557</v>
      </c>
      <c r="Z376" s="5">
        <f t="shared" ref="Z376:AA376" si="181">Z375+0.0002</f>
        <v>6.0000000000000006E-4</v>
      </c>
      <c r="AA376" s="5">
        <f t="shared" si="181"/>
        <v>8.0000000000000004E-4</v>
      </c>
      <c r="AB376" s="4">
        <v>2</v>
      </c>
    </row>
    <row r="377" spans="1:28" x14ac:dyDescent="0.25">
      <c r="C377" s="4">
        <v>11</v>
      </c>
      <c r="D377" s="5">
        <v>101589756312.12315</v>
      </c>
      <c r="E377" s="5">
        <v>101589756312.12315</v>
      </c>
      <c r="F377" s="5">
        <v>0.26228054702524994</v>
      </c>
      <c r="G377" s="5">
        <v>0</v>
      </c>
      <c r="H377" s="5">
        <v>38475000000</v>
      </c>
      <c r="I377" s="5">
        <v>42658125000</v>
      </c>
      <c r="J377" s="5">
        <v>42658125000</v>
      </c>
      <c r="K377" s="5">
        <v>-5.4140103670162043E-11</v>
      </c>
      <c r="L377" s="5">
        <v>-5.4140103670162043E-11</v>
      </c>
      <c r="M377" s="5">
        <v>0</v>
      </c>
      <c r="N377" s="5">
        <v>2.0000000000000001E-4</v>
      </c>
      <c r="O377" s="5">
        <v>20.333603896103892</v>
      </c>
      <c r="P377" s="5">
        <v>20.333603896103892</v>
      </c>
      <c r="Q377" s="5">
        <v>1.0006207986111112E-8</v>
      </c>
      <c r="R377" s="5">
        <v>0</v>
      </c>
      <c r="S377" s="5">
        <v>2.9840625000000005E-5</v>
      </c>
      <c r="T377" s="5">
        <v>1.21153125E-5</v>
      </c>
      <c r="U377" s="5">
        <v>1.21153125E-5</v>
      </c>
      <c r="V377" s="5">
        <v>0</v>
      </c>
      <c r="W377" s="5">
        <v>0</v>
      </c>
      <c r="X377" s="5">
        <v>2.5371874999999999</v>
      </c>
      <c r="Y377" s="5">
        <v>4711.5625</v>
      </c>
      <c r="Z377" s="5">
        <f t="shared" ref="Z377:AA377" si="182">Z376+0.0002</f>
        <v>8.0000000000000004E-4</v>
      </c>
      <c r="AA377" s="5">
        <f t="shared" si="182"/>
        <v>1E-3</v>
      </c>
      <c r="AB377" s="4">
        <v>2</v>
      </c>
    </row>
    <row r="378" spans="1:28" x14ac:dyDescent="0.25">
      <c r="B378" t="s">
        <v>14</v>
      </c>
      <c r="C378" s="11">
        <v>12</v>
      </c>
      <c r="D378" s="5">
        <v>93490098243.37326</v>
      </c>
      <c r="E378" s="5">
        <v>93490098243.37326</v>
      </c>
      <c r="F378" s="5">
        <v>0.24736844501949176</v>
      </c>
      <c r="G378" s="5">
        <v>0</v>
      </c>
      <c r="H378" s="5">
        <v>35800000000</v>
      </c>
      <c r="I378" s="5">
        <v>41701458333.333336</v>
      </c>
      <c r="J378" s="5">
        <v>41701458333.333336</v>
      </c>
      <c r="K378" s="5">
        <v>-6.5672250688486397E-11</v>
      </c>
      <c r="L378" s="5">
        <v>-6.5672250688486397E-11</v>
      </c>
      <c r="M378" s="5">
        <v>0</v>
      </c>
      <c r="N378" s="5">
        <v>2.0000000000000001E-4</v>
      </c>
      <c r="O378" s="5">
        <v>-1.9708694083694507</v>
      </c>
      <c r="P378" s="5">
        <v>-1.9708694083694507</v>
      </c>
      <c r="Q378" s="5">
        <v>1.2119693788580251E-8</v>
      </c>
      <c r="R378" s="5">
        <v>0</v>
      </c>
      <c r="S378" s="5">
        <v>5.9906249999999677E-6</v>
      </c>
      <c r="T378" s="5">
        <v>1.2771979166666666E-5</v>
      </c>
      <c r="U378" s="5">
        <v>1.2771979166666666E-5</v>
      </c>
      <c r="V378" s="5">
        <v>0</v>
      </c>
      <c r="W378" s="5">
        <v>0</v>
      </c>
      <c r="X378" s="5">
        <v>2.5966319444444448</v>
      </c>
      <c r="Y378" s="5">
        <v>4695.4513888888887</v>
      </c>
      <c r="Z378" s="5">
        <f t="shared" ref="Z378:AA378" si="183">Z377+0.0002</f>
        <v>1E-3</v>
      </c>
      <c r="AA378" s="5">
        <f t="shared" si="183"/>
        <v>1.2000000000000001E-3</v>
      </c>
      <c r="AB378" s="4">
        <v>2</v>
      </c>
    </row>
    <row r="382" spans="1:28" x14ac:dyDescent="0.25">
      <c r="A382" s="15" t="s">
        <v>136</v>
      </c>
      <c r="C382" s="10" t="s">
        <v>27</v>
      </c>
      <c r="D382" s="10" t="s">
        <v>28</v>
      </c>
      <c r="E382" s="10" t="s">
        <v>29</v>
      </c>
      <c r="F382" s="10" t="s">
        <v>30</v>
      </c>
      <c r="G382" s="10" t="s">
        <v>31</v>
      </c>
      <c r="H382" s="10" t="s">
        <v>47</v>
      </c>
      <c r="I382" s="10" t="s">
        <v>32</v>
      </c>
      <c r="J382" s="10" t="s">
        <v>33</v>
      </c>
      <c r="K382" s="10" t="s">
        <v>34</v>
      </c>
      <c r="L382" s="10" t="s">
        <v>35</v>
      </c>
      <c r="M382" s="10" t="s">
        <v>36</v>
      </c>
      <c r="N382" s="10" t="s">
        <v>37</v>
      </c>
      <c r="O382" s="10" t="s">
        <v>38</v>
      </c>
      <c r="P382" s="10" t="s">
        <v>39</v>
      </c>
      <c r="Q382" s="10" t="s">
        <v>40</v>
      </c>
      <c r="R382" s="10" t="s">
        <v>41</v>
      </c>
      <c r="S382" s="10" t="s">
        <v>42</v>
      </c>
      <c r="T382" s="10" t="s">
        <v>102</v>
      </c>
      <c r="U382" s="10" t="s">
        <v>77</v>
      </c>
      <c r="V382" s="10" t="s">
        <v>78</v>
      </c>
      <c r="W382" s="10" t="s">
        <v>79</v>
      </c>
      <c r="X382" s="10" t="s">
        <v>80</v>
      </c>
      <c r="Y382" s="10" t="s">
        <v>43</v>
      </c>
      <c r="Z382" s="10" t="s">
        <v>44</v>
      </c>
      <c r="AA382" s="10" t="s">
        <v>45</v>
      </c>
      <c r="AB382" s="10" t="s">
        <v>46</v>
      </c>
    </row>
    <row r="383" spans="1:28" x14ac:dyDescent="0.25">
      <c r="A383" s="12" t="s">
        <v>139</v>
      </c>
      <c r="B383" t="s">
        <v>183</v>
      </c>
      <c r="C383" s="11">
        <v>1</v>
      </c>
      <c r="D383" s="5">
        <v>152246875238.69238</v>
      </c>
      <c r="E383" s="5">
        <v>152246875238.69238</v>
      </c>
      <c r="F383" s="5">
        <v>0.36215267356611963</v>
      </c>
      <c r="G383" s="5">
        <v>0</v>
      </c>
      <c r="H383" s="5">
        <v>55637500000</v>
      </c>
      <c r="I383" s="5">
        <v>51333958333.333336</v>
      </c>
      <c r="J383" s="5">
        <v>51333958333.333336</v>
      </c>
      <c r="K383" s="5">
        <v>5.2670863785615831E-13</v>
      </c>
      <c r="L383" s="5">
        <v>5.2670863785615831E-13</v>
      </c>
      <c r="M383" s="5">
        <v>0</v>
      </c>
      <c r="N383" s="5">
        <v>2.0000000000000001E-4</v>
      </c>
      <c r="O383" s="5">
        <v>137.04752886002882</v>
      </c>
      <c r="P383" s="5">
        <v>137.04752886002882</v>
      </c>
      <c r="Q383" s="5">
        <v>-5.1501929012344067E-12</v>
      </c>
      <c r="R383" s="5">
        <v>0</v>
      </c>
      <c r="S383" s="5">
        <v>1.5535312499999999E-4</v>
      </c>
      <c r="T383" s="5">
        <v>9.7957291666666677E-6</v>
      </c>
      <c r="U383" s="5">
        <v>9.7957291666666677E-6</v>
      </c>
      <c r="V383" s="5">
        <v>0</v>
      </c>
      <c r="W383" s="5">
        <v>0</v>
      </c>
      <c r="X383" s="5">
        <v>2.453715277777778</v>
      </c>
      <c r="Y383" s="5">
        <v>5208.3680555555557</v>
      </c>
      <c r="Z383" s="5">
        <v>-1.1999999999999999E-3</v>
      </c>
      <c r="AA383" s="5">
        <v>-1E-3</v>
      </c>
      <c r="AB383" s="4">
        <v>2</v>
      </c>
    </row>
    <row r="384" spans="1:28" x14ac:dyDescent="0.25">
      <c r="C384" s="4">
        <v>2</v>
      </c>
      <c r="D384" s="5">
        <v>147200736621.54907</v>
      </c>
      <c r="E384" s="5">
        <v>147200736621.54907</v>
      </c>
      <c r="F384" s="5">
        <v>0.35005876637865369</v>
      </c>
      <c r="G384" s="5">
        <v>0</v>
      </c>
      <c r="H384" s="5">
        <v>53787500000</v>
      </c>
      <c r="I384" s="5">
        <v>49595625000</v>
      </c>
      <c r="J384" s="5">
        <v>49595625000</v>
      </c>
      <c r="K384" s="5">
        <v>7.4848069590085786E-13</v>
      </c>
      <c r="L384" s="5">
        <v>7.4848069590085786E-13</v>
      </c>
      <c r="M384" s="5">
        <v>0</v>
      </c>
      <c r="N384" s="5">
        <v>2.0000000000000001E-4</v>
      </c>
      <c r="O384" s="5">
        <v>132.81737012987011</v>
      </c>
      <c r="P384" s="5">
        <v>132.81737012987011</v>
      </c>
      <c r="Q384" s="5">
        <v>-4.8923958333333361E-11</v>
      </c>
      <c r="R384" s="5">
        <v>0</v>
      </c>
      <c r="S384" s="5">
        <v>1.5052812499999999E-4</v>
      </c>
      <c r="T384" s="5">
        <v>9.4465625000000011E-6</v>
      </c>
      <c r="U384" s="5">
        <v>9.4465625000000011E-6</v>
      </c>
      <c r="V384" s="5">
        <v>0</v>
      </c>
      <c r="W384" s="5">
        <v>0</v>
      </c>
      <c r="X384" s="5">
        <v>2.3684374999999998</v>
      </c>
      <c r="Y384" s="5">
        <v>5030.3125</v>
      </c>
      <c r="Z384" s="5">
        <f t="shared" ref="Z384:AA384" si="184">Z383+0.0002</f>
        <v>-9.999999999999998E-4</v>
      </c>
      <c r="AA384" s="5">
        <f t="shared" si="184"/>
        <v>-8.0000000000000004E-4</v>
      </c>
      <c r="AB384" s="4">
        <v>2</v>
      </c>
    </row>
    <row r="385" spans="1:28" x14ac:dyDescent="0.25">
      <c r="C385" s="4">
        <v>3</v>
      </c>
      <c r="D385" s="5">
        <v>141623494312.96027</v>
      </c>
      <c r="E385" s="5">
        <v>141623494312.96027</v>
      </c>
      <c r="F385" s="5">
        <v>0.33712055934242335</v>
      </c>
      <c r="G385" s="5">
        <v>0</v>
      </c>
      <c r="H385" s="5">
        <v>51770833333.333328</v>
      </c>
      <c r="I385" s="5">
        <v>47848958333.333336</v>
      </c>
      <c r="J385" s="5">
        <v>47848958333.333336</v>
      </c>
      <c r="K385" s="5">
        <v>-1.3860753627793611E-13</v>
      </c>
      <c r="L385" s="5">
        <v>-1.3860753627793611E-13</v>
      </c>
      <c r="M385" s="5">
        <v>0</v>
      </c>
      <c r="N385" s="5">
        <v>2.0000000000000001E-4</v>
      </c>
      <c r="O385" s="5">
        <v>126.66441197691194</v>
      </c>
      <c r="P385" s="5">
        <v>126.66441197691194</v>
      </c>
      <c r="Q385" s="5">
        <v>1.1067110339506163E-10</v>
      </c>
      <c r="R385" s="5">
        <v>0</v>
      </c>
      <c r="S385" s="5">
        <v>1.4366145833333331E-4</v>
      </c>
      <c r="T385" s="5">
        <v>9.1765625000000003E-6</v>
      </c>
      <c r="U385" s="5">
        <v>9.1765625000000003E-6</v>
      </c>
      <c r="V385" s="5">
        <v>0</v>
      </c>
      <c r="W385" s="5">
        <v>0</v>
      </c>
      <c r="X385" s="5">
        <v>2.2928819444444448</v>
      </c>
      <c r="Y385" s="5">
        <v>4859.2013888888887</v>
      </c>
      <c r="Z385" s="5">
        <f t="shared" ref="Z385:AA385" si="185">Z384+0.0002</f>
        <v>-7.9999999999999982E-4</v>
      </c>
      <c r="AA385" s="5">
        <f t="shared" si="185"/>
        <v>-6.0000000000000006E-4</v>
      </c>
      <c r="AB385" s="4">
        <v>2</v>
      </c>
    </row>
    <row r="386" spans="1:28" x14ac:dyDescent="0.25">
      <c r="C386" s="4">
        <v>4</v>
      </c>
      <c r="D386" s="5">
        <v>135515148312.92587</v>
      </c>
      <c r="E386" s="5">
        <v>135515148312.92587</v>
      </c>
      <c r="F386" s="5">
        <v>0.32333805245742869</v>
      </c>
      <c r="G386" s="5">
        <v>0</v>
      </c>
      <c r="H386" s="5">
        <v>49587500000</v>
      </c>
      <c r="I386" s="5">
        <v>46093958333.333336</v>
      </c>
      <c r="J386" s="5">
        <v>46093958333.333336</v>
      </c>
      <c r="K386" s="5">
        <v>-2.1345560586802224E-12</v>
      </c>
      <c r="L386" s="5">
        <v>-2.1345560586802224E-12</v>
      </c>
      <c r="M386" s="5">
        <v>0</v>
      </c>
      <c r="N386" s="5">
        <v>2.0000000000000001E-4</v>
      </c>
      <c r="O386" s="5">
        <v>118.58865440115437</v>
      </c>
      <c r="P386" s="5">
        <v>118.58865440115437</v>
      </c>
      <c r="Q386" s="5">
        <v>4.7363499228395046E-10</v>
      </c>
      <c r="R386" s="5">
        <v>0</v>
      </c>
      <c r="S386" s="5">
        <v>1.34753125E-4</v>
      </c>
      <c r="T386" s="5">
        <v>8.9857291666666669E-6</v>
      </c>
      <c r="U386" s="5">
        <v>8.9857291666666669E-6</v>
      </c>
      <c r="V386" s="5">
        <v>0</v>
      </c>
      <c r="W386" s="5">
        <v>0</v>
      </c>
      <c r="X386" s="5">
        <v>2.227048611111111</v>
      </c>
      <c r="Y386" s="5">
        <v>4695.0347222222226</v>
      </c>
      <c r="Z386" s="5">
        <f t="shared" ref="Z386:AA386" si="186">Z385+0.0002</f>
        <v>-5.9999999999999984E-4</v>
      </c>
      <c r="AA386" s="5">
        <f t="shared" si="186"/>
        <v>-4.0000000000000007E-4</v>
      </c>
      <c r="AB386" s="4">
        <v>2</v>
      </c>
    </row>
    <row r="387" spans="1:28" x14ac:dyDescent="0.25">
      <c r="C387" s="4">
        <v>5</v>
      </c>
      <c r="D387" s="5">
        <v>128875698621.44595</v>
      </c>
      <c r="E387" s="5">
        <v>128875698621.44595</v>
      </c>
      <c r="F387" s="5">
        <v>0.30871124572366981</v>
      </c>
      <c r="G387" s="5">
        <v>0</v>
      </c>
      <c r="H387" s="5">
        <v>47237500000</v>
      </c>
      <c r="I387" s="5">
        <v>44330625000</v>
      </c>
      <c r="J387" s="5">
        <v>44330625000</v>
      </c>
      <c r="K387" s="5">
        <v>-5.239364871306004E-12</v>
      </c>
      <c r="L387" s="5">
        <v>-5.239364871306004E-12</v>
      </c>
      <c r="M387" s="5">
        <v>0</v>
      </c>
      <c r="N387" s="5">
        <v>2.0000000000000001E-4</v>
      </c>
      <c r="O387" s="5">
        <v>108.59009740259738</v>
      </c>
      <c r="P387" s="5">
        <v>108.59009740259738</v>
      </c>
      <c r="Q387" s="5">
        <v>1.0399677083333332E-9</v>
      </c>
      <c r="R387" s="5">
        <v>0</v>
      </c>
      <c r="S387" s="5">
        <v>1.2380312500000001E-4</v>
      </c>
      <c r="T387" s="5">
        <v>8.8740625000000011E-6</v>
      </c>
      <c r="U387" s="5">
        <v>8.8740625000000011E-6</v>
      </c>
      <c r="V387" s="5">
        <v>0</v>
      </c>
      <c r="W387" s="5">
        <v>0</v>
      </c>
      <c r="X387" s="5">
        <v>2.1709375</v>
      </c>
      <c r="Y387" s="5">
        <v>4537.8125</v>
      </c>
      <c r="Z387" s="5">
        <f t="shared" ref="Z387:AA387" si="187">Z386+0.0002</f>
        <v>-3.9999999999999986E-4</v>
      </c>
      <c r="AA387" s="5">
        <f t="shared" si="187"/>
        <v>-2.0000000000000006E-4</v>
      </c>
      <c r="AB387" s="4">
        <v>2</v>
      </c>
    </row>
    <row r="388" spans="1:28" x14ac:dyDescent="0.25">
      <c r="C388" s="4">
        <v>6</v>
      </c>
      <c r="D388" s="5">
        <v>121705145238.52049</v>
      </c>
      <c r="E388" s="5">
        <v>121705145238.52049</v>
      </c>
      <c r="F388" s="5">
        <v>0.29324013914114661</v>
      </c>
      <c r="G388" s="5">
        <v>0</v>
      </c>
      <c r="H388" s="5">
        <v>44720833333.333328</v>
      </c>
      <c r="I388" s="5">
        <v>42558958333.333336</v>
      </c>
      <c r="J388" s="5">
        <v>42558958333.333336</v>
      </c>
      <c r="K388" s="5">
        <v>-9.4530339741552754E-12</v>
      </c>
      <c r="L388" s="5">
        <v>-9.4530339741552754E-12</v>
      </c>
      <c r="M388" s="5">
        <v>0</v>
      </c>
      <c r="N388" s="5">
        <v>2.0000000000000001E-4</v>
      </c>
      <c r="O388" s="5">
        <v>96.668740981240958</v>
      </c>
      <c r="P388" s="5">
        <v>96.668740981240958</v>
      </c>
      <c r="Q388" s="5">
        <v>1.8096692515432096E-9</v>
      </c>
      <c r="R388" s="5">
        <v>0</v>
      </c>
      <c r="S388" s="5">
        <v>1.1081145833333333E-4</v>
      </c>
      <c r="T388" s="5">
        <v>8.8415624999999993E-6</v>
      </c>
      <c r="U388" s="5">
        <v>8.8415624999999993E-6</v>
      </c>
      <c r="V388" s="5">
        <v>0</v>
      </c>
      <c r="W388" s="5">
        <v>0</v>
      </c>
      <c r="X388" s="5">
        <v>2.1245486111111114</v>
      </c>
      <c r="Y388" s="5">
        <v>4387.5347222222226</v>
      </c>
      <c r="Z388" s="5">
        <f t="shared" ref="Z388:AA388" si="188">Z387+0.0002</f>
        <v>-1.9999999999999985E-4</v>
      </c>
      <c r="AA388" s="5">
        <f t="shared" si="188"/>
        <v>0</v>
      </c>
      <c r="AB388" s="4">
        <v>2</v>
      </c>
    </row>
    <row r="389" spans="1:28" x14ac:dyDescent="0.25">
      <c r="C389" s="4">
        <v>7</v>
      </c>
      <c r="D389" s="5">
        <v>114003488164.14948</v>
      </c>
      <c r="E389" s="5">
        <v>114003488164.14948</v>
      </c>
      <c r="F389" s="5">
        <v>0.27692473270985907</v>
      </c>
      <c r="G389" s="5">
        <v>0</v>
      </c>
      <c r="H389" s="5">
        <v>42037500000</v>
      </c>
      <c r="I389" s="5">
        <v>40778958333.333336</v>
      </c>
      <c r="J389" s="5">
        <v>40778958333.333336</v>
      </c>
      <c r="K389" s="5">
        <v>-1.4775563367228039E-11</v>
      </c>
      <c r="L389" s="5">
        <v>-1.4775563367228039E-11</v>
      </c>
      <c r="M389" s="5">
        <v>0</v>
      </c>
      <c r="N389" s="5">
        <v>2.0000000000000001E-4</v>
      </c>
      <c r="O389" s="5">
        <v>82.824585137085123</v>
      </c>
      <c r="P389" s="5">
        <v>82.824585137085123</v>
      </c>
      <c r="Q389" s="5">
        <v>2.7827396219135804E-9</v>
      </c>
      <c r="R389" s="5">
        <v>0</v>
      </c>
      <c r="S389" s="5">
        <v>9.5778124999999992E-5</v>
      </c>
      <c r="T389" s="5">
        <v>8.8882291666666649E-6</v>
      </c>
      <c r="U389" s="5">
        <v>8.8882291666666649E-6</v>
      </c>
      <c r="V389" s="5">
        <v>0</v>
      </c>
      <c r="W389" s="5">
        <v>0</v>
      </c>
      <c r="X389" s="5">
        <v>2.0878819444444443</v>
      </c>
      <c r="Y389" s="5">
        <v>4244.2013888888887</v>
      </c>
      <c r="Z389" s="5">
        <f t="shared" ref="Z389:AA389" si="189">Z388+0.0002</f>
        <v>0</v>
      </c>
      <c r="AA389" s="5">
        <f t="shared" si="189"/>
        <v>2.0000000000000001E-4</v>
      </c>
      <c r="AB389" s="4">
        <v>2</v>
      </c>
    </row>
    <row r="390" spans="1:28" x14ac:dyDescent="0.25">
      <c r="C390" s="4">
        <v>8</v>
      </c>
      <c r="D390" s="5">
        <v>105770727398.33292</v>
      </c>
      <c r="E390" s="5">
        <v>105770727398.33292</v>
      </c>
      <c r="F390" s="5">
        <v>0.25976502642980726</v>
      </c>
      <c r="G390" s="5">
        <v>0</v>
      </c>
      <c r="H390" s="5">
        <v>39187500000</v>
      </c>
      <c r="I390" s="5">
        <v>38990625000</v>
      </c>
      <c r="J390" s="5">
        <v>38990625000</v>
      </c>
      <c r="K390" s="5">
        <v>-2.1206953050524304E-11</v>
      </c>
      <c r="L390" s="5">
        <v>-2.1206953050524304E-11</v>
      </c>
      <c r="M390" s="5">
        <v>0</v>
      </c>
      <c r="N390" s="5">
        <v>2.0000000000000001E-4</v>
      </c>
      <c r="O390" s="5">
        <v>67.057629870129858</v>
      </c>
      <c r="P390" s="5">
        <v>67.057629870129858</v>
      </c>
      <c r="Q390" s="5">
        <v>3.9591788194444453E-9</v>
      </c>
      <c r="R390" s="5">
        <v>0</v>
      </c>
      <c r="S390" s="5">
        <v>7.8703124999999997E-5</v>
      </c>
      <c r="T390" s="5">
        <v>9.0140624999999997E-6</v>
      </c>
      <c r="U390" s="5">
        <v>9.0140624999999997E-6</v>
      </c>
      <c r="V390" s="5">
        <v>0</v>
      </c>
      <c r="W390" s="5">
        <v>0</v>
      </c>
      <c r="X390" s="5">
        <v>2.0609374999999996</v>
      </c>
      <c r="Y390" s="5">
        <v>4107.8125</v>
      </c>
      <c r="Z390" s="5">
        <f t="shared" ref="Z390:AA390" si="190">Z389+0.0002</f>
        <v>2.0000000000000001E-4</v>
      </c>
      <c r="AA390" s="5">
        <f t="shared" si="190"/>
        <v>4.0000000000000002E-4</v>
      </c>
      <c r="AB390" s="4">
        <v>2</v>
      </c>
    </row>
    <row r="391" spans="1:28" x14ac:dyDescent="0.25">
      <c r="C391" s="4">
        <v>9</v>
      </c>
      <c r="D391" s="5">
        <v>97006862941.070816</v>
      </c>
      <c r="E391" s="5">
        <v>97006862941.070816</v>
      </c>
      <c r="F391" s="5">
        <v>0.24176102030099111</v>
      </c>
      <c r="G391" s="5">
        <v>0</v>
      </c>
      <c r="H391" s="5">
        <v>36170833333.333328</v>
      </c>
      <c r="I391" s="5">
        <v>37193958333.333336</v>
      </c>
      <c r="J391" s="5">
        <v>37193958333.333336</v>
      </c>
      <c r="K391" s="5">
        <v>-2.8747203024044058E-11</v>
      </c>
      <c r="L391" s="5">
        <v>-2.8747203024044058E-11</v>
      </c>
      <c r="M391" s="5">
        <v>0</v>
      </c>
      <c r="N391" s="5">
        <v>2.0000000000000001E-4</v>
      </c>
      <c r="O391" s="5">
        <v>49.367875180375165</v>
      </c>
      <c r="P391" s="5">
        <v>49.367875180375165</v>
      </c>
      <c r="Q391" s="5">
        <v>5.3389868441358046E-9</v>
      </c>
      <c r="R391" s="5">
        <v>0</v>
      </c>
      <c r="S391" s="5">
        <v>5.9586458333333331E-5</v>
      </c>
      <c r="T391" s="5">
        <v>9.2190624999999986E-6</v>
      </c>
      <c r="U391" s="5">
        <v>9.2190624999999986E-6</v>
      </c>
      <c r="V391" s="5">
        <v>0</v>
      </c>
      <c r="W391" s="5">
        <v>0</v>
      </c>
      <c r="X391" s="5">
        <v>2.0437152777777778</v>
      </c>
      <c r="Y391" s="5">
        <v>3978.3680555555557</v>
      </c>
      <c r="Z391" s="5">
        <f t="shared" ref="Z391:AA391" si="191">Z390+0.0002</f>
        <v>4.0000000000000002E-4</v>
      </c>
      <c r="AA391" s="5">
        <f t="shared" si="191"/>
        <v>6.0000000000000006E-4</v>
      </c>
      <c r="AB391" s="4">
        <v>2</v>
      </c>
    </row>
    <row r="392" spans="1:28" x14ac:dyDescent="0.25">
      <c r="C392" s="4">
        <v>10</v>
      </c>
      <c r="D392" s="5">
        <v>87711894792.363159</v>
      </c>
      <c r="E392" s="5">
        <v>87711894792.363159</v>
      </c>
      <c r="F392" s="5">
        <v>0.22291271432341067</v>
      </c>
      <c r="G392" s="5">
        <v>0</v>
      </c>
      <c r="H392" s="5">
        <v>32987499999.999996</v>
      </c>
      <c r="I392" s="5">
        <v>35388958333.333336</v>
      </c>
      <c r="J392" s="5">
        <v>35388958333.333336</v>
      </c>
      <c r="K392" s="5">
        <v>-3.7396313287787314E-11</v>
      </c>
      <c r="L392" s="5">
        <v>-3.7396313287787314E-11</v>
      </c>
      <c r="M392" s="5">
        <v>0</v>
      </c>
      <c r="N392" s="5">
        <v>2.0000000000000001E-4</v>
      </c>
      <c r="O392" s="5">
        <v>29.755321067821036</v>
      </c>
      <c r="P392" s="5">
        <v>29.755321067821036</v>
      </c>
      <c r="Q392" s="5">
        <v>6.9221636959876578E-9</v>
      </c>
      <c r="R392" s="5">
        <v>0</v>
      </c>
      <c r="S392" s="5">
        <v>3.8428124999999967E-5</v>
      </c>
      <c r="T392" s="5">
        <v>9.503229166666665E-6</v>
      </c>
      <c r="U392" s="5">
        <v>9.503229166666665E-6</v>
      </c>
      <c r="V392" s="5">
        <v>0</v>
      </c>
      <c r="W392" s="5">
        <v>0</v>
      </c>
      <c r="X392" s="5">
        <v>2.0362152777777776</v>
      </c>
      <c r="Y392" s="5">
        <v>3855.8680555555557</v>
      </c>
      <c r="Z392" s="5">
        <f t="shared" ref="Z392:AA392" si="192">Z391+0.0002</f>
        <v>6.0000000000000006E-4</v>
      </c>
      <c r="AA392" s="5">
        <f t="shared" si="192"/>
        <v>8.0000000000000004E-4</v>
      </c>
      <c r="AB392" s="4">
        <v>2</v>
      </c>
    </row>
    <row r="393" spans="1:28" x14ac:dyDescent="0.25">
      <c r="C393" s="4">
        <v>11</v>
      </c>
      <c r="D393" s="5">
        <v>77885822952.209991</v>
      </c>
      <c r="E393" s="5">
        <v>77885822952.209991</v>
      </c>
      <c r="F393" s="5">
        <v>0.20322010849706601</v>
      </c>
      <c r="G393" s="5">
        <v>0</v>
      </c>
      <c r="H393" s="5">
        <v>29637500000</v>
      </c>
      <c r="I393" s="5">
        <v>33575625000</v>
      </c>
      <c r="J393" s="5">
        <v>33575625000</v>
      </c>
      <c r="K393" s="5">
        <v>-4.715428384175404E-11</v>
      </c>
      <c r="L393" s="5">
        <v>-4.715428384175404E-11</v>
      </c>
      <c r="M393" s="5">
        <v>0</v>
      </c>
      <c r="N393" s="5">
        <v>2.0000000000000001E-4</v>
      </c>
      <c r="O393" s="5">
        <v>8.2199675324675283</v>
      </c>
      <c r="P393" s="5">
        <v>8.2199675324675283</v>
      </c>
      <c r="Q393" s="5">
        <v>8.7087093750000017E-9</v>
      </c>
      <c r="R393" s="5">
        <v>0</v>
      </c>
      <c r="S393" s="5">
        <v>1.5228125000000006E-5</v>
      </c>
      <c r="T393" s="5">
        <v>9.8665624999999988E-6</v>
      </c>
      <c r="U393" s="5">
        <v>9.8665624999999988E-6</v>
      </c>
      <c r="V393" s="5">
        <v>0</v>
      </c>
      <c r="W393" s="5">
        <v>0</v>
      </c>
      <c r="X393" s="5">
        <v>2.0384375000000001</v>
      </c>
      <c r="Y393" s="5">
        <v>3740.3125</v>
      </c>
      <c r="Z393" s="5">
        <f t="shared" ref="Z393:AA393" si="193">Z392+0.0002</f>
        <v>8.0000000000000004E-4</v>
      </c>
      <c r="AA393" s="5">
        <f t="shared" si="193"/>
        <v>1E-3</v>
      </c>
      <c r="AB393" s="4">
        <v>2</v>
      </c>
    </row>
    <row r="394" spans="1:28" x14ac:dyDescent="0.25">
      <c r="B394" t="s">
        <v>187</v>
      </c>
      <c r="C394" s="11">
        <v>12</v>
      </c>
      <c r="D394" s="5">
        <v>67528647420.611221</v>
      </c>
      <c r="E394" s="5">
        <v>67528647420.611221</v>
      </c>
      <c r="F394" s="5">
        <v>0.18268320282195694</v>
      </c>
      <c r="G394" s="5">
        <v>0</v>
      </c>
      <c r="H394" s="5">
        <v>26120833333.333328</v>
      </c>
      <c r="I394" s="5">
        <v>31753958333.333332</v>
      </c>
      <c r="J394" s="5">
        <v>31753958333.333332</v>
      </c>
      <c r="K394" s="5">
        <v>-5.8021114685944286E-11</v>
      </c>
      <c r="L394" s="5">
        <v>-5.8021114685944286E-11</v>
      </c>
      <c r="M394" s="5">
        <v>0</v>
      </c>
      <c r="N394" s="5">
        <v>2.0000000000000001E-4</v>
      </c>
      <c r="O394" s="5">
        <v>-15.238185425685469</v>
      </c>
      <c r="P394" s="5">
        <v>-15.238185425685469</v>
      </c>
      <c r="Q394" s="5">
        <v>1.0698623881172843E-8</v>
      </c>
      <c r="R394" s="5">
        <v>0</v>
      </c>
      <c r="S394" s="5">
        <v>-1.0013541666666701E-5</v>
      </c>
      <c r="T394" s="5">
        <v>1.0309062499999998E-5</v>
      </c>
      <c r="U394" s="5">
        <v>1.0309062499999998E-5</v>
      </c>
      <c r="V394" s="5">
        <v>0</v>
      </c>
      <c r="W394" s="5">
        <v>0</v>
      </c>
      <c r="X394" s="5">
        <v>2.0503819444444447</v>
      </c>
      <c r="Y394" s="5">
        <v>3631.7013888888882</v>
      </c>
      <c r="Z394" s="5">
        <f t="shared" ref="Z394:AA394" si="194">Z393+0.0002</f>
        <v>1E-3</v>
      </c>
      <c r="AA394" s="5">
        <f t="shared" si="194"/>
        <v>1.2000000000000001E-3</v>
      </c>
      <c r="AB394" s="4">
        <v>2</v>
      </c>
    </row>
    <row r="398" spans="1:28" x14ac:dyDescent="0.25">
      <c r="A398" s="15" t="s">
        <v>252</v>
      </c>
      <c r="C398" s="10" t="s">
        <v>27</v>
      </c>
      <c r="D398" s="10" t="s">
        <v>28</v>
      </c>
      <c r="E398" s="10" t="s">
        <v>29</v>
      </c>
      <c r="F398" s="10" t="s">
        <v>30</v>
      </c>
      <c r="G398" s="10" t="s">
        <v>31</v>
      </c>
      <c r="H398" s="10" t="s">
        <v>47</v>
      </c>
      <c r="I398" s="10" t="s">
        <v>32</v>
      </c>
      <c r="J398" s="10" t="s">
        <v>33</v>
      </c>
      <c r="K398" s="10" t="s">
        <v>34</v>
      </c>
      <c r="L398" s="10" t="s">
        <v>35</v>
      </c>
      <c r="M398" s="10" t="s">
        <v>36</v>
      </c>
      <c r="N398" s="10" t="s">
        <v>37</v>
      </c>
      <c r="O398" s="10" t="s">
        <v>38</v>
      </c>
      <c r="P398" s="10" t="s">
        <v>39</v>
      </c>
      <c r="Q398" s="10" t="s">
        <v>40</v>
      </c>
      <c r="R398" s="10" t="s">
        <v>41</v>
      </c>
      <c r="S398" s="10" t="s">
        <v>42</v>
      </c>
      <c r="T398" s="10" t="s">
        <v>102</v>
      </c>
      <c r="U398" s="10" t="s">
        <v>77</v>
      </c>
      <c r="V398" s="10" t="s">
        <v>78</v>
      </c>
      <c r="W398" s="10" t="s">
        <v>79</v>
      </c>
      <c r="X398" s="10" t="s">
        <v>80</v>
      </c>
      <c r="Y398" s="10" t="s">
        <v>43</v>
      </c>
      <c r="Z398" s="10" t="s">
        <v>44</v>
      </c>
      <c r="AA398" s="10" t="s">
        <v>45</v>
      </c>
      <c r="AB398" s="10" t="s">
        <v>46</v>
      </c>
    </row>
    <row r="399" spans="1:28" x14ac:dyDescent="0.25">
      <c r="A399" s="12" t="s">
        <v>139</v>
      </c>
      <c r="B399" t="s">
        <v>183</v>
      </c>
      <c r="C399" s="11">
        <v>1</v>
      </c>
      <c r="D399" s="5">
        <v>151118116507.26794</v>
      </c>
      <c r="E399" s="5">
        <v>151118116507.26794</v>
      </c>
      <c r="F399" s="5">
        <v>0.35934027173144423</v>
      </c>
      <c r="G399" s="5">
        <v>0</v>
      </c>
      <c r="H399" s="5">
        <v>55216666666.666664</v>
      </c>
      <c r="I399" s="5">
        <v>50901458333.333336</v>
      </c>
      <c r="J399" s="5">
        <v>50901458333.333336</v>
      </c>
      <c r="K399" s="5">
        <v>8.5936672492320552E-13</v>
      </c>
      <c r="L399" s="5">
        <v>8.5936672492320552E-13</v>
      </c>
      <c r="M399" s="5">
        <v>0</v>
      </c>
      <c r="N399" s="5">
        <v>2.0000000000000001E-4</v>
      </c>
      <c r="O399" s="5">
        <v>136.47068903318899</v>
      </c>
      <c r="P399" s="5">
        <v>136.47068903318899</v>
      </c>
      <c r="Q399" s="5">
        <v>-6.6935841049382398E-11</v>
      </c>
      <c r="R399" s="5">
        <v>0</v>
      </c>
      <c r="S399" s="5">
        <v>1.5465729166666667E-4</v>
      </c>
      <c r="T399" s="5">
        <v>9.688645833333335E-6</v>
      </c>
      <c r="U399" s="5">
        <v>9.688645833333335E-6</v>
      </c>
      <c r="V399" s="5">
        <v>0</v>
      </c>
      <c r="W399" s="5">
        <v>0</v>
      </c>
      <c r="X399" s="5">
        <v>2.4299652777777778</v>
      </c>
      <c r="Y399" s="5">
        <v>5162.1180555555557</v>
      </c>
      <c r="Z399" s="5">
        <v>-1.1999999999999999E-3</v>
      </c>
      <c r="AA399" s="5">
        <v>-1E-3</v>
      </c>
      <c r="AB399" s="4">
        <v>2</v>
      </c>
    </row>
    <row r="400" spans="1:28" x14ac:dyDescent="0.25">
      <c r="C400" s="4">
        <v>2</v>
      </c>
      <c r="D400" s="5">
        <v>143814460427.27579</v>
      </c>
      <c r="E400" s="5">
        <v>143814460427.27579</v>
      </c>
      <c r="F400" s="5">
        <v>0.34162156087462736</v>
      </c>
      <c r="G400" s="5">
        <v>0</v>
      </c>
      <c r="H400" s="5">
        <v>52525000000</v>
      </c>
      <c r="I400" s="5">
        <v>48298125000</v>
      </c>
      <c r="J400" s="5">
        <v>48298125000</v>
      </c>
      <c r="K400" s="5">
        <v>1.7464549571020014E-12</v>
      </c>
      <c r="L400" s="5">
        <v>1.7464549571020014E-12</v>
      </c>
      <c r="M400" s="5">
        <v>0</v>
      </c>
      <c r="N400" s="5">
        <v>2.0000000000000001E-4</v>
      </c>
      <c r="O400" s="5">
        <v>131.08685064935062</v>
      </c>
      <c r="P400" s="5">
        <v>131.08685064935062</v>
      </c>
      <c r="Q400" s="5">
        <v>-2.3428090277777778E-10</v>
      </c>
      <c r="R400" s="5">
        <v>0</v>
      </c>
      <c r="S400" s="5">
        <v>1.48440625E-4</v>
      </c>
      <c r="T400" s="5">
        <v>9.1253124999999997E-6</v>
      </c>
      <c r="U400" s="5">
        <v>9.1253124999999997E-6</v>
      </c>
      <c r="V400" s="5">
        <v>0</v>
      </c>
      <c r="W400" s="5">
        <v>0</v>
      </c>
      <c r="X400" s="5">
        <v>2.2971874999999997</v>
      </c>
      <c r="Y400" s="5">
        <v>4891.5625</v>
      </c>
      <c r="Z400" s="5">
        <f t="shared" ref="Z400:AA400" si="195">Z399+0.0002</f>
        <v>-9.999999999999998E-4</v>
      </c>
      <c r="AA400" s="5">
        <f t="shared" si="195"/>
        <v>-8.0000000000000004E-4</v>
      </c>
      <c r="AB400" s="4">
        <v>2</v>
      </c>
    </row>
    <row r="401" spans="1:28" x14ac:dyDescent="0.25">
      <c r="C401" s="4">
        <v>3</v>
      </c>
      <c r="D401" s="5">
        <v>135979700655.83807</v>
      </c>
      <c r="E401" s="5">
        <v>135979700655.83807</v>
      </c>
      <c r="F401" s="5">
        <v>0.32305855016904622</v>
      </c>
      <c r="G401" s="5">
        <v>0</v>
      </c>
      <c r="H401" s="5">
        <v>49666666666.666664</v>
      </c>
      <c r="I401" s="5">
        <v>45686458333.333336</v>
      </c>
      <c r="J401" s="5">
        <v>45686458333.333336</v>
      </c>
      <c r="K401" s="5">
        <v>1.5246828990573029E-12</v>
      </c>
      <c r="L401" s="5">
        <v>1.5246828990573029E-12</v>
      </c>
      <c r="M401" s="5">
        <v>0</v>
      </c>
      <c r="N401" s="5">
        <v>2.0000000000000001E-4</v>
      </c>
      <c r="O401" s="5">
        <v>123.78021284271281</v>
      </c>
      <c r="P401" s="5">
        <v>123.78021284271281</v>
      </c>
      <c r="Q401" s="5">
        <v>-1.9825713734567903E-10</v>
      </c>
      <c r="R401" s="5">
        <v>0</v>
      </c>
      <c r="S401" s="5">
        <v>1.4018229166666666E-4</v>
      </c>
      <c r="T401" s="5">
        <v>8.6411458333333336E-6</v>
      </c>
      <c r="U401" s="5">
        <v>8.6411458333333336E-6</v>
      </c>
      <c r="V401" s="5">
        <v>0</v>
      </c>
      <c r="W401" s="5">
        <v>0</v>
      </c>
      <c r="X401" s="5">
        <v>2.1741319444444445</v>
      </c>
      <c r="Y401" s="5">
        <v>4627.9513888888887</v>
      </c>
      <c r="Z401" s="5">
        <f t="shared" ref="Z401:AA401" si="196">Z400+0.0002</f>
        <v>-7.9999999999999982E-4</v>
      </c>
      <c r="AA401" s="5">
        <f t="shared" si="196"/>
        <v>-6.0000000000000006E-4</v>
      </c>
      <c r="AB401" s="4">
        <v>2</v>
      </c>
    </row>
    <row r="402" spans="1:28" x14ac:dyDescent="0.25">
      <c r="C402" s="4">
        <v>4</v>
      </c>
      <c r="D402" s="5">
        <v>127613837192.95483</v>
      </c>
      <c r="E402" s="5">
        <v>127613837192.95483</v>
      </c>
      <c r="F402" s="5">
        <v>0.30365123961470075</v>
      </c>
      <c r="G402" s="5">
        <v>0</v>
      </c>
      <c r="H402" s="5">
        <v>46641666666.666664</v>
      </c>
      <c r="I402" s="5">
        <v>43066458333.333336</v>
      </c>
      <c r="J402" s="5">
        <v>43066458333.333336</v>
      </c>
      <c r="K402" s="5">
        <v>1.9405055078911201E-13</v>
      </c>
      <c r="L402" s="5">
        <v>1.9405055078911201E-13</v>
      </c>
      <c r="M402" s="5">
        <v>0</v>
      </c>
      <c r="N402" s="5">
        <v>2.0000000000000001E-4</v>
      </c>
      <c r="O402" s="5">
        <v>114.55077561327559</v>
      </c>
      <c r="P402" s="5">
        <v>114.55077561327559</v>
      </c>
      <c r="Q402" s="5">
        <v>4.1135455246913665E-11</v>
      </c>
      <c r="R402" s="5">
        <v>0</v>
      </c>
      <c r="S402" s="5">
        <v>1.2988229166666665E-4</v>
      </c>
      <c r="T402" s="5">
        <v>8.2361458333333349E-6</v>
      </c>
      <c r="U402" s="5">
        <v>8.2361458333333349E-6</v>
      </c>
      <c r="V402" s="5">
        <v>0</v>
      </c>
      <c r="W402" s="5">
        <v>0</v>
      </c>
      <c r="X402" s="5">
        <v>2.0607986111111112</v>
      </c>
      <c r="Y402" s="5">
        <v>4371.2847222222226</v>
      </c>
      <c r="Z402" s="5">
        <f t="shared" ref="Z402:AA402" si="197">Z401+0.0002</f>
        <v>-5.9999999999999984E-4</v>
      </c>
      <c r="AA402" s="5">
        <f t="shared" si="197"/>
        <v>-4.0000000000000007E-4</v>
      </c>
      <c r="AB402" s="4">
        <v>2</v>
      </c>
    </row>
    <row r="403" spans="1:28" x14ac:dyDescent="0.25">
      <c r="C403" s="4">
        <v>5</v>
      </c>
      <c r="D403" s="5">
        <v>118716870038.62604</v>
      </c>
      <c r="E403" s="5">
        <v>118716870038.62604</v>
      </c>
      <c r="F403" s="5">
        <v>0.28339962921159095</v>
      </c>
      <c r="G403" s="5">
        <v>0</v>
      </c>
      <c r="H403" s="5">
        <v>43450000000</v>
      </c>
      <c r="I403" s="5">
        <v>40438125000</v>
      </c>
      <c r="J403" s="5">
        <v>40438125000</v>
      </c>
      <c r="K403" s="5">
        <v>-2.2454420877025734E-12</v>
      </c>
      <c r="L403" s="5">
        <v>-2.2454420877025734E-12</v>
      </c>
      <c r="M403" s="5">
        <v>0</v>
      </c>
      <c r="N403" s="5">
        <v>2.0000000000000001E-4</v>
      </c>
      <c r="O403" s="5">
        <v>103.39853896103894</v>
      </c>
      <c r="P403" s="5">
        <v>103.39853896103894</v>
      </c>
      <c r="Q403" s="5">
        <v>4.838968750000002E-10</v>
      </c>
      <c r="R403" s="5">
        <v>0</v>
      </c>
      <c r="S403" s="5">
        <v>1.17540625E-4</v>
      </c>
      <c r="T403" s="5">
        <v>7.9103125000000003E-6</v>
      </c>
      <c r="U403" s="5">
        <v>7.9103125000000003E-6</v>
      </c>
      <c r="V403" s="5">
        <v>0</v>
      </c>
      <c r="W403" s="5">
        <v>0</v>
      </c>
      <c r="X403" s="5">
        <v>1.9571875000000003</v>
      </c>
      <c r="Y403" s="5">
        <v>4121.5625</v>
      </c>
      <c r="Z403" s="5">
        <f t="shared" ref="Z403:AA403" si="198">Z402+0.0002</f>
        <v>-3.9999999999999986E-4</v>
      </c>
      <c r="AA403" s="5">
        <f t="shared" si="198"/>
        <v>-2.0000000000000006E-4</v>
      </c>
      <c r="AB403" s="4">
        <v>2</v>
      </c>
    </row>
    <row r="404" spans="1:28" x14ac:dyDescent="0.25">
      <c r="C404" s="4">
        <v>6</v>
      </c>
      <c r="D404" s="5">
        <v>109288799192.8517</v>
      </c>
      <c r="E404" s="5">
        <v>109288799192.8517</v>
      </c>
      <c r="F404" s="5">
        <v>0.26230371895971694</v>
      </c>
      <c r="G404" s="5">
        <v>0</v>
      </c>
      <c r="H404" s="5">
        <v>40091666666.666664</v>
      </c>
      <c r="I404" s="5">
        <v>37801458333.333336</v>
      </c>
      <c r="J404" s="5">
        <v>37801458333.333336</v>
      </c>
      <c r="K404" s="5">
        <v>-5.7937950164177485E-12</v>
      </c>
      <c r="L404" s="5">
        <v>-5.7937950164177485E-12</v>
      </c>
      <c r="M404" s="5">
        <v>0</v>
      </c>
      <c r="N404" s="5">
        <v>2.0000000000000001E-4</v>
      </c>
      <c r="O404" s="5">
        <v>90.323502886002871</v>
      </c>
      <c r="P404" s="5">
        <v>90.323502886002871</v>
      </c>
      <c r="Q404" s="5">
        <v>1.1300271219135803E-9</v>
      </c>
      <c r="R404" s="5">
        <v>0</v>
      </c>
      <c r="S404" s="5">
        <v>1.0315729166666666E-4</v>
      </c>
      <c r="T404" s="5">
        <v>7.6636458333333332E-6</v>
      </c>
      <c r="U404" s="5">
        <v>7.6636458333333332E-6</v>
      </c>
      <c r="V404" s="5">
        <v>0</v>
      </c>
      <c r="W404" s="5">
        <v>0</v>
      </c>
      <c r="X404" s="5">
        <v>1.8632986111111114</v>
      </c>
      <c r="Y404" s="5">
        <v>3878.7847222222226</v>
      </c>
      <c r="Z404" s="5">
        <f t="shared" ref="Z404:AA404" si="199">Z403+0.0002</f>
        <v>-1.9999999999999985E-4</v>
      </c>
      <c r="AA404" s="5">
        <f t="shared" si="199"/>
        <v>0</v>
      </c>
      <c r="AB404" s="4">
        <v>2</v>
      </c>
    </row>
    <row r="405" spans="1:28" x14ac:dyDescent="0.25">
      <c r="C405" s="4">
        <v>7</v>
      </c>
      <c r="D405" s="5">
        <v>99329624655.631805</v>
      </c>
      <c r="E405" s="5">
        <v>99329624655.631805</v>
      </c>
      <c r="F405" s="5">
        <v>0.24036350885907859</v>
      </c>
      <c r="G405" s="5">
        <v>0</v>
      </c>
      <c r="H405" s="5">
        <v>36566666666.666664</v>
      </c>
      <c r="I405" s="5">
        <v>35156458333.333336</v>
      </c>
      <c r="J405" s="5">
        <v>35156458333.333336</v>
      </c>
      <c r="K405" s="5">
        <v>-1.0451008235356417E-11</v>
      </c>
      <c r="L405" s="5">
        <v>-1.0451008235356417E-11</v>
      </c>
      <c r="M405" s="5">
        <v>0</v>
      </c>
      <c r="N405" s="5">
        <v>2.0000000000000001E-4</v>
      </c>
      <c r="O405" s="5">
        <v>75.325667388167375</v>
      </c>
      <c r="P405" s="5">
        <v>75.325667388167375</v>
      </c>
      <c r="Q405" s="5">
        <v>1.9795261959876547E-9</v>
      </c>
      <c r="R405" s="5">
        <v>0</v>
      </c>
      <c r="S405" s="5">
        <v>8.6732291666666658E-5</v>
      </c>
      <c r="T405" s="5">
        <v>7.4961458333333327E-6</v>
      </c>
      <c r="U405" s="5">
        <v>7.4961458333333327E-6</v>
      </c>
      <c r="V405" s="5">
        <v>0</v>
      </c>
      <c r="W405" s="5">
        <v>0</v>
      </c>
      <c r="X405" s="5">
        <v>1.7791319444444444</v>
      </c>
      <c r="Y405" s="5">
        <v>3642.9513888888887</v>
      </c>
      <c r="Z405" s="5">
        <f t="shared" ref="Z405:AA405" si="200">Z404+0.0002</f>
        <v>0</v>
      </c>
      <c r="AA405" s="5">
        <f t="shared" si="200"/>
        <v>2.0000000000000001E-4</v>
      </c>
      <c r="AB405" s="4">
        <v>2</v>
      </c>
    </row>
    <row r="406" spans="1:28" x14ac:dyDescent="0.25">
      <c r="C406" s="4">
        <v>8</v>
      </c>
      <c r="D406" s="5">
        <v>88839346426.966385</v>
      </c>
      <c r="E406" s="5">
        <v>88839346426.966385</v>
      </c>
      <c r="F406" s="5">
        <v>0.21757899890967586</v>
      </c>
      <c r="G406" s="5">
        <v>0</v>
      </c>
      <c r="H406" s="5">
        <v>32875000000</v>
      </c>
      <c r="I406" s="5">
        <v>32503125000</v>
      </c>
      <c r="J406" s="5">
        <v>32503125000</v>
      </c>
      <c r="K406" s="5">
        <v>-1.6217081744518588E-11</v>
      </c>
      <c r="L406" s="5">
        <v>-1.6217081744518588E-11</v>
      </c>
      <c r="M406" s="5">
        <v>0</v>
      </c>
      <c r="N406" s="5">
        <v>2.0000000000000001E-4</v>
      </c>
      <c r="O406" s="5">
        <v>58.405032467532457</v>
      </c>
      <c r="P406" s="5">
        <v>58.405032467532457</v>
      </c>
      <c r="Q406" s="5">
        <v>3.032394097222223E-9</v>
      </c>
      <c r="R406" s="5">
        <v>0</v>
      </c>
      <c r="S406" s="5">
        <v>6.8265625000000008E-5</v>
      </c>
      <c r="T406" s="5">
        <v>7.4078124999999996E-6</v>
      </c>
      <c r="U406" s="5">
        <v>7.4078124999999996E-6</v>
      </c>
      <c r="V406" s="5">
        <v>0</v>
      </c>
      <c r="W406" s="5">
        <v>0</v>
      </c>
      <c r="X406" s="5">
        <v>1.7046874999999999</v>
      </c>
      <c r="Y406" s="5">
        <v>3414.0625</v>
      </c>
      <c r="Z406" s="5">
        <f t="shared" ref="Z406:AA406" si="201">Z405+0.0002</f>
        <v>2.0000000000000001E-4</v>
      </c>
      <c r="AA406" s="5">
        <f t="shared" si="201"/>
        <v>4.0000000000000002E-4</v>
      </c>
      <c r="AB406" s="4">
        <v>2</v>
      </c>
    </row>
    <row r="407" spans="1:28" x14ac:dyDescent="0.25">
      <c r="C407" s="4">
        <v>9</v>
      </c>
      <c r="D407" s="5">
        <v>77817964506.855408</v>
      </c>
      <c r="E407" s="5">
        <v>77817964506.855408</v>
      </c>
      <c r="F407" s="5">
        <v>0.19395018911150888</v>
      </c>
      <c r="G407" s="5">
        <v>0</v>
      </c>
      <c r="H407" s="5">
        <v>29016666666.666664</v>
      </c>
      <c r="I407" s="5">
        <v>29841458333.333336</v>
      </c>
      <c r="J407" s="5">
        <v>29841458333.333336</v>
      </c>
      <c r="K407" s="5">
        <v>-2.3092015543904244E-11</v>
      </c>
      <c r="L407" s="5">
        <v>-2.3092015543904244E-11</v>
      </c>
      <c r="M407" s="5">
        <v>0</v>
      </c>
      <c r="N407" s="5">
        <v>2.0000000000000001E-4</v>
      </c>
      <c r="O407" s="5">
        <v>39.561598124098111</v>
      </c>
      <c r="P407" s="5">
        <v>39.561598124098111</v>
      </c>
      <c r="Q407" s="5">
        <v>4.2886308256172858E-9</v>
      </c>
      <c r="R407" s="5">
        <v>0</v>
      </c>
      <c r="S407" s="5">
        <v>4.7757291666666659E-5</v>
      </c>
      <c r="T407" s="5">
        <v>7.3986458333333324E-6</v>
      </c>
      <c r="U407" s="5">
        <v>7.3986458333333324E-6</v>
      </c>
      <c r="V407" s="5">
        <v>0</v>
      </c>
      <c r="W407" s="5">
        <v>0</v>
      </c>
      <c r="X407" s="5">
        <v>1.639965277777778</v>
      </c>
      <c r="Y407" s="5">
        <v>3192.1180555555557</v>
      </c>
      <c r="Z407" s="5">
        <f t="shared" ref="Z407:AA407" si="202">Z406+0.0002</f>
        <v>4.0000000000000002E-4</v>
      </c>
      <c r="AA407" s="5">
        <f t="shared" si="202"/>
        <v>6.0000000000000006E-4</v>
      </c>
      <c r="AB407" s="4">
        <v>2</v>
      </c>
    </row>
    <row r="408" spans="1:28" x14ac:dyDescent="0.25">
      <c r="C408" s="4">
        <v>10</v>
      </c>
      <c r="D408" s="5">
        <v>66265478895.298882</v>
      </c>
      <c r="E408" s="5">
        <v>66265478895.298882</v>
      </c>
      <c r="F408" s="5">
        <v>0.16947707946457757</v>
      </c>
      <c r="G408" s="5">
        <v>0</v>
      </c>
      <c r="H408" s="5">
        <v>24991666666.66666</v>
      </c>
      <c r="I408" s="5">
        <v>27171458333.333332</v>
      </c>
      <c r="J408" s="5">
        <v>27171458333.333332</v>
      </c>
      <c r="K408" s="5">
        <v>-3.1075809633513405E-11</v>
      </c>
      <c r="L408" s="5">
        <v>-3.1075809633513405E-11</v>
      </c>
      <c r="M408" s="5">
        <v>0</v>
      </c>
      <c r="N408" s="5">
        <v>2.0000000000000001E-4</v>
      </c>
      <c r="O408" s="5">
        <v>18.795364357864329</v>
      </c>
      <c r="P408" s="5">
        <v>18.795364357864329</v>
      </c>
      <c r="Q408" s="5">
        <v>5.7482363811728428E-9</v>
      </c>
      <c r="R408" s="5">
        <v>0</v>
      </c>
      <c r="S408" s="5">
        <v>2.5207291666666633E-5</v>
      </c>
      <c r="T408" s="5">
        <v>7.4686458333333317E-6</v>
      </c>
      <c r="U408" s="5">
        <v>7.4686458333333317E-6</v>
      </c>
      <c r="V408" s="5">
        <v>0</v>
      </c>
      <c r="W408" s="5">
        <v>0</v>
      </c>
      <c r="X408" s="5">
        <v>1.5849652777777778</v>
      </c>
      <c r="Y408" s="5">
        <v>2977.1180555555552</v>
      </c>
      <c r="Z408" s="5">
        <f t="shared" ref="Z408:AA408" si="203">Z407+0.0002</f>
        <v>6.0000000000000006E-4</v>
      </c>
      <c r="AA408" s="5">
        <f t="shared" si="203"/>
        <v>8.0000000000000004E-4</v>
      </c>
      <c r="AB408" s="4">
        <v>2</v>
      </c>
    </row>
    <row r="409" spans="1:28" x14ac:dyDescent="0.25">
      <c r="C409" s="4">
        <v>11</v>
      </c>
      <c r="D409" s="5">
        <v>54181889592.296844</v>
      </c>
      <c r="E409" s="5">
        <v>54181889592.296844</v>
      </c>
      <c r="F409" s="5">
        <v>0.14415966996888208</v>
      </c>
      <c r="G409" s="5">
        <v>0</v>
      </c>
      <c r="H409" s="5">
        <v>20800000000</v>
      </c>
      <c r="I409" s="5">
        <v>24493125000</v>
      </c>
      <c r="J409" s="5">
        <v>24493125000</v>
      </c>
      <c r="K409" s="5">
        <v>-4.0168464013346036E-11</v>
      </c>
      <c r="L409" s="5">
        <v>-4.0168464013346036E-11</v>
      </c>
      <c r="M409" s="5">
        <v>0</v>
      </c>
      <c r="N409" s="5">
        <v>2.0000000000000001E-4</v>
      </c>
      <c r="O409" s="5">
        <v>-3.8936688311688243</v>
      </c>
      <c r="P409" s="5">
        <v>-3.8936688311688243</v>
      </c>
      <c r="Q409" s="5">
        <v>7.4112107638888906E-9</v>
      </c>
      <c r="R409" s="5">
        <v>0</v>
      </c>
      <c r="S409" s="5">
        <v>6.1562500000000311E-7</v>
      </c>
      <c r="T409" s="5">
        <v>7.6178124999999985E-6</v>
      </c>
      <c r="U409" s="5">
        <v>7.6178124999999985E-6</v>
      </c>
      <c r="V409" s="5">
        <v>0</v>
      </c>
      <c r="W409" s="5">
        <v>0</v>
      </c>
      <c r="X409" s="5">
        <v>1.5396875000000003</v>
      </c>
      <c r="Y409" s="5">
        <v>2769.0625</v>
      </c>
      <c r="Z409" s="5">
        <f t="shared" ref="Z409:AA409" si="204">Z408+0.0002</f>
        <v>8.0000000000000004E-4</v>
      </c>
      <c r="AA409" s="5">
        <f t="shared" si="204"/>
        <v>1E-3</v>
      </c>
      <c r="AB409" s="4">
        <v>2</v>
      </c>
    </row>
    <row r="410" spans="1:28" x14ac:dyDescent="0.25">
      <c r="B410" t="s">
        <v>187</v>
      </c>
      <c r="C410" s="11">
        <v>12</v>
      </c>
      <c r="D410" s="5">
        <v>41567196597.849197</v>
      </c>
      <c r="E410" s="5">
        <v>41567196597.849197</v>
      </c>
      <c r="F410" s="5">
        <v>0.11799796062442214</v>
      </c>
      <c r="G410" s="5">
        <v>0</v>
      </c>
      <c r="H410" s="5">
        <v>16441666666.66666</v>
      </c>
      <c r="I410" s="5">
        <v>21806458333.333332</v>
      </c>
      <c r="J410" s="5">
        <v>21806458333.333332</v>
      </c>
      <c r="K410" s="5">
        <v>-5.0369978683402188E-11</v>
      </c>
      <c r="L410" s="5">
        <v>-5.0369978683402188E-11</v>
      </c>
      <c r="M410" s="5">
        <v>0</v>
      </c>
      <c r="N410" s="5">
        <v>2.0000000000000001E-4</v>
      </c>
      <c r="O410" s="5">
        <v>-28.505501443001478</v>
      </c>
      <c r="P410" s="5">
        <v>-28.505501443001478</v>
      </c>
      <c r="Q410" s="5">
        <v>9.2775539737654364E-9</v>
      </c>
      <c r="R410" s="5">
        <v>0</v>
      </c>
      <c r="S410" s="5">
        <v>-2.6017708333333372E-5</v>
      </c>
      <c r="T410" s="5">
        <v>7.8461458333333302E-6</v>
      </c>
      <c r="U410" s="5">
        <v>7.8461458333333302E-6</v>
      </c>
      <c r="V410" s="5">
        <v>0</v>
      </c>
      <c r="W410" s="5">
        <v>0</v>
      </c>
      <c r="X410" s="5">
        <v>1.5041319444444448</v>
      </c>
      <c r="Y410" s="5">
        <v>2567.9513888888882</v>
      </c>
      <c r="Z410" s="5">
        <f t="shared" ref="Z410:AA410" si="205">Z409+0.0002</f>
        <v>1E-3</v>
      </c>
      <c r="AA410" s="5">
        <f t="shared" si="205"/>
        <v>1.2000000000000001E-3</v>
      </c>
      <c r="AB410" s="4">
        <v>2</v>
      </c>
    </row>
    <row r="413" spans="1:28" x14ac:dyDescent="0.25">
      <c r="A413" s="15" t="s">
        <v>253</v>
      </c>
      <c r="C413" s="10" t="s">
        <v>27</v>
      </c>
      <c r="D413" s="10" t="s">
        <v>28</v>
      </c>
      <c r="E413" s="10" t="s">
        <v>29</v>
      </c>
      <c r="F413" s="10" t="s">
        <v>30</v>
      </c>
      <c r="G413" s="10" t="s">
        <v>31</v>
      </c>
      <c r="H413" s="10" t="s">
        <v>47</v>
      </c>
      <c r="I413" s="10" t="s">
        <v>32</v>
      </c>
      <c r="J413" s="10" t="s">
        <v>33</v>
      </c>
      <c r="K413" s="10" t="s">
        <v>34</v>
      </c>
      <c r="L413" s="10" t="s">
        <v>35</v>
      </c>
      <c r="M413" s="10" t="s">
        <v>36</v>
      </c>
      <c r="N413" s="10" t="s">
        <v>37</v>
      </c>
      <c r="O413" s="10" t="s">
        <v>38</v>
      </c>
      <c r="P413" s="10" t="s">
        <v>39</v>
      </c>
      <c r="Q413" s="10" t="s">
        <v>40</v>
      </c>
      <c r="R413" s="10" t="s">
        <v>41</v>
      </c>
      <c r="S413" s="10" t="s">
        <v>42</v>
      </c>
      <c r="T413" s="10" t="s">
        <v>102</v>
      </c>
      <c r="U413" s="10" t="s">
        <v>77</v>
      </c>
      <c r="V413" s="10" t="s">
        <v>78</v>
      </c>
      <c r="W413" s="10" t="s">
        <v>79</v>
      </c>
      <c r="X413" s="10" t="s">
        <v>80</v>
      </c>
      <c r="Y413" s="10" t="s">
        <v>43</v>
      </c>
      <c r="Z413" s="10" t="s">
        <v>44</v>
      </c>
      <c r="AA413" s="10" t="s">
        <v>45</v>
      </c>
      <c r="AB413" s="10" t="s">
        <v>46</v>
      </c>
    </row>
    <row r="414" spans="1:28" x14ac:dyDescent="0.25">
      <c r="A414" s="12" t="s">
        <v>181</v>
      </c>
      <c r="B414" t="s">
        <v>183</v>
      </c>
      <c r="C414" s="11">
        <v>1</v>
      </c>
      <c r="D414" s="5">
        <v>149989357775.84354</v>
      </c>
      <c r="E414" s="5">
        <v>149989357775.84354</v>
      </c>
      <c r="F414" s="5">
        <v>0.35652786989676882</v>
      </c>
      <c r="G414" s="5">
        <v>0</v>
      </c>
      <c r="H414" s="5">
        <v>54795833333.333336</v>
      </c>
      <c r="I414" s="5">
        <v>50468958333.333344</v>
      </c>
      <c r="J414" s="5">
        <v>50468958333.333344</v>
      </c>
      <c r="K414" s="5">
        <v>1.1920248119902527E-12</v>
      </c>
      <c r="L414" s="5">
        <v>1.1920248119902527E-12</v>
      </c>
      <c r="M414" s="5">
        <v>0</v>
      </c>
      <c r="N414" s="5">
        <v>2.0000000000000001E-4</v>
      </c>
      <c r="O414" s="5">
        <v>135.89384920634919</v>
      </c>
      <c r="P414" s="5">
        <v>135.89384920634919</v>
      </c>
      <c r="Q414" s="5">
        <v>-1.2872148919753044E-10</v>
      </c>
      <c r="R414" s="5">
        <v>0</v>
      </c>
      <c r="S414" s="5">
        <v>1.5396145833333332E-4</v>
      </c>
      <c r="T414" s="5">
        <v>9.5815625000000023E-6</v>
      </c>
      <c r="U414" s="5">
        <v>9.5815625000000023E-6</v>
      </c>
      <c r="V414" s="5">
        <v>0</v>
      </c>
      <c r="W414" s="5">
        <v>0</v>
      </c>
      <c r="X414" s="5">
        <v>2.4062152777777781</v>
      </c>
      <c r="Y414" s="5">
        <v>5115.8680555555557</v>
      </c>
      <c r="Z414" s="5">
        <v>-1.1999999999999999E-3</v>
      </c>
      <c r="AA414" s="5">
        <v>-1E-3</v>
      </c>
      <c r="AB414" s="4">
        <v>2</v>
      </c>
    </row>
    <row r="415" spans="1:28" x14ac:dyDescent="0.25">
      <c r="C415" s="4">
        <v>2</v>
      </c>
      <c r="D415" s="5">
        <v>140428184233.00247</v>
      </c>
      <c r="E415" s="5">
        <v>140428184233.00247</v>
      </c>
      <c r="F415" s="5">
        <v>0.33318435537060109</v>
      </c>
      <c r="G415" s="5">
        <v>0</v>
      </c>
      <c r="H415" s="5">
        <v>51262500000</v>
      </c>
      <c r="I415" s="5">
        <v>47000625000</v>
      </c>
      <c r="J415" s="5">
        <v>47000625000</v>
      </c>
      <c r="K415" s="5">
        <v>2.7444292183031452E-12</v>
      </c>
      <c r="L415" s="5">
        <v>2.7444292183031452E-12</v>
      </c>
      <c r="M415" s="5">
        <v>0</v>
      </c>
      <c r="N415" s="5">
        <v>2.0000000000000001E-4</v>
      </c>
      <c r="O415" s="5">
        <v>129.35633116883113</v>
      </c>
      <c r="P415" s="5">
        <v>129.35633116883113</v>
      </c>
      <c r="Q415" s="5">
        <v>-4.1963784722222229E-10</v>
      </c>
      <c r="R415" s="5">
        <v>0</v>
      </c>
      <c r="S415" s="5">
        <v>1.4635312499999999E-4</v>
      </c>
      <c r="T415" s="5">
        <v>8.8040625E-6</v>
      </c>
      <c r="U415" s="5">
        <v>8.8040625E-6</v>
      </c>
      <c r="V415" s="5">
        <v>0</v>
      </c>
      <c r="W415" s="5">
        <v>0</v>
      </c>
      <c r="X415" s="5">
        <v>2.2259374999999997</v>
      </c>
      <c r="Y415" s="5">
        <v>4752.8125</v>
      </c>
      <c r="Z415" s="5">
        <f t="shared" ref="Z415:AA415" si="206">Z414+0.0002</f>
        <v>-9.999999999999998E-4</v>
      </c>
      <c r="AA415" s="5">
        <f t="shared" si="206"/>
        <v>-8.0000000000000004E-4</v>
      </c>
      <c r="AB415" s="4">
        <v>2</v>
      </c>
    </row>
    <row r="416" spans="1:28" x14ac:dyDescent="0.25">
      <c r="C416" s="4">
        <v>3</v>
      </c>
      <c r="D416" s="5">
        <v>130335906998.7159</v>
      </c>
      <c r="E416" s="5">
        <v>130335906998.7159</v>
      </c>
      <c r="F416" s="5">
        <v>0.30899654099566909</v>
      </c>
      <c r="G416" s="5">
        <v>0</v>
      </c>
      <c r="H416" s="5">
        <v>47562500000</v>
      </c>
      <c r="I416" s="5">
        <v>43523958333.333336</v>
      </c>
      <c r="J416" s="5">
        <v>43523958333.333336</v>
      </c>
      <c r="K416" s="5">
        <v>3.1879733343925427E-12</v>
      </c>
      <c r="L416" s="5">
        <v>3.1879733343925427E-12</v>
      </c>
      <c r="M416" s="5">
        <v>0</v>
      </c>
      <c r="N416" s="5">
        <v>2.0000000000000001E-4</v>
      </c>
      <c r="O416" s="5">
        <v>120.89601370851368</v>
      </c>
      <c r="P416" s="5">
        <v>120.89601370851368</v>
      </c>
      <c r="Q416" s="5">
        <v>-5.0718537808641989E-10</v>
      </c>
      <c r="R416" s="5">
        <v>0</v>
      </c>
      <c r="S416" s="5">
        <v>1.36703125E-4</v>
      </c>
      <c r="T416" s="5">
        <v>8.1057291666666669E-6</v>
      </c>
      <c r="U416" s="5">
        <v>8.1057291666666669E-6</v>
      </c>
      <c r="V416" s="5">
        <v>0</v>
      </c>
      <c r="W416" s="5">
        <v>0</v>
      </c>
      <c r="X416" s="5">
        <v>2.0553819444444446</v>
      </c>
      <c r="Y416" s="5">
        <v>4396.7013888888887</v>
      </c>
      <c r="Z416" s="5">
        <f t="shared" ref="Z416:AA416" si="207">Z415+0.0002</f>
        <v>-7.9999999999999982E-4</v>
      </c>
      <c r="AA416" s="5">
        <f t="shared" si="207"/>
        <v>-6.0000000000000006E-4</v>
      </c>
      <c r="AB416" s="4">
        <v>2</v>
      </c>
    </row>
    <row r="417" spans="1:28" x14ac:dyDescent="0.25">
      <c r="C417" s="4">
        <v>4</v>
      </c>
      <c r="D417" s="5">
        <v>119712526072.98376</v>
      </c>
      <c r="E417" s="5">
        <v>119712526072.98376</v>
      </c>
      <c r="F417" s="5">
        <v>0.28396442677197276</v>
      </c>
      <c r="G417" s="5">
        <v>0</v>
      </c>
      <c r="H417" s="5">
        <v>43695833333.333328</v>
      </c>
      <c r="I417" s="5">
        <v>40038958333.333336</v>
      </c>
      <c r="J417" s="5">
        <v>40038958333.333336</v>
      </c>
      <c r="K417" s="5">
        <v>2.522657160258448E-12</v>
      </c>
      <c r="L417" s="5">
        <v>2.522657160258448E-12</v>
      </c>
      <c r="M417" s="5">
        <v>0</v>
      </c>
      <c r="N417" s="5">
        <v>2.0000000000000001E-4</v>
      </c>
      <c r="O417" s="5">
        <v>110.51289682539681</v>
      </c>
      <c r="P417" s="5">
        <v>110.51289682539681</v>
      </c>
      <c r="Q417" s="5">
        <v>-3.9136408179012365E-10</v>
      </c>
      <c r="R417" s="5">
        <v>0</v>
      </c>
      <c r="S417" s="5">
        <v>1.2501145833333332E-4</v>
      </c>
      <c r="T417" s="5">
        <v>7.4865625000000012E-6</v>
      </c>
      <c r="U417" s="5">
        <v>7.4865625000000012E-6</v>
      </c>
      <c r="V417" s="5">
        <v>0</v>
      </c>
      <c r="W417" s="5">
        <v>0</v>
      </c>
      <c r="X417" s="5">
        <v>1.8945486111111109</v>
      </c>
      <c r="Y417" s="5">
        <v>4047.5347222222226</v>
      </c>
      <c r="Z417" s="5">
        <f t="shared" ref="Z417:AA417" si="208">Z416+0.0002</f>
        <v>-5.9999999999999984E-4</v>
      </c>
      <c r="AA417" s="5">
        <f t="shared" si="208"/>
        <v>-4.0000000000000007E-4</v>
      </c>
      <c r="AB417" s="4">
        <v>2</v>
      </c>
    </row>
    <row r="418" spans="1:28" x14ac:dyDescent="0.25">
      <c r="C418" s="4">
        <v>5</v>
      </c>
      <c r="D418" s="5">
        <v>108558041455.80611</v>
      </c>
      <c r="E418" s="5">
        <v>108558041455.80611</v>
      </c>
      <c r="F418" s="5">
        <v>0.25808801269951209</v>
      </c>
      <c r="G418" s="5">
        <v>0</v>
      </c>
      <c r="H418" s="5">
        <v>39662500000</v>
      </c>
      <c r="I418" s="5">
        <v>36545625000</v>
      </c>
      <c r="J418" s="5">
        <v>36545625000</v>
      </c>
      <c r="K418" s="5">
        <v>7.4848069590085887E-13</v>
      </c>
      <c r="L418" s="5">
        <v>7.4848069590085887E-13</v>
      </c>
      <c r="M418" s="5">
        <v>0</v>
      </c>
      <c r="N418" s="5">
        <v>2.0000000000000001E-4</v>
      </c>
      <c r="O418" s="5">
        <v>98.206980519480496</v>
      </c>
      <c r="P418" s="5">
        <v>98.206980519480496</v>
      </c>
      <c r="Q418" s="5">
        <v>-7.2173958333333668E-11</v>
      </c>
      <c r="R418" s="5">
        <v>0</v>
      </c>
      <c r="S418" s="5">
        <v>1.11278125E-4</v>
      </c>
      <c r="T418" s="5">
        <v>6.9465625000000005E-6</v>
      </c>
      <c r="U418" s="5">
        <v>6.9465625000000005E-6</v>
      </c>
      <c r="V418" s="5">
        <v>0</v>
      </c>
      <c r="W418" s="5">
        <v>0</v>
      </c>
      <c r="X418" s="5">
        <v>1.7434375000000002</v>
      </c>
      <c r="Y418" s="5">
        <v>3705.3125</v>
      </c>
      <c r="Z418" s="5">
        <f t="shared" ref="Z418:AA418" si="209">Z417+0.0002</f>
        <v>-3.9999999999999986E-4</v>
      </c>
      <c r="AA418" s="5">
        <f t="shared" si="209"/>
        <v>-2.0000000000000006E-4</v>
      </c>
      <c r="AB418" s="4">
        <v>2</v>
      </c>
    </row>
    <row r="419" spans="1:28" x14ac:dyDescent="0.25">
      <c r="C419" s="4">
        <v>6</v>
      </c>
      <c r="D419" s="5">
        <v>96872453147.182892</v>
      </c>
      <c r="E419" s="5">
        <v>96872453147.182892</v>
      </c>
      <c r="F419" s="5">
        <v>0.23136729877828721</v>
      </c>
      <c r="G419" s="5">
        <v>0</v>
      </c>
      <c r="H419" s="5">
        <v>35462500000</v>
      </c>
      <c r="I419" s="5">
        <v>33043958333.333336</v>
      </c>
      <c r="J419" s="5">
        <v>33043958333.333336</v>
      </c>
      <c r="K419" s="5">
        <v>-2.1345560586802216E-12</v>
      </c>
      <c r="L419" s="5">
        <v>-2.1345560586802216E-12</v>
      </c>
      <c r="M419" s="5">
        <v>0</v>
      </c>
      <c r="N419" s="5">
        <v>2.0000000000000001E-4</v>
      </c>
      <c r="O419" s="5">
        <v>83.978264790764769</v>
      </c>
      <c r="P419" s="5">
        <v>83.978264790764769</v>
      </c>
      <c r="Q419" s="5">
        <v>4.5038499228395026E-10</v>
      </c>
      <c r="R419" s="5">
        <v>0</v>
      </c>
      <c r="S419" s="5">
        <v>9.5503124999999999E-5</v>
      </c>
      <c r="T419" s="5">
        <v>6.4857291666666655E-6</v>
      </c>
      <c r="U419" s="5">
        <v>6.4857291666666655E-6</v>
      </c>
      <c r="V419" s="5">
        <v>0</v>
      </c>
      <c r="W419" s="5">
        <v>0</v>
      </c>
      <c r="X419" s="5">
        <v>1.6020486111111112</v>
      </c>
      <c r="Y419" s="5">
        <v>3370.0347222222226</v>
      </c>
      <c r="Z419" s="5">
        <f t="shared" ref="Z419:AA419" si="210">Z418+0.0002</f>
        <v>-1.9999999999999985E-4</v>
      </c>
      <c r="AA419" s="5">
        <f t="shared" si="210"/>
        <v>0</v>
      </c>
      <c r="AB419" s="4">
        <v>2</v>
      </c>
    </row>
    <row r="420" spans="1:28" x14ac:dyDescent="0.25">
      <c r="C420" s="4">
        <v>7</v>
      </c>
      <c r="D420" s="5">
        <v>84655761147.114136</v>
      </c>
      <c r="E420" s="5">
        <v>84655761147.114136</v>
      </c>
      <c r="F420" s="5">
        <v>0.203802285008298</v>
      </c>
      <c r="G420" s="5">
        <v>0</v>
      </c>
      <c r="H420" s="5">
        <v>31095833333.333332</v>
      </c>
      <c r="I420" s="5">
        <v>29533958333.333336</v>
      </c>
      <c r="J420" s="5">
        <v>29533958333.333336</v>
      </c>
      <c r="K420" s="5">
        <v>-6.1264531034847958E-12</v>
      </c>
      <c r="L420" s="5">
        <v>-6.1264531034847958E-12</v>
      </c>
      <c r="M420" s="5">
        <v>0</v>
      </c>
      <c r="N420" s="5">
        <v>2.0000000000000001E-4</v>
      </c>
      <c r="O420" s="5">
        <v>67.826749639249627</v>
      </c>
      <c r="P420" s="5">
        <v>67.826749639249627</v>
      </c>
      <c r="Q420" s="5">
        <v>1.1763127700617285E-9</v>
      </c>
      <c r="R420" s="5">
        <v>0</v>
      </c>
      <c r="S420" s="5">
        <v>7.7686458333333324E-5</v>
      </c>
      <c r="T420" s="5">
        <v>6.1040624999999988E-6</v>
      </c>
      <c r="U420" s="5">
        <v>6.1040624999999988E-6</v>
      </c>
      <c r="V420" s="5">
        <v>0</v>
      </c>
      <c r="W420" s="5">
        <v>0</v>
      </c>
      <c r="X420" s="5">
        <v>1.4703819444444444</v>
      </c>
      <c r="Y420" s="5">
        <v>3041.7013888888887</v>
      </c>
      <c r="Z420" s="5">
        <f t="shared" ref="Z420:AA420" si="211">Z419+0.0002</f>
        <v>0</v>
      </c>
      <c r="AA420" s="5">
        <f t="shared" si="211"/>
        <v>2.0000000000000001E-4</v>
      </c>
      <c r="AB420" s="4">
        <v>2</v>
      </c>
    </row>
    <row r="421" spans="1:28" x14ac:dyDescent="0.25">
      <c r="C421" s="4">
        <v>8</v>
      </c>
      <c r="D421" s="5">
        <v>71907965455.599838</v>
      </c>
      <c r="E421" s="5">
        <v>71907965455.599838</v>
      </c>
      <c r="F421" s="5">
        <v>0.17539297138954443</v>
      </c>
      <c r="G421" s="5">
        <v>0</v>
      </c>
      <c r="H421" s="5">
        <v>26562500000</v>
      </c>
      <c r="I421" s="5">
        <v>26015625000</v>
      </c>
      <c r="J421" s="5">
        <v>26015625000</v>
      </c>
      <c r="K421" s="5">
        <v>-1.1227210438512869E-11</v>
      </c>
      <c r="L421" s="5">
        <v>-1.1227210438512869E-11</v>
      </c>
      <c r="M421" s="5">
        <v>0</v>
      </c>
      <c r="N421" s="5">
        <v>2.0000000000000001E-4</v>
      </c>
      <c r="O421" s="5">
        <v>49.752435064935057</v>
      </c>
      <c r="P421" s="5">
        <v>49.752435064935057</v>
      </c>
      <c r="Q421" s="5">
        <v>2.1056093750000008E-9</v>
      </c>
      <c r="R421" s="5">
        <v>0</v>
      </c>
      <c r="S421" s="5">
        <v>5.7828125000000005E-5</v>
      </c>
      <c r="T421" s="5">
        <v>5.8015624999999987E-6</v>
      </c>
      <c r="U421" s="5">
        <v>5.8015624999999987E-6</v>
      </c>
      <c r="V421" s="5">
        <v>0</v>
      </c>
      <c r="W421" s="5">
        <v>0</v>
      </c>
      <c r="X421" s="5">
        <v>1.3484374999999997</v>
      </c>
      <c r="Y421" s="5">
        <v>2720.3125</v>
      </c>
      <c r="Z421" s="5">
        <f t="shared" ref="Z421:AA421" si="212">Z420+0.0002</f>
        <v>2.0000000000000001E-4</v>
      </c>
      <c r="AA421" s="5">
        <f t="shared" si="212"/>
        <v>4.0000000000000002E-4</v>
      </c>
      <c r="AB421" s="4">
        <v>2</v>
      </c>
    </row>
    <row r="422" spans="1:28" x14ac:dyDescent="0.25">
      <c r="C422" s="4">
        <v>9</v>
      </c>
      <c r="D422" s="5">
        <v>58629066072.639984</v>
      </c>
      <c r="E422" s="5">
        <v>58629066072.639984</v>
      </c>
      <c r="F422" s="5">
        <v>0.14613935792202659</v>
      </c>
      <c r="G422" s="5">
        <v>0</v>
      </c>
      <c r="H422" s="5">
        <v>21862499999.999996</v>
      </c>
      <c r="I422" s="5">
        <v>22488958333.333336</v>
      </c>
      <c r="J422" s="5">
        <v>22488958333.333336</v>
      </c>
      <c r="K422" s="5">
        <v>-1.7436828063764427E-11</v>
      </c>
      <c r="L422" s="5">
        <v>-1.7436828063764427E-11</v>
      </c>
      <c r="M422" s="5">
        <v>0</v>
      </c>
      <c r="N422" s="5">
        <v>2.0000000000000001E-4</v>
      </c>
      <c r="O422" s="5">
        <v>29.75532106782105</v>
      </c>
      <c r="P422" s="5">
        <v>29.75532106782105</v>
      </c>
      <c r="Q422" s="5">
        <v>3.2382748070987669E-9</v>
      </c>
      <c r="R422" s="5">
        <v>0</v>
      </c>
      <c r="S422" s="5">
        <v>3.5928124999999994E-5</v>
      </c>
      <c r="T422" s="5">
        <v>5.5782291666666644E-6</v>
      </c>
      <c r="U422" s="5">
        <v>5.5782291666666644E-6</v>
      </c>
      <c r="V422" s="5">
        <v>0</v>
      </c>
      <c r="W422" s="5">
        <v>0</v>
      </c>
      <c r="X422" s="5">
        <v>1.2362152777777777</v>
      </c>
      <c r="Y422" s="5">
        <v>2405.8680555555557</v>
      </c>
      <c r="Z422" s="5">
        <f t="shared" ref="Z422:AA422" si="213">Z421+0.0002</f>
        <v>4.0000000000000002E-4</v>
      </c>
      <c r="AA422" s="5">
        <f t="shared" si="213"/>
        <v>6.0000000000000006E-4</v>
      </c>
      <c r="AB422" s="4">
        <v>2</v>
      </c>
    </row>
    <row r="423" spans="1:28" x14ac:dyDescent="0.25">
      <c r="C423" s="4">
        <v>10</v>
      </c>
      <c r="D423" s="5">
        <v>44819062998.234589</v>
      </c>
      <c r="E423" s="5">
        <v>44819062998.234589</v>
      </c>
      <c r="F423" s="5">
        <v>0.11604144460574445</v>
      </c>
      <c r="G423" s="5">
        <v>0</v>
      </c>
      <c r="H423" s="5">
        <v>16995833333.333328</v>
      </c>
      <c r="I423" s="5">
        <v>18953958333.333332</v>
      </c>
      <c r="J423" s="5">
        <v>18953958333.333332</v>
      </c>
      <c r="K423" s="5">
        <v>-2.4755305979239494E-11</v>
      </c>
      <c r="L423" s="5">
        <v>-2.4755305979239494E-11</v>
      </c>
      <c r="M423" s="5">
        <v>0</v>
      </c>
      <c r="N423" s="5">
        <v>2.0000000000000001E-4</v>
      </c>
      <c r="O423" s="5">
        <v>7.8354076479076156</v>
      </c>
      <c r="P423" s="5">
        <v>7.8354076479076156</v>
      </c>
      <c r="Q423" s="5">
        <v>4.5743090663580279E-9</v>
      </c>
      <c r="R423" s="5">
        <v>0</v>
      </c>
      <c r="S423" s="5">
        <v>1.1986458333333299E-5</v>
      </c>
      <c r="T423" s="5">
        <v>5.4340624999999984E-6</v>
      </c>
      <c r="U423" s="5">
        <v>5.4340624999999984E-6</v>
      </c>
      <c r="V423" s="5">
        <v>0</v>
      </c>
      <c r="W423" s="5">
        <v>0</v>
      </c>
      <c r="X423" s="5">
        <v>1.1337152777777775</v>
      </c>
      <c r="Y423" s="5">
        <v>2098.3680555555552</v>
      </c>
      <c r="Z423" s="5">
        <f t="shared" ref="Z423:AA423" si="214">Z422+0.0002</f>
        <v>6.0000000000000006E-4</v>
      </c>
      <c r="AA423" s="5">
        <f t="shared" si="214"/>
        <v>8.0000000000000004E-4</v>
      </c>
      <c r="AB423" s="4">
        <v>2</v>
      </c>
    </row>
    <row r="424" spans="1:28" x14ac:dyDescent="0.25">
      <c r="C424" s="4">
        <v>11</v>
      </c>
      <c r="D424" s="5">
        <v>30477956232.383667</v>
      </c>
      <c r="E424" s="5">
        <v>30477956232.383667</v>
      </c>
      <c r="F424" s="5">
        <v>8.5099231440698087E-2</v>
      </c>
      <c r="G424" s="5">
        <v>0</v>
      </c>
      <c r="H424" s="5">
        <v>11962500000</v>
      </c>
      <c r="I424" s="5">
        <v>15410625000</v>
      </c>
      <c r="J424" s="5">
        <v>15410625000</v>
      </c>
      <c r="K424" s="5">
        <v>-3.3182644184938027E-11</v>
      </c>
      <c r="L424" s="5">
        <v>-3.3182644184938027E-11</v>
      </c>
      <c r="M424" s="5">
        <v>0</v>
      </c>
      <c r="N424" s="5">
        <v>2.0000000000000001E-4</v>
      </c>
      <c r="O424" s="5">
        <v>-16.007305194805198</v>
      </c>
      <c r="P424" s="5">
        <v>-16.007305194805198</v>
      </c>
      <c r="Q424" s="5">
        <v>6.1137121527777786E-9</v>
      </c>
      <c r="R424" s="5">
        <v>0</v>
      </c>
      <c r="S424" s="5">
        <v>-1.3996874999999993E-5</v>
      </c>
      <c r="T424" s="5">
        <v>5.3690624999999982E-6</v>
      </c>
      <c r="U424" s="5">
        <v>5.3690624999999982E-6</v>
      </c>
      <c r="V424" s="5">
        <v>0</v>
      </c>
      <c r="W424" s="5">
        <v>0</v>
      </c>
      <c r="X424" s="5">
        <v>1.0409375000000001</v>
      </c>
      <c r="Y424" s="5">
        <v>1797.8125</v>
      </c>
      <c r="Z424" s="5">
        <f t="shared" ref="Z424:AA424" si="215">Z423+0.0002</f>
        <v>8.0000000000000004E-4</v>
      </c>
      <c r="AA424" s="5">
        <f t="shared" si="215"/>
        <v>1E-3</v>
      </c>
      <c r="AB424" s="4">
        <v>2</v>
      </c>
    </row>
    <row r="425" spans="1:28" x14ac:dyDescent="0.25">
      <c r="B425" t="s">
        <v>187</v>
      </c>
      <c r="C425" s="11">
        <v>12</v>
      </c>
      <c r="D425" s="5">
        <v>15605745775.087128</v>
      </c>
      <c r="E425" s="5">
        <v>15605745775.087128</v>
      </c>
      <c r="F425" s="5">
        <v>5.3312718426887284E-2</v>
      </c>
      <c r="G425" s="5">
        <v>0</v>
      </c>
      <c r="H425" s="5">
        <v>6762499999.9999924</v>
      </c>
      <c r="I425" s="5">
        <v>11858958333.333328</v>
      </c>
      <c r="J425" s="5">
        <v>11858958333.333328</v>
      </c>
      <c r="K425" s="5">
        <v>-4.2718842680860084E-11</v>
      </c>
      <c r="L425" s="5">
        <v>-4.2718842680860084E-11</v>
      </c>
      <c r="M425" s="5">
        <v>0</v>
      </c>
      <c r="N425" s="5">
        <v>2.0000000000000001E-4</v>
      </c>
      <c r="O425" s="5">
        <v>-41.772817460317505</v>
      </c>
      <c r="P425" s="5">
        <v>-41.772817460317505</v>
      </c>
      <c r="Q425" s="5">
        <v>7.8564840663580266E-9</v>
      </c>
      <c r="R425" s="5">
        <v>0</v>
      </c>
      <c r="S425" s="5">
        <v>-4.2021875000000037E-5</v>
      </c>
      <c r="T425" s="5">
        <v>5.3832291666666637E-6</v>
      </c>
      <c r="U425" s="5">
        <v>5.3832291666666637E-6</v>
      </c>
      <c r="V425" s="5">
        <v>0</v>
      </c>
      <c r="W425" s="5">
        <v>0</v>
      </c>
      <c r="X425" s="5">
        <v>0.95788194444444441</v>
      </c>
      <c r="Y425" s="5">
        <v>1504.2013888888878</v>
      </c>
      <c r="Z425" s="5">
        <f t="shared" ref="Z425:AA425" si="216">Z424+0.0002</f>
        <v>1E-3</v>
      </c>
      <c r="AA425" s="5">
        <f t="shared" si="216"/>
        <v>1.2000000000000001E-3</v>
      </c>
      <c r="AB425" s="4">
        <v>2</v>
      </c>
    </row>
    <row r="429" spans="1:28" x14ac:dyDescent="0.25">
      <c r="A429" t="s">
        <v>137</v>
      </c>
    </row>
    <row r="430" spans="1:28" x14ac:dyDescent="0.25">
      <c r="A430" t="s">
        <v>137</v>
      </c>
    </row>
    <row r="431" spans="1:28" x14ac:dyDescent="0.25">
      <c r="A431" t="s">
        <v>137</v>
      </c>
    </row>
    <row r="432" spans="1:28" x14ac:dyDescent="0.25">
      <c r="A432" t="s">
        <v>137</v>
      </c>
    </row>
    <row r="433" spans="1:28" x14ac:dyDescent="0.25">
      <c r="A433" s="15" t="s">
        <v>134</v>
      </c>
      <c r="C433" s="10" t="s">
        <v>27</v>
      </c>
      <c r="D433" s="10" t="s">
        <v>28</v>
      </c>
      <c r="E433" s="10" t="s">
        <v>29</v>
      </c>
      <c r="F433" s="10" t="s">
        <v>30</v>
      </c>
      <c r="G433" s="10" t="s">
        <v>31</v>
      </c>
      <c r="H433" s="10" t="s">
        <v>47</v>
      </c>
      <c r="I433" s="10" t="s">
        <v>32</v>
      </c>
      <c r="J433" s="10" t="s">
        <v>33</v>
      </c>
      <c r="K433" s="10" t="s">
        <v>34</v>
      </c>
      <c r="L433" s="10" t="s">
        <v>35</v>
      </c>
      <c r="M433" s="10" t="s">
        <v>36</v>
      </c>
      <c r="N433" s="10" t="s">
        <v>37</v>
      </c>
      <c r="O433" s="10" t="s">
        <v>38</v>
      </c>
      <c r="P433" s="10" t="s">
        <v>39</v>
      </c>
      <c r="Q433" s="10" t="s">
        <v>40</v>
      </c>
      <c r="R433" s="10" t="s">
        <v>41</v>
      </c>
      <c r="S433" s="10" t="s">
        <v>42</v>
      </c>
      <c r="T433" s="10" t="s">
        <v>102</v>
      </c>
      <c r="U433" s="10" t="s">
        <v>77</v>
      </c>
      <c r="V433" s="10" t="s">
        <v>78</v>
      </c>
      <c r="W433" s="10" t="s">
        <v>79</v>
      </c>
      <c r="X433" s="10" t="s">
        <v>80</v>
      </c>
      <c r="Y433" s="10" t="s">
        <v>43</v>
      </c>
      <c r="Z433" s="10" t="s">
        <v>44</v>
      </c>
      <c r="AA433" s="10" t="s">
        <v>45</v>
      </c>
      <c r="AB433" s="10" t="s">
        <v>46</v>
      </c>
    </row>
    <row r="434" spans="1:28" x14ac:dyDescent="0.25">
      <c r="A434" s="12" t="s">
        <v>140</v>
      </c>
      <c r="B434" t="s">
        <v>183</v>
      </c>
      <c r="C434" s="11">
        <v>1</v>
      </c>
      <c r="D434" s="5">
        <v>154570780662.97134</v>
      </c>
      <c r="E434" s="5">
        <v>154570780662.97134</v>
      </c>
      <c r="F434" s="5">
        <v>0.36788301471656509</v>
      </c>
      <c r="G434" s="5">
        <v>0</v>
      </c>
      <c r="H434" s="5">
        <v>56499999999.999809</v>
      </c>
      <c r="I434" s="5">
        <v>52199999999.999992</v>
      </c>
      <c r="J434" s="5">
        <v>52199999999.999992</v>
      </c>
      <c r="K434" s="5">
        <v>-1.2592063653464866E-24</v>
      </c>
      <c r="L434" s="5">
        <v>-1.2592063653464866E-24</v>
      </c>
      <c r="M434" s="5">
        <v>0</v>
      </c>
      <c r="N434" s="5">
        <v>2.0000000000000001E-4</v>
      </c>
      <c r="O434" s="5">
        <v>138.44155844155623</v>
      </c>
      <c r="P434" s="5">
        <v>138.44155844155623</v>
      </c>
      <c r="Q434" s="5">
        <v>9.300000000023094E-11</v>
      </c>
      <c r="R434" s="5">
        <v>0</v>
      </c>
      <c r="S434" s="5">
        <v>1.5699999999999766E-4</v>
      </c>
      <c r="T434" s="5">
        <v>1.0000000000000091E-5</v>
      </c>
      <c r="U434" s="5">
        <v>1.0000000000000091E-5</v>
      </c>
      <c r="V434" s="5">
        <v>0</v>
      </c>
      <c r="W434" s="5">
        <v>0</v>
      </c>
      <c r="X434" s="5">
        <v>2.5000000000000111</v>
      </c>
      <c r="Y434" s="5">
        <v>5300.0000000000082</v>
      </c>
      <c r="Z434" s="5">
        <v>-1.1999999999999999E-3</v>
      </c>
      <c r="AA434" s="5">
        <v>-1E-3</v>
      </c>
      <c r="AB434" s="4">
        <v>2</v>
      </c>
    </row>
    <row r="435" spans="1:28" x14ac:dyDescent="0.25">
      <c r="C435" s="4">
        <v>2</v>
      </c>
      <c r="D435" s="5">
        <v>154570780627.35867</v>
      </c>
      <c r="E435" s="5">
        <v>154570780627.35867</v>
      </c>
      <c r="F435" s="5">
        <v>0.36788301465995132</v>
      </c>
      <c r="G435" s="5">
        <v>0</v>
      </c>
      <c r="H435" s="5">
        <v>56499999988.824127</v>
      </c>
      <c r="I435" s="5">
        <v>52199999999.441208</v>
      </c>
      <c r="J435" s="5">
        <v>52199999999.441208</v>
      </c>
      <c r="K435" s="5">
        <v>-7.4354876667346337E-20</v>
      </c>
      <c r="L435" s="5">
        <v>-7.4354876667346337E-20</v>
      </c>
      <c r="M435" s="5">
        <v>0</v>
      </c>
      <c r="N435" s="5">
        <v>2.0000000000000001E-4</v>
      </c>
      <c r="O435" s="5">
        <v>138.44155831262466</v>
      </c>
      <c r="P435" s="5">
        <v>138.44155831262466</v>
      </c>
      <c r="Q435" s="5">
        <v>9.3000013636942542E-11</v>
      </c>
      <c r="R435" s="5">
        <v>0</v>
      </c>
      <c r="S435" s="5">
        <v>1.5699999986309556E-4</v>
      </c>
      <c r="T435" s="5">
        <v>1.0000000005308539E-5</v>
      </c>
      <c r="U435" s="5">
        <v>1.0000000005308539E-5</v>
      </c>
      <c r="V435" s="5">
        <v>0</v>
      </c>
      <c r="W435" s="5">
        <v>0</v>
      </c>
      <c r="X435" s="5">
        <v>2.5000000006519256</v>
      </c>
      <c r="Y435" s="5">
        <v>5300.0000004656613</v>
      </c>
      <c r="Z435" s="5">
        <f t="shared" ref="Z435:AA435" si="217">Z434+0.0002</f>
        <v>-9.999999999999998E-4</v>
      </c>
      <c r="AA435" s="5">
        <f t="shared" si="217"/>
        <v>-8.0000000000000004E-4</v>
      </c>
      <c r="AB435" s="4">
        <v>2</v>
      </c>
    </row>
    <row r="436" spans="1:28" x14ac:dyDescent="0.25">
      <c r="C436" s="4">
        <v>3</v>
      </c>
      <c r="D436" s="5">
        <v>154570774773.18695</v>
      </c>
      <c r="E436" s="5">
        <v>154570774773.18695</v>
      </c>
      <c r="F436" s="5">
        <v>0.36788300535352697</v>
      </c>
      <c r="G436" s="5">
        <v>0</v>
      </c>
      <c r="H436" s="5">
        <v>56499998151.715286</v>
      </c>
      <c r="I436" s="5">
        <v>52199999907.585762</v>
      </c>
      <c r="J436" s="5">
        <v>52199999907.585762</v>
      </c>
      <c r="K436" s="5">
        <v>-1.2296937161587045E-17</v>
      </c>
      <c r="L436" s="5">
        <v>-1.2296937161587045E-17</v>
      </c>
      <c r="M436" s="5">
        <v>0</v>
      </c>
      <c r="N436" s="5">
        <v>2.0000000000000001E-4</v>
      </c>
      <c r="O436" s="5">
        <v>138.44153711827369</v>
      </c>
      <c r="P436" s="5">
        <v>138.44153711827369</v>
      </c>
      <c r="Q436" s="5">
        <v>9.3002255300970071E-11</v>
      </c>
      <c r="R436" s="5">
        <v>0</v>
      </c>
      <c r="S436" s="5">
        <v>1.5699997735851222E-4</v>
      </c>
      <c r="T436" s="5">
        <v>1.0000000877935241E-5</v>
      </c>
      <c r="U436" s="5">
        <v>1.0000000877935241E-5</v>
      </c>
      <c r="V436" s="5">
        <v>0</v>
      </c>
      <c r="W436" s="5">
        <v>0</v>
      </c>
      <c r="X436" s="5">
        <v>2.5000001078166085</v>
      </c>
      <c r="Y436" s="5">
        <v>5300.0000770118631</v>
      </c>
      <c r="Z436" s="5">
        <f t="shared" ref="Z436:AA436" si="218">Z435+0.0002</f>
        <v>-7.9999999999999982E-4</v>
      </c>
      <c r="AA436" s="5">
        <f t="shared" si="218"/>
        <v>-6.0000000000000006E-4</v>
      </c>
      <c r="AB436" s="4">
        <v>2</v>
      </c>
    </row>
    <row r="437" spans="1:28" x14ac:dyDescent="0.25">
      <c r="C437" s="4">
        <v>4</v>
      </c>
      <c r="D437" s="5">
        <v>154570610298.19873</v>
      </c>
      <c r="E437" s="5">
        <v>154570610298.19873</v>
      </c>
      <c r="F437" s="5">
        <v>0.36788274388630338</v>
      </c>
      <c r="G437" s="5">
        <v>0</v>
      </c>
      <c r="H437" s="5">
        <v>56499946537.504211</v>
      </c>
      <c r="I437" s="5">
        <v>52199997326.875214</v>
      </c>
      <c r="J437" s="5">
        <v>52199997326.875214</v>
      </c>
      <c r="K437" s="5">
        <v>-3.5569463159364114E-16</v>
      </c>
      <c r="L437" s="5">
        <v>-3.5569463159364114E-16</v>
      </c>
      <c r="M437" s="5">
        <v>0</v>
      </c>
      <c r="N437" s="5">
        <v>2.0000000000000001E-4</v>
      </c>
      <c r="O437" s="5">
        <v>138.44094165562211</v>
      </c>
      <c r="P437" s="5">
        <v>138.44094165562211</v>
      </c>
      <c r="Q437" s="5">
        <v>9.3065235630396597E-11</v>
      </c>
      <c r="R437" s="5">
        <v>0</v>
      </c>
      <c r="S437" s="5">
        <v>1.5699934508442656E-4</v>
      </c>
      <c r="T437" s="5">
        <v>1.0000025394685501E-5</v>
      </c>
      <c r="U437" s="5">
        <v>1.0000025394685501E-5</v>
      </c>
      <c r="V437" s="5">
        <v>0</v>
      </c>
      <c r="W437" s="5">
        <v>0</v>
      </c>
      <c r="X437" s="5">
        <v>2.500003118645588</v>
      </c>
      <c r="Y437" s="5">
        <v>5300.0022276039917</v>
      </c>
      <c r="Z437" s="5">
        <f t="shared" ref="Z437:AA437" si="219">Z436+0.0002</f>
        <v>-5.9999999999999984E-4</v>
      </c>
      <c r="AA437" s="5">
        <f t="shared" si="219"/>
        <v>-4.0000000000000007E-4</v>
      </c>
      <c r="AB437" s="4">
        <v>2</v>
      </c>
    </row>
    <row r="438" spans="1:28" x14ac:dyDescent="0.25">
      <c r="C438" s="4">
        <v>5</v>
      </c>
      <c r="D438" s="5">
        <v>154568677734.53552</v>
      </c>
      <c r="E438" s="5">
        <v>154568677734.53552</v>
      </c>
      <c r="F438" s="5">
        <v>0.36787967167416313</v>
      </c>
      <c r="G438" s="5">
        <v>0</v>
      </c>
      <c r="H438" s="5">
        <v>56499340075.999496</v>
      </c>
      <c r="I438" s="5">
        <v>52199967003.799973</v>
      </c>
      <c r="J438" s="5">
        <v>52199967003.799973</v>
      </c>
      <c r="K438" s="5">
        <v>-4.3905811123301336E-15</v>
      </c>
      <c r="L438" s="5">
        <v>-4.3905811123301336E-15</v>
      </c>
      <c r="M438" s="5">
        <v>0</v>
      </c>
      <c r="N438" s="5">
        <v>2.0000000000000001E-4</v>
      </c>
      <c r="O438" s="5">
        <v>138.43394503263488</v>
      </c>
      <c r="P438" s="5">
        <v>138.43394503263488</v>
      </c>
      <c r="Q438" s="5">
        <v>9.3805247819982474E-11</v>
      </c>
      <c r="R438" s="5">
        <v>0</v>
      </c>
      <c r="S438" s="5">
        <v>1.5699191593099385E-4</v>
      </c>
      <c r="T438" s="5">
        <v>1.0000313463900238E-5</v>
      </c>
      <c r="U438" s="5">
        <v>1.0000313463900238E-5</v>
      </c>
      <c r="V438" s="5">
        <v>0</v>
      </c>
      <c r="W438" s="5">
        <v>0</v>
      </c>
      <c r="X438" s="5">
        <v>2.5000384955666961</v>
      </c>
      <c r="Y438" s="5">
        <v>5300.0274968333542</v>
      </c>
      <c r="Z438" s="5">
        <f t="shared" ref="Z438:AA438" si="220">Z437+0.0002</f>
        <v>-3.9999999999999986E-4</v>
      </c>
      <c r="AA438" s="5">
        <f t="shared" si="220"/>
        <v>-2.0000000000000006E-4</v>
      </c>
      <c r="AB438" s="4">
        <v>2</v>
      </c>
    </row>
    <row r="439" spans="1:28" x14ac:dyDescent="0.25">
      <c r="C439" s="4">
        <v>6</v>
      </c>
      <c r="D439" s="5">
        <v>154555137439.44891</v>
      </c>
      <c r="E439" s="5">
        <v>154555137439.44891</v>
      </c>
      <c r="F439" s="5">
        <v>0.36785814655717003</v>
      </c>
      <c r="G439" s="5">
        <v>0</v>
      </c>
      <c r="H439" s="5">
        <v>56495090970.06385</v>
      </c>
      <c r="I439" s="5">
        <v>52199754548.503189</v>
      </c>
      <c r="J439" s="5">
        <v>52199754548.503189</v>
      </c>
      <c r="K439" s="5">
        <v>-3.2660570158274453E-14</v>
      </c>
      <c r="L439" s="5">
        <v>-3.2660570158274453E-14</v>
      </c>
      <c r="M439" s="5">
        <v>0</v>
      </c>
      <c r="N439" s="5">
        <v>2.0000000000000001E-4</v>
      </c>
      <c r="O439" s="5">
        <v>138.38492396199203</v>
      </c>
      <c r="P439" s="5">
        <v>138.38492396199203</v>
      </c>
      <c r="Q439" s="5">
        <v>9.8990061963660517E-11</v>
      </c>
      <c r="R439" s="5">
        <v>0</v>
      </c>
      <c r="S439" s="5">
        <v>1.5693986438328219E-4</v>
      </c>
      <c r="T439" s="5">
        <v>1.0002331789219671E-5</v>
      </c>
      <c r="U439" s="5">
        <v>1.0002331789219671E-5</v>
      </c>
      <c r="V439" s="5">
        <v>0</v>
      </c>
      <c r="W439" s="5">
        <v>0</v>
      </c>
      <c r="X439" s="5">
        <v>2.5002863600796088</v>
      </c>
      <c r="Y439" s="5">
        <v>5300.2045429140062</v>
      </c>
      <c r="Z439" s="5">
        <f t="shared" ref="Z439:AA439" si="221">Z438+0.0002</f>
        <v>-1.9999999999999985E-4</v>
      </c>
      <c r="AA439" s="5">
        <f t="shared" si="221"/>
        <v>0</v>
      </c>
      <c r="AB439" s="4">
        <v>2</v>
      </c>
    </row>
    <row r="440" spans="1:28" x14ac:dyDescent="0.25">
      <c r="C440" s="4">
        <v>7</v>
      </c>
      <c r="D440" s="5">
        <v>154487636278.52686</v>
      </c>
      <c r="E440" s="5">
        <v>154487636278.52686</v>
      </c>
      <c r="F440" s="5">
        <v>0.36775083941380821</v>
      </c>
      <c r="G440" s="5">
        <v>0</v>
      </c>
      <c r="H440" s="5">
        <v>56473908301.46595</v>
      </c>
      <c r="I440" s="5">
        <v>52198695415.073296</v>
      </c>
      <c r="J440" s="5">
        <v>52198695415.073296</v>
      </c>
      <c r="K440" s="5">
        <v>-1.735922904533313E-13</v>
      </c>
      <c r="L440" s="5">
        <v>-1.735922904533313E-13</v>
      </c>
      <c r="M440" s="5">
        <v>0</v>
      </c>
      <c r="N440" s="5">
        <v>2.0000000000000001E-4</v>
      </c>
      <c r="O440" s="5">
        <v>138.14054382427167</v>
      </c>
      <c r="P440" s="5">
        <v>138.14054382427167</v>
      </c>
      <c r="Q440" s="5">
        <v>1.2483742877696733E-10</v>
      </c>
      <c r="R440" s="5">
        <v>0</v>
      </c>
      <c r="S440" s="5">
        <v>1.5668037669295791E-4</v>
      </c>
      <c r="T440" s="5">
        <v>1.0012393556803674E-5</v>
      </c>
      <c r="U440" s="5">
        <v>1.0012393556803674E-5</v>
      </c>
      <c r="V440" s="5">
        <v>0</v>
      </c>
      <c r="W440" s="5">
        <v>0</v>
      </c>
      <c r="X440" s="5">
        <v>2.5015220157478195</v>
      </c>
      <c r="Y440" s="5">
        <v>5301.0871541055849</v>
      </c>
      <c r="Z440" s="5">
        <f t="shared" ref="Z440:AA440" si="222">Z439+0.0002</f>
        <v>0</v>
      </c>
      <c r="AA440" s="5">
        <f t="shared" si="222"/>
        <v>2.0000000000000001E-4</v>
      </c>
      <c r="AB440" s="4">
        <v>2</v>
      </c>
    </row>
    <row r="441" spans="1:28" x14ac:dyDescent="0.25">
      <c r="C441" s="4">
        <v>8</v>
      </c>
      <c r="D441" s="5">
        <v>154222994747.67947</v>
      </c>
      <c r="E441" s="5">
        <v>154222994747.67947</v>
      </c>
      <c r="F441" s="5">
        <v>0.36733013662437169</v>
      </c>
      <c r="G441" s="5">
        <v>0</v>
      </c>
      <c r="H441" s="5">
        <v>56390860635.787247</v>
      </c>
      <c r="I441" s="5">
        <v>52194543031.78936</v>
      </c>
      <c r="J441" s="5">
        <v>52194543031.78936</v>
      </c>
      <c r="K441" s="5">
        <v>-7.2612184245455407E-13</v>
      </c>
      <c r="L441" s="5">
        <v>-7.2612184245455407E-13</v>
      </c>
      <c r="M441" s="5">
        <v>0</v>
      </c>
      <c r="N441" s="5">
        <v>2.0000000000000001E-4</v>
      </c>
      <c r="O441" s="5">
        <v>137.18243980248056</v>
      </c>
      <c r="P441" s="5">
        <v>137.18243980248056</v>
      </c>
      <c r="Q441" s="5">
        <v>2.2617326698193537E-10</v>
      </c>
      <c r="R441" s="5">
        <v>0</v>
      </c>
      <c r="S441" s="5">
        <v>1.5566304278839379E-4</v>
      </c>
      <c r="T441" s="5">
        <v>1.0051841198001058E-5</v>
      </c>
      <c r="U441" s="5">
        <v>1.0051841198001058E-5</v>
      </c>
      <c r="V441" s="5">
        <v>0</v>
      </c>
      <c r="W441" s="5">
        <v>0</v>
      </c>
      <c r="X441" s="5">
        <v>2.5063664629124105</v>
      </c>
      <c r="Y441" s="5">
        <v>5304.5474735088646</v>
      </c>
      <c r="Z441" s="5">
        <f t="shared" ref="Z441:AA441" si="223">Z440+0.0002</f>
        <v>2.0000000000000001E-4</v>
      </c>
      <c r="AA441" s="5">
        <f t="shared" si="223"/>
        <v>4.0000000000000002E-4</v>
      </c>
      <c r="AB441" s="4">
        <v>2</v>
      </c>
    </row>
    <row r="442" spans="1:28" x14ac:dyDescent="0.25">
      <c r="C442" s="4">
        <v>9</v>
      </c>
      <c r="D442" s="5">
        <v>153354906547.05957</v>
      </c>
      <c r="E442" s="5">
        <v>153354906547.05957</v>
      </c>
      <c r="F442" s="5">
        <v>0.36595012976638397</v>
      </c>
      <c r="G442" s="5">
        <v>0</v>
      </c>
      <c r="H442" s="5">
        <v>56118444214.850327</v>
      </c>
      <c r="I442" s="5">
        <v>52180922210.742516</v>
      </c>
      <c r="J442" s="5">
        <v>52180922210.742516</v>
      </c>
      <c r="K442" s="5">
        <v>-2.5385523519451286E-12</v>
      </c>
      <c r="L442" s="5">
        <v>-2.5385523519451286E-12</v>
      </c>
      <c r="M442" s="5">
        <v>0</v>
      </c>
      <c r="N442" s="5">
        <v>2.0000000000000001E-4</v>
      </c>
      <c r="O442" s="5">
        <v>134.03962698084896</v>
      </c>
      <c r="P442" s="5">
        <v>134.03962698084896</v>
      </c>
      <c r="Q442" s="5">
        <v>5.5857931513314485E-10</v>
      </c>
      <c r="R442" s="5">
        <v>0</v>
      </c>
      <c r="S442" s="5">
        <v>1.5232594163191649E-4</v>
      </c>
      <c r="T442" s="5">
        <v>1.0181238997946096E-5</v>
      </c>
      <c r="U442" s="5">
        <v>1.0181238997946096E-5</v>
      </c>
      <c r="V442" s="5">
        <v>0</v>
      </c>
      <c r="W442" s="5">
        <v>0</v>
      </c>
      <c r="X442" s="5">
        <v>2.5222574208003978</v>
      </c>
      <c r="Y442" s="5">
        <v>5315.8981577145696</v>
      </c>
      <c r="Z442" s="5">
        <f t="shared" ref="Z442:AA442" si="224">Z441+0.0002</f>
        <v>4.0000000000000002E-4</v>
      </c>
      <c r="AA442" s="5">
        <f t="shared" si="224"/>
        <v>6.0000000000000006E-4</v>
      </c>
      <c r="AB442" s="4">
        <v>2</v>
      </c>
    </row>
    <row r="443" spans="1:28" x14ac:dyDescent="0.25">
      <c r="C443" s="4">
        <v>10</v>
      </c>
      <c r="D443" s="5">
        <v>150873048857.26376</v>
      </c>
      <c r="E443" s="5">
        <v>150873048857.26376</v>
      </c>
      <c r="F443" s="5">
        <v>0.36200470045399141</v>
      </c>
      <c r="G443" s="5">
        <v>0</v>
      </c>
      <c r="H443" s="5">
        <v>55339607699.567482</v>
      </c>
      <c r="I443" s="5">
        <v>52141980384.978371</v>
      </c>
      <c r="J443" s="5">
        <v>52141980384.978371</v>
      </c>
      <c r="K443" s="5">
        <v>-7.7202776581842645E-12</v>
      </c>
      <c r="L443" s="5">
        <v>-7.7202776581842645E-12</v>
      </c>
      <c r="M443" s="5">
        <v>0</v>
      </c>
      <c r="N443" s="5">
        <v>2.0000000000000001E-4</v>
      </c>
      <c r="O443" s="5">
        <v>125.05434856860316</v>
      </c>
      <c r="P443" s="5">
        <v>125.05434856860316</v>
      </c>
      <c r="Q443" s="5">
        <v>1.5089257271101739E-9</v>
      </c>
      <c r="R443" s="5">
        <v>0</v>
      </c>
      <c r="S443" s="5">
        <v>1.4278519431970162E-4</v>
      </c>
      <c r="T443" s="5">
        <v>1.0551186342705448E-5</v>
      </c>
      <c r="U443" s="5">
        <v>1.0551186342705448E-5</v>
      </c>
      <c r="V443" s="5">
        <v>0</v>
      </c>
      <c r="W443" s="5">
        <v>0</v>
      </c>
      <c r="X443" s="5">
        <v>2.5676895508585638</v>
      </c>
      <c r="Y443" s="5">
        <v>5348.3496791846883</v>
      </c>
      <c r="Z443" s="5">
        <f t="shared" ref="Z443:AA443" si="225">Z442+0.0002</f>
        <v>6.0000000000000006E-4</v>
      </c>
      <c r="AA443" s="5">
        <f t="shared" si="225"/>
        <v>8.0000000000000004E-4</v>
      </c>
      <c r="AB443" s="4">
        <v>2</v>
      </c>
    </row>
    <row r="444" spans="1:28" x14ac:dyDescent="0.25">
      <c r="C444" s="4">
        <v>11</v>
      </c>
      <c r="D444" s="5">
        <v>144510911169.62833</v>
      </c>
      <c r="E444" s="5">
        <v>144510911169.62833</v>
      </c>
      <c r="F444" s="5">
        <v>0.35189075853641949</v>
      </c>
      <c r="G444" s="5">
        <v>0</v>
      </c>
      <c r="H444" s="5">
        <v>53343093086.034058</v>
      </c>
      <c r="I444" s="5">
        <v>52042154654.301704</v>
      </c>
      <c r="J444" s="5">
        <v>52042154654.301704</v>
      </c>
      <c r="K444" s="5">
        <v>-2.1003412300972946E-11</v>
      </c>
      <c r="L444" s="5">
        <v>-2.1003412300972946E-11</v>
      </c>
      <c r="M444" s="5">
        <v>0</v>
      </c>
      <c r="N444" s="5">
        <v>2.0000000000000001E-4</v>
      </c>
      <c r="O444" s="5">
        <v>102.02096568952712</v>
      </c>
      <c r="P444" s="5">
        <v>102.02096568952712</v>
      </c>
      <c r="Q444" s="5">
        <v>3.9450987392886447E-9</v>
      </c>
      <c r="R444" s="5">
        <v>0</v>
      </c>
      <c r="S444" s="5">
        <v>1.1832789030391723E-4</v>
      </c>
      <c r="T444" s="5">
        <v>1.1499530784133822E-5</v>
      </c>
      <c r="U444" s="5">
        <v>1.1499530784133822E-5</v>
      </c>
      <c r="V444" s="5">
        <v>0</v>
      </c>
      <c r="W444" s="5">
        <v>0</v>
      </c>
      <c r="X444" s="5">
        <v>2.68415290331468</v>
      </c>
      <c r="Y444" s="5">
        <v>5431.5377880819142</v>
      </c>
      <c r="Z444" s="5">
        <f t="shared" ref="Z444:AA444" si="226">Z443+0.0002</f>
        <v>8.0000000000000004E-4</v>
      </c>
      <c r="AA444" s="5">
        <f t="shared" si="226"/>
        <v>1E-3</v>
      </c>
      <c r="AB444" s="4">
        <v>2</v>
      </c>
    </row>
    <row r="445" spans="1:28" x14ac:dyDescent="0.25">
      <c r="B445" t="s">
        <v>187</v>
      </c>
      <c r="C445" s="11">
        <v>12</v>
      </c>
      <c r="D445" s="5">
        <v>129585872382.24188</v>
      </c>
      <c r="E445" s="5">
        <v>129585872382.24188</v>
      </c>
      <c r="F445" s="5">
        <v>0.32816430324349155</v>
      </c>
      <c r="G445" s="5">
        <v>0</v>
      </c>
      <c r="H445" s="5">
        <v>48659438077.359627</v>
      </c>
      <c r="I445" s="5">
        <v>51807971903.867981</v>
      </c>
      <c r="J445" s="5">
        <v>51807971903.867981</v>
      </c>
      <c r="K445" s="5">
        <v>-5.216452661432565E-11</v>
      </c>
      <c r="L445" s="5">
        <v>-5.216452661432565E-11</v>
      </c>
      <c r="M445" s="5">
        <v>0</v>
      </c>
      <c r="N445" s="5">
        <v>2.0000000000000001E-4</v>
      </c>
      <c r="O445" s="5">
        <v>47.986590805902154</v>
      </c>
      <c r="P445" s="5">
        <v>47.986590805902154</v>
      </c>
      <c r="Q445" s="5">
        <v>9.660155294919599E-9</v>
      </c>
      <c r="R445" s="5">
        <v>0</v>
      </c>
      <c r="S445" s="5">
        <v>6.0953116447655389E-5</v>
      </c>
      <c r="T445" s="5">
        <v>1.3724266913254178E-5</v>
      </c>
      <c r="U445" s="5">
        <v>1.3724266913254178E-5</v>
      </c>
      <c r="V445" s="5">
        <v>0</v>
      </c>
      <c r="W445" s="5">
        <v>0</v>
      </c>
      <c r="X445" s="5">
        <v>2.957366112154022</v>
      </c>
      <c r="Y445" s="5">
        <v>5626.6900801100155</v>
      </c>
      <c r="Z445" s="5">
        <f t="shared" ref="Z445:AA445" si="227">Z444+0.0002</f>
        <v>1E-3</v>
      </c>
      <c r="AA445" s="5">
        <f t="shared" si="227"/>
        <v>1.2000000000000001E-3</v>
      </c>
      <c r="AB445" s="4">
        <v>2</v>
      </c>
    </row>
    <row r="449" spans="1:28" x14ac:dyDescent="0.25">
      <c r="A449" s="15" t="s">
        <v>136</v>
      </c>
      <c r="C449" s="10" t="s">
        <v>27</v>
      </c>
      <c r="D449" s="10" t="s">
        <v>28</v>
      </c>
      <c r="E449" s="10" t="s">
        <v>29</v>
      </c>
      <c r="F449" s="10" t="s">
        <v>30</v>
      </c>
      <c r="G449" s="10" t="s">
        <v>31</v>
      </c>
      <c r="H449" s="10" t="s">
        <v>47</v>
      </c>
      <c r="I449" s="10" t="s">
        <v>32</v>
      </c>
      <c r="J449" s="10" t="s">
        <v>33</v>
      </c>
      <c r="K449" s="10" t="s">
        <v>34</v>
      </c>
      <c r="L449" s="10" t="s">
        <v>35</v>
      </c>
      <c r="M449" s="10" t="s">
        <v>36</v>
      </c>
      <c r="N449" s="10" t="s">
        <v>37</v>
      </c>
      <c r="O449" s="10" t="s">
        <v>38</v>
      </c>
      <c r="P449" s="10" t="s">
        <v>39</v>
      </c>
      <c r="Q449" s="10" t="s">
        <v>40</v>
      </c>
      <c r="R449" s="10" t="s">
        <v>41</v>
      </c>
      <c r="S449" s="10" t="s">
        <v>42</v>
      </c>
      <c r="T449" s="10" t="s">
        <v>102</v>
      </c>
      <c r="U449" s="10" t="s">
        <v>77</v>
      </c>
      <c r="V449" s="10" t="s">
        <v>78</v>
      </c>
      <c r="W449" s="10" t="s">
        <v>79</v>
      </c>
      <c r="X449" s="10" t="s">
        <v>80</v>
      </c>
      <c r="Y449" s="10" t="s">
        <v>43</v>
      </c>
      <c r="Z449" s="10" t="s">
        <v>44</v>
      </c>
      <c r="AA449" s="10" t="s">
        <v>45</v>
      </c>
      <c r="AB449" s="10" t="s">
        <v>46</v>
      </c>
    </row>
    <row r="450" spans="1:28" x14ac:dyDescent="0.25">
      <c r="A450" s="12" t="s">
        <v>140</v>
      </c>
      <c r="B450" t="s">
        <v>183</v>
      </c>
      <c r="C450" s="11">
        <v>1</v>
      </c>
      <c r="D450" s="5">
        <v>152313263200.12247</v>
      </c>
      <c r="E450" s="5">
        <v>152313263200.12247</v>
      </c>
      <c r="F450" s="5">
        <v>0.36225821104721423</v>
      </c>
      <c r="G450" s="5">
        <v>0</v>
      </c>
      <c r="H450" s="5">
        <v>55658333333.333145</v>
      </c>
      <c r="I450" s="5">
        <v>51334999999.999992</v>
      </c>
      <c r="J450" s="5">
        <v>51334999999.999992</v>
      </c>
      <c r="K450" s="5">
        <v>6.6531617413283507E-13</v>
      </c>
      <c r="L450" s="5">
        <v>6.6531617413283507E-13</v>
      </c>
      <c r="M450" s="5">
        <v>0</v>
      </c>
      <c r="N450" s="5">
        <v>2.0000000000000001E-4</v>
      </c>
      <c r="O450" s="5">
        <v>137.28787878787656</v>
      </c>
      <c r="P450" s="5">
        <v>137.28787878787656</v>
      </c>
      <c r="Q450" s="5">
        <v>-3.0571296296065095E-11</v>
      </c>
      <c r="R450" s="5">
        <v>0</v>
      </c>
      <c r="S450" s="5">
        <v>1.5560833333333099E-4</v>
      </c>
      <c r="T450" s="5">
        <v>9.7858333333334236E-6</v>
      </c>
      <c r="U450" s="5">
        <v>9.7858333333334236E-6</v>
      </c>
      <c r="V450" s="5">
        <v>0</v>
      </c>
      <c r="W450" s="5">
        <v>0</v>
      </c>
      <c r="X450" s="5">
        <v>2.4525000000000112</v>
      </c>
      <c r="Y450" s="5">
        <v>5207.5000000000082</v>
      </c>
      <c r="Z450" s="5">
        <v>-1.1999999999999999E-3</v>
      </c>
      <c r="AA450" s="5">
        <v>-1E-3</v>
      </c>
      <c r="AB450" s="4">
        <v>2</v>
      </c>
    </row>
    <row r="451" spans="1:28" x14ac:dyDescent="0.25">
      <c r="C451" s="4">
        <v>2</v>
      </c>
      <c r="D451" s="5">
        <v>147798228238.81204</v>
      </c>
      <c r="E451" s="5">
        <v>147798228238.81204</v>
      </c>
      <c r="F451" s="5">
        <v>0.35100860365189879</v>
      </c>
      <c r="G451" s="5">
        <v>0</v>
      </c>
      <c r="H451" s="5">
        <v>53974999988.824127</v>
      </c>
      <c r="I451" s="5">
        <v>49604999999.441208</v>
      </c>
      <c r="J451" s="5">
        <v>49604999999.441208</v>
      </c>
      <c r="K451" s="5">
        <v>1.9959484480474108E-12</v>
      </c>
      <c r="L451" s="5">
        <v>1.9959484480474108E-12</v>
      </c>
      <c r="M451" s="5">
        <v>0</v>
      </c>
      <c r="N451" s="5">
        <v>2.0000000000000001E-4</v>
      </c>
      <c r="O451" s="5">
        <v>134.98051935158571</v>
      </c>
      <c r="P451" s="5">
        <v>134.98051935158571</v>
      </c>
      <c r="Q451" s="5">
        <v>-2.777138752519464E-10</v>
      </c>
      <c r="R451" s="5">
        <v>0</v>
      </c>
      <c r="S451" s="5">
        <v>1.5282499986309556E-4</v>
      </c>
      <c r="T451" s="5">
        <v>9.3575000053085399E-6</v>
      </c>
      <c r="U451" s="5">
        <v>9.3575000053085399E-6</v>
      </c>
      <c r="V451" s="5">
        <v>0</v>
      </c>
      <c r="W451" s="5">
        <v>0</v>
      </c>
      <c r="X451" s="5">
        <v>2.3575000006519256</v>
      </c>
      <c r="Y451" s="5">
        <v>5022.5000004656613</v>
      </c>
      <c r="Z451" s="5">
        <f t="shared" ref="Z451:AA451" si="228">Z450+0.0002</f>
        <v>-9.999999999999998E-4</v>
      </c>
      <c r="AA451" s="5">
        <f t="shared" si="228"/>
        <v>-8.0000000000000004E-4</v>
      </c>
      <c r="AB451" s="4">
        <v>2</v>
      </c>
    </row>
    <row r="452" spans="1:28" x14ac:dyDescent="0.25">
      <c r="C452" s="4">
        <v>3</v>
      </c>
      <c r="D452" s="5">
        <v>143283187458.9426</v>
      </c>
      <c r="E452" s="5">
        <v>143283187458.9426</v>
      </c>
      <c r="F452" s="5">
        <v>0.33975898700677271</v>
      </c>
      <c r="G452" s="5">
        <v>0</v>
      </c>
      <c r="H452" s="5">
        <v>52291664818.38195</v>
      </c>
      <c r="I452" s="5">
        <v>47874999907.585762</v>
      </c>
      <c r="J452" s="5">
        <v>47874999907.585762</v>
      </c>
      <c r="K452" s="5">
        <v>3.3265685737333171E-12</v>
      </c>
      <c r="L452" s="5">
        <v>3.3265685737333171E-12</v>
      </c>
      <c r="M452" s="5">
        <v>0</v>
      </c>
      <c r="N452" s="5">
        <v>2.0000000000000001E-4</v>
      </c>
      <c r="O452" s="5">
        <v>132.67313884987541</v>
      </c>
      <c r="P452" s="5">
        <v>132.67313884987541</v>
      </c>
      <c r="Q452" s="5">
        <v>-5.2485422618051144E-10</v>
      </c>
      <c r="R452" s="5">
        <v>0</v>
      </c>
      <c r="S452" s="5">
        <v>1.5004164402517887E-4</v>
      </c>
      <c r="T452" s="5">
        <v>8.9291675446019075E-6</v>
      </c>
      <c r="U452" s="5">
        <v>8.9291675446019075E-6</v>
      </c>
      <c r="V452" s="5">
        <v>0</v>
      </c>
      <c r="W452" s="5">
        <v>0</v>
      </c>
      <c r="X452" s="5">
        <v>2.2625001078166087</v>
      </c>
      <c r="Y452" s="5">
        <v>4837.5000770118631</v>
      </c>
      <c r="Z452" s="5">
        <f t="shared" ref="Z452:AA452" si="229">Z451+0.0002</f>
        <v>-7.9999999999999982E-4</v>
      </c>
      <c r="AA452" s="5">
        <f t="shared" si="229"/>
        <v>-6.0000000000000006E-4</v>
      </c>
      <c r="AB452" s="4">
        <v>2</v>
      </c>
    </row>
    <row r="453" spans="1:28" x14ac:dyDescent="0.25">
      <c r="C453" s="4">
        <v>4</v>
      </c>
      <c r="D453" s="5">
        <v>138767988058.25662</v>
      </c>
      <c r="E453" s="5">
        <v>138767988058.25662</v>
      </c>
      <c r="F453" s="5">
        <v>0.32850911820084738</v>
      </c>
      <c r="G453" s="5">
        <v>0</v>
      </c>
      <c r="H453" s="5">
        <v>50608279870.837547</v>
      </c>
      <c r="I453" s="5">
        <v>46144997326.875214</v>
      </c>
      <c r="J453" s="5">
        <v>46144997326.875214</v>
      </c>
      <c r="K453" s="5">
        <v>4.6568575243070765E-12</v>
      </c>
      <c r="L453" s="5">
        <v>4.6568575243070765E-12</v>
      </c>
      <c r="M453" s="5">
        <v>0</v>
      </c>
      <c r="N453" s="5">
        <v>2.0000000000000001E-4</v>
      </c>
      <c r="O453" s="5">
        <v>130.36518407986455</v>
      </c>
      <c r="P453" s="5">
        <v>130.36518407986455</v>
      </c>
      <c r="Q453" s="5">
        <v>-7.7193383844367755E-10</v>
      </c>
      <c r="R453" s="5">
        <v>0</v>
      </c>
      <c r="S453" s="5">
        <v>1.4725767841775991E-4</v>
      </c>
      <c r="T453" s="5">
        <v>8.5008587280188334E-6</v>
      </c>
      <c r="U453" s="5">
        <v>8.5008587280188334E-6</v>
      </c>
      <c r="V453" s="5">
        <v>0</v>
      </c>
      <c r="W453" s="5">
        <v>0</v>
      </c>
      <c r="X453" s="5">
        <v>2.167503118645588</v>
      </c>
      <c r="Y453" s="5">
        <v>4652.5022276039917</v>
      </c>
      <c r="Z453" s="5">
        <f t="shared" ref="Z453:AA453" si="230">Z452+0.0002</f>
        <v>-5.9999999999999984E-4</v>
      </c>
      <c r="AA453" s="5">
        <f t="shared" si="230"/>
        <v>-4.0000000000000007E-4</v>
      </c>
      <c r="AB453" s="4">
        <v>2</v>
      </c>
    </row>
    <row r="454" spans="1:28" x14ac:dyDescent="0.25">
      <c r="C454" s="4">
        <v>5</v>
      </c>
      <c r="D454" s="5">
        <v>134251020568.89566</v>
      </c>
      <c r="E454" s="5">
        <v>134251020568.89566</v>
      </c>
      <c r="F454" s="5">
        <v>0.31725643865000547</v>
      </c>
      <c r="G454" s="5">
        <v>0</v>
      </c>
      <c r="H454" s="5">
        <v>48924340075.999496</v>
      </c>
      <c r="I454" s="5">
        <v>44414967003.799973</v>
      </c>
      <c r="J454" s="5">
        <v>44414967003.799973</v>
      </c>
      <c r="K454" s="5">
        <v>5.9834549860945325E-12</v>
      </c>
      <c r="L454" s="5">
        <v>5.9834549860945325E-12</v>
      </c>
      <c r="M454" s="5">
        <v>0</v>
      </c>
      <c r="N454" s="5">
        <v>2.0000000000000001E-4</v>
      </c>
      <c r="O454" s="5">
        <v>128.050828149518</v>
      </c>
      <c r="P454" s="5">
        <v>128.050828149518</v>
      </c>
      <c r="Q454" s="5">
        <v>-1.0183364188466844E-9</v>
      </c>
      <c r="R454" s="5">
        <v>0</v>
      </c>
      <c r="S454" s="5">
        <v>1.4446691593099386E-4</v>
      </c>
      <c r="T454" s="5">
        <v>8.0728134639002387E-6</v>
      </c>
      <c r="U454" s="5">
        <v>8.0728134639002387E-6</v>
      </c>
      <c r="V454" s="5">
        <v>0</v>
      </c>
      <c r="W454" s="5">
        <v>0</v>
      </c>
      <c r="X454" s="5">
        <v>2.0725384955666959</v>
      </c>
      <c r="Y454" s="5">
        <v>4467.5274968333542</v>
      </c>
      <c r="Z454" s="5">
        <f t="shared" ref="Z454:AA454" si="231">Z453+0.0002</f>
        <v>-3.9999999999999986E-4</v>
      </c>
      <c r="AA454" s="5">
        <f t="shared" si="231"/>
        <v>-2.0000000000000006E-4</v>
      </c>
      <c r="AB454" s="4">
        <v>2</v>
      </c>
    </row>
    <row r="455" spans="1:28" x14ac:dyDescent="0.25">
      <c r="C455" s="4">
        <v>6</v>
      </c>
      <c r="D455" s="5">
        <v>129722445348.11131</v>
      </c>
      <c r="E455" s="5">
        <v>129722445348.11131</v>
      </c>
      <c r="F455" s="5">
        <v>0.30598530619431064</v>
      </c>
      <c r="G455" s="5">
        <v>0</v>
      </c>
      <c r="H455" s="5">
        <v>47236757636.730515</v>
      </c>
      <c r="I455" s="5">
        <v>42684754548.503189</v>
      </c>
      <c r="J455" s="5">
        <v>42684754548.503189</v>
      </c>
      <c r="K455" s="5">
        <v>7.2858173453167787E-12</v>
      </c>
      <c r="L455" s="5">
        <v>7.2858173453167787E-12</v>
      </c>
      <c r="M455" s="5">
        <v>0</v>
      </c>
      <c r="N455" s="5">
        <v>2.0000000000000001E-4</v>
      </c>
      <c r="O455" s="5">
        <v>125.69444777151584</v>
      </c>
      <c r="P455" s="5">
        <v>125.69444777151584</v>
      </c>
      <c r="Q455" s="5">
        <v>-1.2602941972955988E-9</v>
      </c>
      <c r="R455" s="5">
        <v>0</v>
      </c>
      <c r="S455" s="5">
        <v>1.4163153104994886E-4</v>
      </c>
      <c r="T455" s="5">
        <v>7.6464984558863374E-6</v>
      </c>
      <c r="U455" s="5">
        <v>7.6464984558863374E-6</v>
      </c>
      <c r="V455" s="5">
        <v>0</v>
      </c>
      <c r="W455" s="5">
        <v>0</v>
      </c>
      <c r="X455" s="5">
        <v>1.9777863600796088</v>
      </c>
      <c r="Y455" s="5">
        <v>4282.7045429140062</v>
      </c>
      <c r="Z455" s="5">
        <f t="shared" ref="Z455:AA455" si="232">Z454+0.0002</f>
        <v>-1.9999999999999985E-4</v>
      </c>
      <c r="AA455" s="5">
        <f t="shared" si="232"/>
        <v>0</v>
      </c>
      <c r="AB455" s="4">
        <v>2</v>
      </c>
    </row>
    <row r="456" spans="1:28" x14ac:dyDescent="0.25">
      <c r="C456" s="4">
        <v>7</v>
      </c>
      <c r="D456" s="5">
        <v>125139909261.49152</v>
      </c>
      <c r="E456" s="5">
        <v>125139909261.49152</v>
      </c>
      <c r="F456" s="5">
        <v>0.29462839171224708</v>
      </c>
      <c r="G456" s="5">
        <v>0</v>
      </c>
      <c r="H456" s="5">
        <v>45532241634.799286</v>
      </c>
      <c r="I456" s="5">
        <v>40953695415.073296</v>
      </c>
      <c r="J456" s="5">
        <v>40953695415.073296</v>
      </c>
      <c r="K456" s="5">
        <v>8.4755179732899134E-12</v>
      </c>
      <c r="L456" s="5">
        <v>8.4755179732899134E-12</v>
      </c>
      <c r="M456" s="5">
        <v>0</v>
      </c>
      <c r="N456" s="5">
        <v>2.0000000000000001E-4</v>
      </c>
      <c r="O456" s="5">
        <v>123.14270832643618</v>
      </c>
      <c r="P456" s="5">
        <v>123.14270832643618</v>
      </c>
      <c r="Q456" s="5">
        <v>-1.4815894230748846E-9</v>
      </c>
      <c r="R456" s="5">
        <v>0</v>
      </c>
      <c r="S456" s="5">
        <v>1.3858871002629124E-4</v>
      </c>
      <c r="T456" s="5">
        <v>7.2282268901370072E-6</v>
      </c>
      <c r="U456" s="5">
        <v>7.2282268901370072E-6</v>
      </c>
      <c r="V456" s="5">
        <v>0</v>
      </c>
      <c r="W456" s="5">
        <v>0</v>
      </c>
      <c r="X456" s="5">
        <v>1.8840220157478194</v>
      </c>
      <c r="Y456" s="5">
        <v>4098.5871541055849</v>
      </c>
      <c r="Z456" s="5">
        <f t="shared" ref="Z456:AA456" si="233">Z455+0.0002</f>
        <v>0</v>
      </c>
      <c r="AA456" s="5">
        <f t="shared" si="233"/>
        <v>2.0000000000000001E-4</v>
      </c>
      <c r="AB456" s="4">
        <v>2</v>
      </c>
    </row>
    <row r="457" spans="1:28" x14ac:dyDescent="0.25">
      <c r="C457" s="4">
        <v>8</v>
      </c>
      <c r="D457" s="5">
        <v>120360232804.94638</v>
      </c>
      <c r="E457" s="5">
        <v>120360232804.94638</v>
      </c>
      <c r="F457" s="5">
        <v>0.2829580815841089</v>
      </c>
      <c r="G457" s="5">
        <v>0</v>
      </c>
      <c r="H457" s="5">
        <v>43765860635.787247</v>
      </c>
      <c r="I457" s="5">
        <v>39219543031.78936</v>
      </c>
      <c r="J457" s="5">
        <v>39219543031.78936</v>
      </c>
      <c r="K457" s="5">
        <v>9.2536207695568825E-12</v>
      </c>
      <c r="L457" s="5">
        <v>9.2536207695568825E-12</v>
      </c>
      <c r="M457" s="5">
        <v>0</v>
      </c>
      <c r="N457" s="5">
        <v>2.0000000000000001E-4</v>
      </c>
      <c r="O457" s="5">
        <v>119.87724499728576</v>
      </c>
      <c r="P457" s="5">
        <v>119.87724499728576</v>
      </c>
      <c r="Q457" s="5">
        <v>-1.6273961774625092E-9</v>
      </c>
      <c r="R457" s="5">
        <v>0</v>
      </c>
      <c r="S457" s="5">
        <v>1.3478804278839378E-4</v>
      </c>
      <c r="T457" s="5">
        <v>6.8393411980010576E-6</v>
      </c>
      <c r="U457" s="5">
        <v>6.8393411980010576E-6</v>
      </c>
      <c r="V457" s="5">
        <v>0</v>
      </c>
      <c r="W457" s="5">
        <v>0</v>
      </c>
      <c r="X457" s="5">
        <v>1.7938664629124104</v>
      </c>
      <c r="Y457" s="5">
        <v>3917.0474735088646</v>
      </c>
      <c r="Z457" s="5">
        <f t="shared" ref="Z457:AA457" si="234">Z456+0.0002</f>
        <v>2.0000000000000001E-4</v>
      </c>
      <c r="AA457" s="5">
        <f t="shared" si="234"/>
        <v>4.0000000000000002E-4</v>
      </c>
      <c r="AB457" s="4">
        <v>2</v>
      </c>
    </row>
    <row r="458" spans="1:28" x14ac:dyDescent="0.25">
      <c r="C458" s="4">
        <v>9</v>
      </c>
      <c r="D458" s="5">
        <v>114977109678.62874</v>
      </c>
      <c r="E458" s="5">
        <v>114977109678.62874</v>
      </c>
      <c r="F458" s="5">
        <v>0.27032846738741945</v>
      </c>
      <c r="G458" s="5">
        <v>0</v>
      </c>
      <c r="H458" s="5">
        <v>41810110881.516991</v>
      </c>
      <c r="I458" s="5">
        <v>37475922210.742516</v>
      </c>
      <c r="J458" s="5">
        <v>37475922210.742516</v>
      </c>
      <c r="K458" s="5">
        <v>8.7718226083345018E-12</v>
      </c>
      <c r="L458" s="5">
        <v>8.7718226083345018E-12</v>
      </c>
      <c r="M458" s="5">
        <v>0</v>
      </c>
      <c r="N458" s="5">
        <v>2.0000000000000001E-4</v>
      </c>
      <c r="O458" s="5">
        <v>114.42707286829486</v>
      </c>
      <c r="P458" s="5">
        <v>114.42707286829486</v>
      </c>
      <c r="Q458" s="5">
        <v>-1.5421327219038923E-9</v>
      </c>
      <c r="R458" s="5">
        <v>0</v>
      </c>
      <c r="S458" s="5">
        <v>1.2866760829858314E-4</v>
      </c>
      <c r="T458" s="5">
        <v>6.5404056646127617E-6</v>
      </c>
      <c r="U458" s="5">
        <v>6.5404056646127617E-6</v>
      </c>
      <c r="V458" s="5">
        <v>0</v>
      </c>
      <c r="W458" s="5">
        <v>0</v>
      </c>
      <c r="X458" s="5">
        <v>1.7147574208003977</v>
      </c>
      <c r="Y458" s="5">
        <v>3743.3981577145696</v>
      </c>
      <c r="Z458" s="5">
        <f t="shared" ref="Z458:AA458" si="235">Z457+0.0002</f>
        <v>4.0000000000000002E-4</v>
      </c>
      <c r="AA458" s="5">
        <f t="shared" si="235"/>
        <v>6.0000000000000006E-4</v>
      </c>
      <c r="AB458" s="4">
        <v>2</v>
      </c>
    </row>
    <row r="459" spans="1:28" x14ac:dyDescent="0.25">
      <c r="C459" s="4">
        <v>10</v>
      </c>
      <c r="D459" s="5">
        <v>107980217063.13519</v>
      </c>
      <c r="E459" s="5">
        <v>107980217063.13519</v>
      </c>
      <c r="F459" s="5">
        <v>0.25513343073632522</v>
      </c>
      <c r="G459" s="5">
        <v>0</v>
      </c>
      <c r="H459" s="5">
        <v>39347941032.900818</v>
      </c>
      <c r="I459" s="5">
        <v>35706980384.978371</v>
      </c>
      <c r="J459" s="5">
        <v>35706980384.978371</v>
      </c>
      <c r="K459" s="5">
        <v>4.9207296503635576E-12</v>
      </c>
      <c r="L459" s="5">
        <v>4.9207296503635576E-12</v>
      </c>
      <c r="M459" s="5">
        <v>0</v>
      </c>
      <c r="N459" s="5">
        <v>2.0000000000000001E-4</v>
      </c>
      <c r="O459" s="5">
        <v>103.13443514868973</v>
      </c>
      <c r="P459" s="5">
        <v>103.13443514868973</v>
      </c>
      <c r="Q459" s="5">
        <v>-8.3892890251945605E-10</v>
      </c>
      <c r="R459" s="5">
        <v>0</v>
      </c>
      <c r="S459" s="5">
        <v>1.1634352765303495E-4</v>
      </c>
      <c r="T459" s="5">
        <v>6.4820196760387803E-6</v>
      </c>
      <c r="U459" s="5">
        <v>6.4820196760387803E-6</v>
      </c>
      <c r="V459" s="5">
        <v>0</v>
      </c>
      <c r="W459" s="5">
        <v>0</v>
      </c>
      <c r="X459" s="5">
        <v>1.6651895508585635</v>
      </c>
      <c r="Y459" s="5">
        <v>3590.8496791846883</v>
      </c>
      <c r="Z459" s="5">
        <f t="shared" ref="Z459:AA459" si="236">Z458+0.0002</f>
        <v>6.0000000000000006E-4</v>
      </c>
      <c r="AA459" s="5">
        <f t="shared" si="236"/>
        <v>8.0000000000000004E-4</v>
      </c>
      <c r="AB459" s="4">
        <v>2</v>
      </c>
    </row>
    <row r="460" spans="1:28" x14ac:dyDescent="0.25">
      <c r="C460" s="4">
        <v>11</v>
      </c>
      <c r="D460" s="5">
        <v>97103044449.802002</v>
      </c>
      <c r="E460" s="5">
        <v>97103044449.802002</v>
      </c>
      <c r="F460" s="5">
        <v>0.23376988148005157</v>
      </c>
      <c r="G460" s="5">
        <v>0</v>
      </c>
      <c r="H460" s="5">
        <v>35668093086.034058</v>
      </c>
      <c r="I460" s="5">
        <v>33877154654.301704</v>
      </c>
      <c r="J460" s="5">
        <v>33877154654.301704</v>
      </c>
      <c r="K460" s="5">
        <v>-7.031772644156933E-12</v>
      </c>
      <c r="L460" s="5">
        <v>-7.031772644156933E-12</v>
      </c>
      <c r="M460" s="5">
        <v>0</v>
      </c>
      <c r="N460" s="5">
        <v>2.0000000000000001E-4</v>
      </c>
      <c r="O460" s="5">
        <v>77.793692962254397</v>
      </c>
      <c r="P460" s="5">
        <v>77.793692962254397</v>
      </c>
      <c r="Q460" s="5">
        <v>1.350101517066422E-9</v>
      </c>
      <c r="R460" s="5">
        <v>0</v>
      </c>
      <c r="S460" s="5">
        <v>8.9102890303917234E-5</v>
      </c>
      <c r="T460" s="5">
        <v>7.0020307841338209E-6</v>
      </c>
      <c r="U460" s="5">
        <v>7.0020307841338209E-6</v>
      </c>
      <c r="V460" s="5">
        <v>0</v>
      </c>
      <c r="W460" s="5">
        <v>0</v>
      </c>
      <c r="X460" s="5">
        <v>1.68665290331468</v>
      </c>
      <c r="Y460" s="5">
        <v>3489.0377880819142</v>
      </c>
      <c r="Z460" s="5">
        <f t="shared" ref="Z460:AA460" si="237">Z459+0.0002</f>
        <v>8.0000000000000004E-4</v>
      </c>
      <c r="AA460" s="5">
        <f t="shared" si="237"/>
        <v>1E-3</v>
      </c>
      <c r="AB460" s="4">
        <v>2</v>
      </c>
    </row>
    <row r="461" spans="1:28" x14ac:dyDescent="0.25">
      <c r="B461" t="s">
        <v>187</v>
      </c>
      <c r="C461" s="11">
        <v>12</v>
      </c>
      <c r="D461" s="5">
        <v>77662970736.717789</v>
      </c>
      <c r="E461" s="5">
        <v>77662970736.717789</v>
      </c>
      <c r="F461" s="5">
        <v>0.1987938188484219</v>
      </c>
      <c r="G461" s="5">
        <v>0</v>
      </c>
      <c r="H461" s="5">
        <v>29301104744.026291</v>
      </c>
      <c r="I461" s="5">
        <v>31912971903.867977</v>
      </c>
      <c r="J461" s="5">
        <v>31912971903.867977</v>
      </c>
      <c r="K461" s="5">
        <v>-3.6862254609241448E-11</v>
      </c>
      <c r="L461" s="5">
        <v>-3.6862254609241448E-11</v>
      </c>
      <c r="M461" s="5">
        <v>0</v>
      </c>
      <c r="N461" s="5">
        <v>2.0000000000000001E-4</v>
      </c>
      <c r="O461" s="5">
        <v>21.451958771270117</v>
      </c>
      <c r="P461" s="5">
        <v>21.451958771270117</v>
      </c>
      <c r="Q461" s="5">
        <v>6.8180154801047828E-9</v>
      </c>
      <c r="R461" s="5">
        <v>0</v>
      </c>
      <c r="S461" s="5">
        <v>2.8944783114322053E-5</v>
      </c>
      <c r="T461" s="5">
        <v>8.7984335799208437E-6</v>
      </c>
      <c r="U461" s="5">
        <v>8.7984335799208437E-6</v>
      </c>
      <c r="V461" s="5">
        <v>0</v>
      </c>
      <c r="W461" s="5">
        <v>0</v>
      </c>
      <c r="X461" s="5">
        <v>1.8648661121540218</v>
      </c>
      <c r="Y461" s="5">
        <v>3499.1900801100151</v>
      </c>
      <c r="Z461" s="5">
        <f t="shared" ref="Z461:AA461" si="238">Z460+0.0002</f>
        <v>1E-3</v>
      </c>
      <c r="AA461" s="5">
        <f t="shared" si="238"/>
        <v>1.2000000000000001E-3</v>
      </c>
      <c r="AB461" s="4">
        <v>2</v>
      </c>
    </row>
    <row r="465" spans="1:28" x14ac:dyDescent="0.25">
      <c r="A465" s="15" t="s">
        <v>252</v>
      </c>
      <c r="C465" s="10" t="s">
        <v>27</v>
      </c>
      <c r="D465" s="10" t="s">
        <v>28</v>
      </c>
      <c r="E465" s="10" t="s">
        <v>29</v>
      </c>
      <c r="F465" s="10" t="s">
        <v>30</v>
      </c>
      <c r="G465" s="10" t="s">
        <v>31</v>
      </c>
      <c r="H465" s="10" t="s">
        <v>47</v>
      </c>
      <c r="I465" s="10" t="s">
        <v>32</v>
      </c>
      <c r="J465" s="10" t="s">
        <v>33</v>
      </c>
      <c r="K465" s="10" t="s">
        <v>34</v>
      </c>
      <c r="L465" s="10" t="s">
        <v>35</v>
      </c>
      <c r="M465" s="10" t="s">
        <v>36</v>
      </c>
      <c r="N465" s="10" t="s">
        <v>37</v>
      </c>
      <c r="O465" s="10" t="s">
        <v>38</v>
      </c>
      <c r="P465" s="10" t="s">
        <v>39</v>
      </c>
      <c r="Q465" s="10" t="s">
        <v>40</v>
      </c>
      <c r="R465" s="10" t="s">
        <v>41</v>
      </c>
      <c r="S465" s="10" t="s">
        <v>42</v>
      </c>
      <c r="T465" s="10" t="s">
        <v>102</v>
      </c>
      <c r="U465" s="10" t="s">
        <v>77</v>
      </c>
      <c r="V465" s="10" t="s">
        <v>78</v>
      </c>
      <c r="W465" s="10" t="s">
        <v>79</v>
      </c>
      <c r="X465" s="10" t="s">
        <v>80</v>
      </c>
      <c r="Y465" s="10" t="s">
        <v>43</v>
      </c>
      <c r="Z465" s="10" t="s">
        <v>44</v>
      </c>
      <c r="AA465" s="10" t="s">
        <v>45</v>
      </c>
      <c r="AB465" s="10" t="s">
        <v>46</v>
      </c>
    </row>
    <row r="466" spans="1:28" x14ac:dyDescent="0.25">
      <c r="A466" s="12" t="s">
        <v>140</v>
      </c>
      <c r="B466" t="s">
        <v>183</v>
      </c>
      <c r="C466" s="11">
        <v>1</v>
      </c>
      <c r="D466" s="5">
        <v>151184504468.69803</v>
      </c>
      <c r="E466" s="5">
        <v>151184504468.69803</v>
      </c>
      <c r="F466" s="5">
        <v>0.35944580921253882</v>
      </c>
      <c r="G466" s="5">
        <v>0</v>
      </c>
      <c r="H466" s="5">
        <v>55237499999.999809</v>
      </c>
      <c r="I466" s="5">
        <v>50902499999.999992</v>
      </c>
      <c r="J466" s="5">
        <v>50902499999.999992</v>
      </c>
      <c r="K466" s="5">
        <v>9.9797426119988238E-13</v>
      </c>
      <c r="L466" s="5">
        <v>9.9797426119988238E-13</v>
      </c>
      <c r="M466" s="5">
        <v>0</v>
      </c>
      <c r="N466" s="5">
        <v>2.0000000000000001E-4</v>
      </c>
      <c r="O466" s="5">
        <v>136.71103896103673</v>
      </c>
      <c r="P466" s="5">
        <v>136.71103896103673</v>
      </c>
      <c r="Q466" s="5">
        <v>-9.2356944444213087E-11</v>
      </c>
      <c r="R466" s="5">
        <v>0</v>
      </c>
      <c r="S466" s="5">
        <v>1.5491249999999767E-4</v>
      </c>
      <c r="T466" s="5">
        <v>9.6787500000000909E-6</v>
      </c>
      <c r="U466" s="5">
        <v>9.6787500000000909E-6</v>
      </c>
      <c r="V466" s="5">
        <v>0</v>
      </c>
      <c r="W466" s="5">
        <v>0</v>
      </c>
      <c r="X466" s="5">
        <v>2.4287500000000111</v>
      </c>
      <c r="Y466" s="5">
        <v>5161.2500000000082</v>
      </c>
      <c r="Z466" s="5">
        <v>-1.1999999999999999E-3</v>
      </c>
      <c r="AA466" s="5">
        <v>-1E-3</v>
      </c>
      <c r="AB466" s="4">
        <v>2</v>
      </c>
    </row>
    <row r="467" spans="1:28" x14ac:dyDescent="0.25">
      <c r="C467" s="4">
        <v>2</v>
      </c>
      <c r="D467" s="5">
        <v>144411952044.53876</v>
      </c>
      <c r="E467" s="5">
        <v>144411952044.53876</v>
      </c>
      <c r="F467" s="5">
        <v>0.34257139814787246</v>
      </c>
      <c r="G467" s="5">
        <v>0</v>
      </c>
      <c r="H467" s="5">
        <v>52712499988.824127</v>
      </c>
      <c r="I467" s="5">
        <v>48307499999.441208</v>
      </c>
      <c r="J467" s="5">
        <v>48307499999.441208</v>
      </c>
      <c r="K467" s="5">
        <v>2.9939227092485543E-12</v>
      </c>
      <c r="L467" s="5">
        <v>2.9939227092485543E-12</v>
      </c>
      <c r="M467" s="5">
        <v>0</v>
      </c>
      <c r="N467" s="5">
        <v>2.0000000000000001E-4</v>
      </c>
      <c r="O467" s="5">
        <v>133.24999987106622</v>
      </c>
      <c r="P467" s="5">
        <v>133.24999987106622</v>
      </c>
      <c r="Q467" s="5">
        <v>-4.6307081969639082E-10</v>
      </c>
      <c r="R467" s="5">
        <v>0</v>
      </c>
      <c r="S467" s="5">
        <v>1.5073749986309557E-4</v>
      </c>
      <c r="T467" s="5">
        <v>9.0362500053085385E-6</v>
      </c>
      <c r="U467" s="5">
        <v>9.0362500053085385E-6</v>
      </c>
      <c r="V467" s="5">
        <v>0</v>
      </c>
      <c r="W467" s="5">
        <v>0</v>
      </c>
      <c r="X467" s="5">
        <v>2.2862500006519255</v>
      </c>
      <c r="Y467" s="5">
        <v>4883.7500004656613</v>
      </c>
      <c r="Z467" s="5">
        <f t="shared" ref="Z467:AA467" si="239">Z466+0.0002</f>
        <v>-9.999999999999998E-4</v>
      </c>
      <c r="AA467" s="5">
        <f t="shared" si="239"/>
        <v>-8.0000000000000004E-4</v>
      </c>
      <c r="AB467" s="4">
        <v>2</v>
      </c>
    </row>
    <row r="468" spans="1:28" x14ac:dyDescent="0.25">
      <c r="C468" s="4">
        <v>3</v>
      </c>
      <c r="D468" s="5">
        <v>137639393801.8204</v>
      </c>
      <c r="E468" s="5">
        <v>137639393801.8204</v>
      </c>
      <c r="F468" s="5">
        <v>0.32569697783339557</v>
      </c>
      <c r="G468" s="5">
        <v>0</v>
      </c>
      <c r="H468" s="5">
        <v>50187498151.715286</v>
      </c>
      <c r="I468" s="5">
        <v>45712499907.585762</v>
      </c>
      <c r="J468" s="5">
        <v>45712499907.585762</v>
      </c>
      <c r="K468" s="5">
        <v>4.9898590090685561E-12</v>
      </c>
      <c r="L468" s="5">
        <v>4.9898590090685561E-12</v>
      </c>
      <c r="M468" s="5">
        <v>0</v>
      </c>
      <c r="N468" s="5">
        <v>2.0000000000000001E-4</v>
      </c>
      <c r="O468" s="5">
        <v>129.78893971567629</v>
      </c>
      <c r="P468" s="5">
        <v>129.78893971567629</v>
      </c>
      <c r="Q468" s="5">
        <v>-8.3378246692125209E-10</v>
      </c>
      <c r="R468" s="5">
        <v>0</v>
      </c>
      <c r="S468" s="5">
        <v>1.4656247735851221E-4</v>
      </c>
      <c r="T468" s="5">
        <v>8.3937508779352408E-6</v>
      </c>
      <c r="U468" s="5">
        <v>8.3937508779352408E-6</v>
      </c>
      <c r="V468" s="5">
        <v>0</v>
      </c>
      <c r="W468" s="5">
        <v>0</v>
      </c>
      <c r="X468" s="5">
        <v>2.1437501078166088</v>
      </c>
      <c r="Y468" s="5">
        <v>4606.2500770118631</v>
      </c>
      <c r="Z468" s="5">
        <f t="shared" ref="Z468:AA468" si="240">Z467+0.0002</f>
        <v>-7.9999999999999982E-4</v>
      </c>
      <c r="AA468" s="5">
        <f t="shared" si="240"/>
        <v>-6.0000000000000006E-4</v>
      </c>
      <c r="AB468" s="4">
        <v>2</v>
      </c>
    </row>
    <row r="469" spans="1:28" x14ac:dyDescent="0.25">
      <c r="C469" s="4">
        <v>4</v>
      </c>
      <c r="D469" s="5">
        <v>130866676938.28558</v>
      </c>
      <c r="E469" s="5">
        <v>130866676938.28558</v>
      </c>
      <c r="F469" s="5">
        <v>0.30882230535811944</v>
      </c>
      <c r="G469" s="5">
        <v>0</v>
      </c>
      <c r="H469" s="5">
        <v>47662446537.504211</v>
      </c>
      <c r="I469" s="5">
        <v>43117497326.875214</v>
      </c>
      <c r="J469" s="5">
        <v>43117497326.875214</v>
      </c>
      <c r="K469" s="5">
        <v>6.9854641337764109E-12</v>
      </c>
      <c r="L469" s="5">
        <v>6.9854641337764109E-12</v>
      </c>
      <c r="M469" s="5">
        <v>0</v>
      </c>
      <c r="N469" s="5">
        <v>2.0000000000000001E-4</v>
      </c>
      <c r="O469" s="5">
        <v>126.32730529198575</v>
      </c>
      <c r="P469" s="5">
        <v>126.32730529198575</v>
      </c>
      <c r="Q469" s="5">
        <v>-1.2044333754807143E-9</v>
      </c>
      <c r="R469" s="5">
        <v>0</v>
      </c>
      <c r="S469" s="5">
        <v>1.4238684508442655E-4</v>
      </c>
      <c r="T469" s="5">
        <v>7.7512753946855013E-6</v>
      </c>
      <c r="U469" s="5">
        <v>7.7512753946855013E-6</v>
      </c>
      <c r="V469" s="5">
        <v>0</v>
      </c>
      <c r="W469" s="5">
        <v>0</v>
      </c>
      <c r="X469" s="5">
        <v>2.0012531186455882</v>
      </c>
      <c r="Y469" s="5">
        <v>4328.7522276039917</v>
      </c>
      <c r="Z469" s="5">
        <f t="shared" ref="Z469:AA469" si="241">Z468+0.0002</f>
        <v>-5.9999999999999984E-4</v>
      </c>
      <c r="AA469" s="5">
        <f t="shared" si="241"/>
        <v>-4.0000000000000007E-4</v>
      </c>
      <c r="AB469" s="4">
        <v>2</v>
      </c>
    </row>
    <row r="470" spans="1:28" x14ac:dyDescent="0.25">
      <c r="C470" s="4">
        <v>5</v>
      </c>
      <c r="D470" s="5">
        <v>124092191986.07574</v>
      </c>
      <c r="E470" s="5">
        <v>124092191986.07574</v>
      </c>
      <c r="F470" s="5">
        <v>0.29194482213792661</v>
      </c>
      <c r="G470" s="5">
        <v>0</v>
      </c>
      <c r="H470" s="5">
        <v>45136840075.999496</v>
      </c>
      <c r="I470" s="5">
        <v>40522467003.799973</v>
      </c>
      <c r="J470" s="5">
        <v>40522467003.799973</v>
      </c>
      <c r="K470" s="5">
        <v>8.9773777696979631E-12</v>
      </c>
      <c r="L470" s="5">
        <v>8.9773777696979631E-12</v>
      </c>
      <c r="M470" s="5">
        <v>0</v>
      </c>
      <c r="N470" s="5">
        <v>2.0000000000000001E-4</v>
      </c>
      <c r="O470" s="5">
        <v>122.85926970795956</v>
      </c>
      <c r="P470" s="5">
        <v>122.85926970795956</v>
      </c>
      <c r="Q470" s="5">
        <v>-1.5744072521800174E-9</v>
      </c>
      <c r="R470" s="5">
        <v>0</v>
      </c>
      <c r="S470" s="5">
        <v>1.3820441593099386E-4</v>
      </c>
      <c r="T470" s="5">
        <v>7.109063463900238E-6</v>
      </c>
      <c r="U470" s="5">
        <v>7.109063463900238E-6</v>
      </c>
      <c r="V470" s="5">
        <v>0</v>
      </c>
      <c r="W470" s="5">
        <v>0</v>
      </c>
      <c r="X470" s="5">
        <v>1.8587884955666962</v>
      </c>
      <c r="Y470" s="5">
        <v>4051.2774968333542</v>
      </c>
      <c r="Z470" s="5">
        <f t="shared" ref="Z470:AA470" si="242">Z469+0.0002</f>
        <v>-3.9999999999999986E-4</v>
      </c>
      <c r="AA470" s="5">
        <f t="shared" si="242"/>
        <v>-2.0000000000000006E-4</v>
      </c>
      <c r="AB470" s="4">
        <v>2</v>
      </c>
    </row>
    <row r="471" spans="1:28" x14ac:dyDescent="0.25">
      <c r="C471" s="4">
        <v>6</v>
      </c>
      <c r="D471" s="5">
        <v>117306099302.44252</v>
      </c>
      <c r="E471" s="5">
        <v>117306099302.44252</v>
      </c>
      <c r="F471" s="5">
        <v>0.27504888601288097</v>
      </c>
      <c r="G471" s="5">
        <v>0</v>
      </c>
      <c r="H471" s="5">
        <v>42607590970.06385</v>
      </c>
      <c r="I471" s="5">
        <v>37927254548.503189</v>
      </c>
      <c r="J471" s="5">
        <v>37927254548.503189</v>
      </c>
      <c r="K471" s="5">
        <v>1.0945056303054306E-11</v>
      </c>
      <c r="L471" s="5">
        <v>1.0945056303054306E-11</v>
      </c>
      <c r="M471" s="5">
        <v>0</v>
      </c>
      <c r="N471" s="5">
        <v>2.0000000000000001E-4</v>
      </c>
      <c r="O471" s="5">
        <v>119.34920967627775</v>
      </c>
      <c r="P471" s="5">
        <v>119.34920967627775</v>
      </c>
      <c r="Q471" s="5">
        <v>-1.9399363269252284E-9</v>
      </c>
      <c r="R471" s="5">
        <v>0</v>
      </c>
      <c r="S471" s="5">
        <v>1.339773643832822E-4</v>
      </c>
      <c r="T471" s="5">
        <v>6.4685817892196713E-6</v>
      </c>
      <c r="U471" s="5">
        <v>6.4685817892196713E-6</v>
      </c>
      <c r="V471" s="5">
        <v>0</v>
      </c>
      <c r="W471" s="5">
        <v>0</v>
      </c>
      <c r="X471" s="5">
        <v>1.7165363600796089</v>
      </c>
      <c r="Y471" s="5">
        <v>3773.9545429140062</v>
      </c>
      <c r="Z471" s="5">
        <f t="shared" ref="Z471:AA471" si="243">Z470+0.0002</f>
        <v>-1.9999999999999985E-4</v>
      </c>
      <c r="AA471" s="5">
        <f t="shared" si="243"/>
        <v>0</v>
      </c>
      <c r="AB471" s="4">
        <v>2</v>
      </c>
    </row>
    <row r="472" spans="1:28" x14ac:dyDescent="0.25">
      <c r="C472" s="4">
        <v>7</v>
      </c>
      <c r="D472" s="5">
        <v>110466045752.97385</v>
      </c>
      <c r="E472" s="5">
        <v>110466045752.97385</v>
      </c>
      <c r="F472" s="5">
        <v>0.25806716786146661</v>
      </c>
      <c r="G472" s="5">
        <v>0</v>
      </c>
      <c r="H472" s="5">
        <v>40061408301.46595</v>
      </c>
      <c r="I472" s="5">
        <v>35331195415.073296</v>
      </c>
      <c r="J472" s="5">
        <v>35331195415.073296</v>
      </c>
      <c r="K472" s="5">
        <v>1.2800073105161537E-11</v>
      </c>
      <c r="L472" s="5">
        <v>1.2800073105161537E-11</v>
      </c>
      <c r="M472" s="5">
        <v>0</v>
      </c>
      <c r="N472" s="5">
        <v>2.0000000000000001E-4</v>
      </c>
      <c r="O472" s="5">
        <v>115.64379057751843</v>
      </c>
      <c r="P472" s="5">
        <v>115.64379057751843</v>
      </c>
      <c r="Q472" s="5">
        <v>-2.2848028490008104E-9</v>
      </c>
      <c r="R472" s="5">
        <v>0</v>
      </c>
      <c r="S472" s="5">
        <v>1.2954287669295791E-4</v>
      </c>
      <c r="T472" s="5">
        <v>5.8361435568036741E-6</v>
      </c>
      <c r="U472" s="5">
        <v>5.8361435568036741E-6</v>
      </c>
      <c r="V472" s="5">
        <v>0</v>
      </c>
      <c r="W472" s="5">
        <v>0</v>
      </c>
      <c r="X472" s="5">
        <v>1.5752720157478195</v>
      </c>
      <c r="Y472" s="5">
        <v>3497.3371541055849</v>
      </c>
      <c r="Z472" s="5">
        <f t="shared" ref="Z472:AA472" si="244">Z471+0.0002</f>
        <v>0</v>
      </c>
      <c r="AA472" s="5">
        <f t="shared" si="244"/>
        <v>2.0000000000000001E-4</v>
      </c>
      <c r="AB472" s="4">
        <v>2</v>
      </c>
    </row>
    <row r="473" spans="1:28" x14ac:dyDescent="0.25">
      <c r="C473" s="4">
        <v>8</v>
      </c>
      <c r="D473" s="5">
        <v>103428851833.57985</v>
      </c>
      <c r="E473" s="5">
        <v>103428851833.57985</v>
      </c>
      <c r="F473" s="5">
        <v>0.2407720540639775</v>
      </c>
      <c r="G473" s="5">
        <v>0</v>
      </c>
      <c r="H473" s="5">
        <v>37453360635.787247</v>
      </c>
      <c r="I473" s="5">
        <v>32732043031.78936</v>
      </c>
      <c r="J473" s="5">
        <v>32732043031.78936</v>
      </c>
      <c r="K473" s="5">
        <v>1.42434920755626E-11</v>
      </c>
      <c r="L473" s="5">
        <v>1.42434920755626E-11</v>
      </c>
      <c r="M473" s="5">
        <v>0</v>
      </c>
      <c r="N473" s="5">
        <v>2.0000000000000001E-4</v>
      </c>
      <c r="O473" s="5">
        <v>111.22464759468835</v>
      </c>
      <c r="P473" s="5">
        <v>111.22464759468835</v>
      </c>
      <c r="Q473" s="5">
        <v>-2.5541808996847315E-9</v>
      </c>
      <c r="R473" s="5">
        <v>0</v>
      </c>
      <c r="S473" s="5">
        <v>1.2435054278839378E-4</v>
      </c>
      <c r="T473" s="5">
        <v>5.2330911980010575E-6</v>
      </c>
      <c r="U473" s="5">
        <v>5.2330911980010575E-6</v>
      </c>
      <c r="V473" s="5">
        <v>0</v>
      </c>
      <c r="W473" s="5">
        <v>0</v>
      </c>
      <c r="X473" s="5">
        <v>1.4376164629124104</v>
      </c>
      <c r="Y473" s="5">
        <v>3223.2974735088646</v>
      </c>
      <c r="Z473" s="5">
        <f t="shared" ref="Z473:AA473" si="245">Z472+0.0002</f>
        <v>2.0000000000000001E-4</v>
      </c>
      <c r="AA473" s="5">
        <f t="shared" si="245"/>
        <v>4.0000000000000002E-4</v>
      </c>
      <c r="AB473" s="4">
        <v>2</v>
      </c>
    </row>
    <row r="474" spans="1:28" x14ac:dyDescent="0.25">
      <c r="C474" s="4">
        <v>9</v>
      </c>
      <c r="D474" s="5">
        <v>95788211244.41333</v>
      </c>
      <c r="E474" s="5">
        <v>95788211244.41333</v>
      </c>
      <c r="F474" s="5">
        <v>0.22251763619793721</v>
      </c>
      <c r="G474" s="5">
        <v>0</v>
      </c>
      <c r="H474" s="5">
        <v>34655944214.850327</v>
      </c>
      <c r="I474" s="5">
        <v>30123422210.742516</v>
      </c>
      <c r="J474" s="5">
        <v>30123422210.742516</v>
      </c>
      <c r="K474" s="5">
        <v>1.4427010088474313E-11</v>
      </c>
      <c r="L474" s="5">
        <v>1.4427010088474313E-11</v>
      </c>
      <c r="M474" s="5">
        <v>0</v>
      </c>
      <c r="N474" s="5">
        <v>2.0000000000000001E-4</v>
      </c>
      <c r="O474" s="5">
        <v>104.6207958120178</v>
      </c>
      <c r="P474" s="5">
        <v>104.6207958120178</v>
      </c>
      <c r="Q474" s="5">
        <v>-2.5924887404224107E-9</v>
      </c>
      <c r="R474" s="5">
        <v>0</v>
      </c>
      <c r="S474" s="5">
        <v>1.1683844163191648E-4</v>
      </c>
      <c r="T474" s="5">
        <v>4.7199889979460955E-6</v>
      </c>
      <c r="U474" s="5">
        <v>4.7199889979460955E-6</v>
      </c>
      <c r="V474" s="5">
        <v>0</v>
      </c>
      <c r="W474" s="5">
        <v>0</v>
      </c>
      <c r="X474" s="5">
        <v>1.3110074208003979</v>
      </c>
      <c r="Y474" s="5">
        <v>2957.1481577145696</v>
      </c>
      <c r="Z474" s="5">
        <f t="shared" ref="Z474:AA474" si="246">Z473+0.0002</f>
        <v>4.0000000000000002E-4</v>
      </c>
      <c r="AA474" s="5">
        <f t="shared" si="246"/>
        <v>6.0000000000000006E-4</v>
      </c>
      <c r="AB474" s="4">
        <v>2</v>
      </c>
    </row>
    <row r="475" spans="1:28" x14ac:dyDescent="0.25">
      <c r="C475" s="4">
        <v>10</v>
      </c>
      <c r="D475" s="5">
        <v>86533801166.070892</v>
      </c>
      <c r="E475" s="5">
        <v>86533801166.070892</v>
      </c>
      <c r="F475" s="5">
        <v>0.20169779587749209</v>
      </c>
      <c r="G475" s="5">
        <v>0</v>
      </c>
      <c r="H475" s="5">
        <v>31352107699.567478</v>
      </c>
      <c r="I475" s="5">
        <v>27489480384.978367</v>
      </c>
      <c r="J475" s="5">
        <v>27489480384.978367</v>
      </c>
      <c r="K475" s="5">
        <v>1.1241233304637468E-11</v>
      </c>
      <c r="L475" s="5">
        <v>1.1241233304637468E-11</v>
      </c>
      <c r="M475" s="5">
        <v>0</v>
      </c>
      <c r="N475" s="5">
        <v>2.0000000000000001E-4</v>
      </c>
      <c r="O475" s="5">
        <v>92.174478438733033</v>
      </c>
      <c r="P475" s="5">
        <v>92.174478438733033</v>
      </c>
      <c r="Q475" s="5">
        <v>-2.0128562173342712E-9</v>
      </c>
      <c r="R475" s="5">
        <v>0</v>
      </c>
      <c r="S475" s="5">
        <v>1.0312269431970162E-4</v>
      </c>
      <c r="T475" s="5">
        <v>4.4474363427054462E-6</v>
      </c>
      <c r="U475" s="5">
        <v>4.4474363427054462E-6</v>
      </c>
      <c r="V475" s="5">
        <v>0</v>
      </c>
      <c r="W475" s="5">
        <v>0</v>
      </c>
      <c r="X475" s="5">
        <v>1.2139395508585638</v>
      </c>
      <c r="Y475" s="5">
        <v>2712.0996791846878</v>
      </c>
      <c r="Z475" s="5">
        <f t="shared" ref="Z475:AA475" si="247">Z474+0.0002</f>
        <v>6.0000000000000006E-4</v>
      </c>
      <c r="AA475" s="5">
        <f t="shared" si="247"/>
        <v>8.0000000000000004E-4</v>
      </c>
      <c r="AB475" s="4">
        <v>2</v>
      </c>
    </row>
    <row r="476" spans="1:28" x14ac:dyDescent="0.25">
      <c r="C476" s="4">
        <v>11</v>
      </c>
      <c r="D476" s="5">
        <v>73399111089.888855</v>
      </c>
      <c r="E476" s="5">
        <v>73399111089.888855</v>
      </c>
      <c r="F476" s="5">
        <v>0.17470944295186763</v>
      </c>
      <c r="G476" s="5">
        <v>0</v>
      </c>
      <c r="H476" s="5">
        <v>26830593086.034058</v>
      </c>
      <c r="I476" s="5">
        <v>24794654654.301704</v>
      </c>
      <c r="J476" s="5">
        <v>24794654654.301704</v>
      </c>
      <c r="K476" s="5">
        <v>-4.5952815748929802E-14</v>
      </c>
      <c r="L476" s="5">
        <v>-4.5952815748929802E-14</v>
      </c>
      <c r="M476" s="5">
        <v>0</v>
      </c>
      <c r="N476" s="5">
        <v>2.0000000000000001E-4</v>
      </c>
      <c r="O476" s="5">
        <v>65.680056598618037</v>
      </c>
      <c r="P476" s="5">
        <v>65.680056598618037</v>
      </c>
      <c r="Q476" s="5">
        <v>5.2602905955311324E-11</v>
      </c>
      <c r="R476" s="5">
        <v>0</v>
      </c>
      <c r="S476" s="5">
        <v>7.4490390303917224E-5</v>
      </c>
      <c r="T476" s="5">
        <v>4.7532807841338207E-6</v>
      </c>
      <c r="U476" s="5">
        <v>4.7532807841338207E-6</v>
      </c>
      <c r="V476" s="5">
        <v>0</v>
      </c>
      <c r="W476" s="5">
        <v>0</v>
      </c>
      <c r="X476" s="5">
        <v>1.1879029033146802</v>
      </c>
      <c r="Y476" s="5">
        <v>2517.7877880819142</v>
      </c>
      <c r="Z476" s="5">
        <f t="shared" ref="Z476:AA476" si="248">Z475+0.0002</f>
        <v>8.0000000000000004E-4</v>
      </c>
      <c r="AA476" s="5">
        <f t="shared" si="248"/>
        <v>1E-3</v>
      </c>
      <c r="AB476" s="4">
        <v>2</v>
      </c>
    </row>
    <row r="477" spans="1:28" x14ac:dyDescent="0.25">
      <c r="B477" t="s">
        <v>187</v>
      </c>
      <c r="C477" s="11">
        <v>12</v>
      </c>
      <c r="D477" s="5">
        <v>51701519913.955765</v>
      </c>
      <c r="E477" s="5">
        <v>51701519913.955765</v>
      </c>
      <c r="F477" s="5">
        <v>0.1341085766508871</v>
      </c>
      <c r="G477" s="5">
        <v>0</v>
      </c>
      <c r="H477" s="5">
        <v>19621938077.359623</v>
      </c>
      <c r="I477" s="5">
        <v>21965471903.867977</v>
      </c>
      <c r="J477" s="5">
        <v>21965471903.867977</v>
      </c>
      <c r="K477" s="5">
        <v>-2.9211118606699337E-11</v>
      </c>
      <c r="L477" s="5">
        <v>-2.9211118606699337E-11</v>
      </c>
      <c r="M477" s="5">
        <v>0</v>
      </c>
      <c r="N477" s="5">
        <v>2.0000000000000001E-4</v>
      </c>
      <c r="O477" s="5">
        <v>8.1846427539541082</v>
      </c>
      <c r="P477" s="5">
        <v>8.1846427539541082</v>
      </c>
      <c r="Q477" s="5">
        <v>5.3969455726973756E-9</v>
      </c>
      <c r="R477" s="5">
        <v>0</v>
      </c>
      <c r="S477" s="5">
        <v>1.2940616447655381E-5</v>
      </c>
      <c r="T477" s="5">
        <v>6.3355169132541764E-6</v>
      </c>
      <c r="U477" s="5">
        <v>6.3355169132541764E-6</v>
      </c>
      <c r="V477" s="5">
        <v>0</v>
      </c>
      <c r="W477" s="5">
        <v>0</v>
      </c>
      <c r="X477" s="5">
        <v>1.3186161121540219</v>
      </c>
      <c r="Y477" s="5">
        <v>2435.4400801100151</v>
      </c>
      <c r="Z477" s="5">
        <f t="shared" ref="Z477:AA477" si="249">Z476+0.0002</f>
        <v>1E-3</v>
      </c>
      <c r="AA477" s="5">
        <f t="shared" si="249"/>
        <v>1.2000000000000001E-3</v>
      </c>
      <c r="AB477" s="4">
        <v>2</v>
      </c>
    </row>
    <row r="479" spans="1:28" x14ac:dyDescent="0.25">
      <c r="A479" s="15" t="s">
        <v>253</v>
      </c>
      <c r="C479" s="10" t="s">
        <v>27</v>
      </c>
      <c r="D479" s="10" t="s">
        <v>28</v>
      </c>
      <c r="E479" s="10" t="s">
        <v>29</v>
      </c>
      <c r="F479" s="10" t="s">
        <v>30</v>
      </c>
      <c r="G479" s="10" t="s">
        <v>31</v>
      </c>
      <c r="H479" s="10" t="s">
        <v>47</v>
      </c>
      <c r="I479" s="10" t="s">
        <v>32</v>
      </c>
      <c r="J479" s="10" t="s">
        <v>33</v>
      </c>
      <c r="K479" s="10" t="s">
        <v>34</v>
      </c>
      <c r="L479" s="10" t="s">
        <v>35</v>
      </c>
      <c r="M479" s="10" t="s">
        <v>36</v>
      </c>
      <c r="N479" s="10" t="s">
        <v>37</v>
      </c>
      <c r="O479" s="10" t="s">
        <v>38</v>
      </c>
      <c r="P479" s="10" t="s">
        <v>39</v>
      </c>
      <c r="Q479" s="10" t="s">
        <v>40</v>
      </c>
      <c r="R479" s="10" t="s">
        <v>41</v>
      </c>
      <c r="S479" s="10" t="s">
        <v>42</v>
      </c>
      <c r="T479" s="10" t="s">
        <v>102</v>
      </c>
      <c r="U479" s="10" t="s">
        <v>77</v>
      </c>
      <c r="V479" s="10" t="s">
        <v>78</v>
      </c>
      <c r="W479" s="10" t="s">
        <v>79</v>
      </c>
      <c r="X479" s="10" t="s">
        <v>80</v>
      </c>
      <c r="Y479" s="10" t="s">
        <v>43</v>
      </c>
      <c r="Z479" s="10" t="s">
        <v>44</v>
      </c>
      <c r="AA479" s="10" t="s">
        <v>45</v>
      </c>
      <c r="AB479" s="10" t="s">
        <v>46</v>
      </c>
    </row>
    <row r="480" spans="1:28" x14ac:dyDescent="0.25">
      <c r="A480" s="12" t="s">
        <v>180</v>
      </c>
      <c r="B480" t="s">
        <v>183</v>
      </c>
      <c r="C480" s="11">
        <v>1</v>
      </c>
      <c r="D480" s="5">
        <v>150055745737.27362</v>
      </c>
      <c r="E480" s="5">
        <v>150055745737.27362</v>
      </c>
      <c r="F480" s="5">
        <v>0.35663340737786342</v>
      </c>
      <c r="G480" s="5">
        <v>0</v>
      </c>
      <c r="H480" s="5">
        <v>54816666666.666481</v>
      </c>
      <c r="I480" s="5">
        <v>50470000000</v>
      </c>
      <c r="J480" s="5">
        <v>50470000000</v>
      </c>
      <c r="K480" s="5">
        <v>1.3306323482669295E-12</v>
      </c>
      <c r="L480" s="5">
        <v>1.3306323482669295E-12</v>
      </c>
      <c r="M480" s="5">
        <v>0</v>
      </c>
      <c r="N480" s="5">
        <v>2.0000000000000001E-4</v>
      </c>
      <c r="O480" s="5">
        <v>136.13419913419693</v>
      </c>
      <c r="P480" s="5">
        <v>136.13419913419693</v>
      </c>
      <c r="Q480" s="5">
        <v>-1.5414259259236114E-10</v>
      </c>
      <c r="R480" s="5">
        <v>0</v>
      </c>
      <c r="S480" s="5">
        <v>1.5421666666666433E-4</v>
      </c>
      <c r="T480" s="5">
        <v>9.5716666666667583E-6</v>
      </c>
      <c r="U480" s="5">
        <v>9.5716666666667583E-6</v>
      </c>
      <c r="V480" s="5">
        <v>0</v>
      </c>
      <c r="W480" s="5">
        <v>0</v>
      </c>
      <c r="X480" s="5">
        <v>2.4050000000000114</v>
      </c>
      <c r="Y480" s="5">
        <v>5115.0000000000082</v>
      </c>
      <c r="Z480" s="5">
        <v>-1.1999999999999999E-3</v>
      </c>
      <c r="AA480" s="5">
        <v>-1E-3</v>
      </c>
      <c r="AB480" s="4">
        <v>2</v>
      </c>
    </row>
    <row r="481" spans="2:28" x14ac:dyDescent="0.25">
      <c r="C481" s="4">
        <v>2</v>
      </c>
      <c r="D481" s="5">
        <v>141025675850.26544</v>
      </c>
      <c r="E481" s="5">
        <v>141025675850.26544</v>
      </c>
      <c r="F481" s="5">
        <v>0.3341341926438462</v>
      </c>
      <c r="G481" s="5">
        <v>0</v>
      </c>
      <c r="H481" s="5">
        <v>51449999988.824127</v>
      </c>
      <c r="I481" s="5">
        <v>47009999999.441208</v>
      </c>
      <c r="J481" s="5">
        <v>47009999999.441208</v>
      </c>
      <c r="K481" s="5">
        <v>3.9918969704496983E-12</v>
      </c>
      <c r="L481" s="5">
        <v>3.9918969704496983E-12</v>
      </c>
      <c r="M481" s="5">
        <v>0</v>
      </c>
      <c r="N481" s="5">
        <v>2.0000000000000001E-4</v>
      </c>
      <c r="O481" s="5">
        <v>131.51948039054673</v>
      </c>
      <c r="P481" s="5">
        <v>131.51948039054673</v>
      </c>
      <c r="Q481" s="5">
        <v>-6.4842776414083529E-10</v>
      </c>
      <c r="R481" s="5">
        <v>0</v>
      </c>
      <c r="S481" s="5">
        <v>1.4864999986309558E-4</v>
      </c>
      <c r="T481" s="5">
        <v>8.7150000053085389E-6</v>
      </c>
      <c r="U481" s="5">
        <v>8.7150000053085389E-6</v>
      </c>
      <c r="V481" s="5">
        <v>0</v>
      </c>
      <c r="W481" s="5">
        <v>0</v>
      </c>
      <c r="X481" s="5">
        <v>2.2150000006519255</v>
      </c>
      <c r="Y481" s="5">
        <v>4745.0000004656613</v>
      </c>
      <c r="Z481" s="5">
        <f t="shared" ref="Z481:AA481" si="250">Z480+0.0002</f>
        <v>-9.999999999999998E-4</v>
      </c>
      <c r="AA481" s="5">
        <f t="shared" si="250"/>
        <v>-8.0000000000000004E-4</v>
      </c>
      <c r="AB481" s="4">
        <v>2</v>
      </c>
    </row>
    <row r="482" spans="2:28" x14ac:dyDescent="0.25">
      <c r="C482" s="4">
        <v>3</v>
      </c>
      <c r="D482" s="5">
        <v>131995600144.69823</v>
      </c>
      <c r="E482" s="5">
        <v>131995600144.69823</v>
      </c>
      <c r="F482" s="5">
        <v>0.31163496866001844</v>
      </c>
      <c r="G482" s="5">
        <v>0</v>
      </c>
      <c r="H482" s="5">
        <v>48083331485.048622</v>
      </c>
      <c r="I482" s="5">
        <v>43549999907.585762</v>
      </c>
      <c r="J482" s="5">
        <v>43549999907.585762</v>
      </c>
      <c r="K482" s="5">
        <v>6.6531494444037959E-12</v>
      </c>
      <c r="L482" s="5">
        <v>6.6531494444037959E-12</v>
      </c>
      <c r="M482" s="5">
        <v>0</v>
      </c>
      <c r="N482" s="5">
        <v>2.0000000000000001E-4</v>
      </c>
      <c r="O482" s="5">
        <v>126.90474058147716</v>
      </c>
      <c r="P482" s="5">
        <v>126.90474058147716</v>
      </c>
      <c r="Q482" s="5">
        <v>-1.142710707661993E-9</v>
      </c>
      <c r="R482" s="5">
        <v>0</v>
      </c>
      <c r="S482" s="5">
        <v>1.4308331069184555E-4</v>
      </c>
      <c r="T482" s="5">
        <v>7.8583342112685741E-6</v>
      </c>
      <c r="U482" s="5">
        <v>7.8583342112685741E-6</v>
      </c>
      <c r="V482" s="5">
        <v>0</v>
      </c>
      <c r="W482" s="5">
        <v>0</v>
      </c>
      <c r="X482" s="5">
        <v>2.0250001078166084</v>
      </c>
      <c r="Y482" s="5">
        <v>4375.0000770118631</v>
      </c>
      <c r="Z482" s="5">
        <f t="shared" ref="Z482:AA482" si="251">Z481+0.0002</f>
        <v>-7.9999999999999982E-4</v>
      </c>
      <c r="AA482" s="5">
        <f t="shared" si="251"/>
        <v>-6.0000000000000006E-4</v>
      </c>
      <c r="AB482" s="4">
        <v>2</v>
      </c>
    </row>
    <row r="483" spans="2:28" x14ac:dyDescent="0.25">
      <c r="C483" s="4">
        <v>4</v>
      </c>
      <c r="D483" s="5">
        <v>122965365818.31451</v>
      </c>
      <c r="E483" s="5">
        <v>122965365818.31451</v>
      </c>
      <c r="F483" s="5">
        <v>0.28913549251539145</v>
      </c>
      <c r="G483" s="5">
        <v>0</v>
      </c>
      <c r="H483" s="5">
        <v>44716613204.170883</v>
      </c>
      <c r="I483" s="5">
        <v>40089997326.875214</v>
      </c>
      <c r="J483" s="5">
        <v>40089997326.875214</v>
      </c>
      <c r="K483" s="5">
        <v>9.3140707432457477E-12</v>
      </c>
      <c r="L483" s="5">
        <v>9.3140707432457477E-12</v>
      </c>
      <c r="M483" s="5">
        <v>0</v>
      </c>
      <c r="N483" s="5">
        <v>2.0000000000000001E-4</v>
      </c>
      <c r="O483" s="5">
        <v>122.28942650410696</v>
      </c>
      <c r="P483" s="5">
        <v>122.28942650410696</v>
      </c>
      <c r="Q483" s="5">
        <v>-1.6369329125177517E-9</v>
      </c>
      <c r="R483" s="5">
        <v>0</v>
      </c>
      <c r="S483" s="5">
        <v>1.3751601175109322E-4</v>
      </c>
      <c r="T483" s="5">
        <v>7.0016920613521676E-6</v>
      </c>
      <c r="U483" s="5">
        <v>7.0016920613521676E-6</v>
      </c>
      <c r="V483" s="5">
        <v>0</v>
      </c>
      <c r="W483" s="5">
        <v>0</v>
      </c>
      <c r="X483" s="5">
        <v>1.835003118645588</v>
      </c>
      <c r="Y483" s="5">
        <v>4005.0022276039917</v>
      </c>
      <c r="Z483" s="5">
        <f t="shared" ref="Z483:AA483" si="252">Z482+0.0002</f>
        <v>-5.9999999999999984E-4</v>
      </c>
      <c r="AA483" s="5">
        <f t="shared" si="252"/>
        <v>-4.0000000000000007E-4</v>
      </c>
      <c r="AB483" s="4">
        <v>2</v>
      </c>
    </row>
    <row r="484" spans="2:28" x14ac:dyDescent="0.25">
      <c r="C484" s="4">
        <v>5</v>
      </c>
      <c r="D484" s="5">
        <v>113933363403.25581</v>
      </c>
      <c r="E484" s="5">
        <v>113933363403.25581</v>
      </c>
      <c r="F484" s="5">
        <v>0.2666332056258478</v>
      </c>
      <c r="G484" s="5">
        <v>0</v>
      </c>
      <c r="H484" s="5">
        <v>41349340075.999496</v>
      </c>
      <c r="I484" s="5">
        <v>36629967003.799973</v>
      </c>
      <c r="J484" s="5">
        <v>36629967003.799973</v>
      </c>
      <c r="K484" s="5">
        <v>1.1971300553301395E-11</v>
      </c>
      <c r="L484" s="5">
        <v>1.1971300553301395E-11</v>
      </c>
      <c r="M484" s="5">
        <v>0</v>
      </c>
      <c r="N484" s="5">
        <v>2.0000000000000001E-4</v>
      </c>
      <c r="O484" s="5">
        <v>117.66771126640111</v>
      </c>
      <c r="P484" s="5">
        <v>117.66771126640111</v>
      </c>
      <c r="Q484" s="5">
        <v>-2.1304780855133515E-9</v>
      </c>
      <c r="R484" s="5">
        <v>0</v>
      </c>
      <c r="S484" s="5">
        <v>1.3194191593099387E-4</v>
      </c>
      <c r="T484" s="5">
        <v>6.1453134639002381E-6</v>
      </c>
      <c r="U484" s="5">
        <v>6.1453134639002381E-6</v>
      </c>
      <c r="V484" s="5">
        <v>0</v>
      </c>
      <c r="W484" s="5">
        <v>0</v>
      </c>
      <c r="X484" s="5">
        <v>1.6450384955666961</v>
      </c>
      <c r="Y484" s="5">
        <v>3635.0274968333542</v>
      </c>
      <c r="Z484" s="5">
        <f t="shared" ref="Z484:AA484" si="253">Z483+0.0002</f>
        <v>-3.9999999999999986E-4</v>
      </c>
      <c r="AA484" s="5">
        <f t="shared" si="253"/>
        <v>-2.0000000000000006E-4</v>
      </c>
      <c r="AB484" s="4">
        <v>2</v>
      </c>
    </row>
    <row r="485" spans="2:28" x14ac:dyDescent="0.25">
      <c r="C485" s="4">
        <v>6</v>
      </c>
      <c r="D485" s="5">
        <v>104889753256.77371</v>
      </c>
      <c r="E485" s="5">
        <v>104889753256.77371</v>
      </c>
      <c r="F485" s="5">
        <v>0.24411246583145124</v>
      </c>
      <c r="G485" s="5">
        <v>0</v>
      </c>
      <c r="H485" s="5">
        <v>37978424303.397186</v>
      </c>
      <c r="I485" s="5">
        <v>33169754548.503189</v>
      </c>
      <c r="J485" s="5">
        <v>33169754548.503189</v>
      </c>
      <c r="K485" s="5">
        <v>1.4604295260791834E-11</v>
      </c>
      <c r="L485" s="5">
        <v>1.4604295260791834E-11</v>
      </c>
      <c r="M485" s="5">
        <v>0</v>
      </c>
      <c r="N485" s="5">
        <v>2.0000000000000001E-4</v>
      </c>
      <c r="O485" s="5">
        <v>113.00397158103965</v>
      </c>
      <c r="P485" s="5">
        <v>113.00397158103965</v>
      </c>
      <c r="Q485" s="5">
        <v>-2.6195784565548584E-9</v>
      </c>
      <c r="R485" s="5">
        <v>0</v>
      </c>
      <c r="S485" s="5">
        <v>1.2632319771661553E-4</v>
      </c>
      <c r="T485" s="5">
        <v>5.2906651225530036E-6</v>
      </c>
      <c r="U485" s="5">
        <v>5.2906651225530036E-6</v>
      </c>
      <c r="V485" s="5">
        <v>0</v>
      </c>
      <c r="W485" s="5">
        <v>0</v>
      </c>
      <c r="X485" s="5">
        <v>1.4552863600796087</v>
      </c>
      <c r="Y485" s="5">
        <v>3265.2045429140062</v>
      </c>
      <c r="Z485" s="5">
        <f t="shared" ref="Z485:AA485" si="254">Z484+0.0002</f>
        <v>-1.9999999999999985E-4</v>
      </c>
      <c r="AA485" s="5">
        <f t="shared" si="254"/>
        <v>0</v>
      </c>
      <c r="AB485" s="4">
        <v>2</v>
      </c>
    </row>
    <row r="486" spans="2:28" x14ac:dyDescent="0.25">
      <c r="C486" s="4">
        <v>7</v>
      </c>
      <c r="D486" s="5">
        <v>95792182244.456177</v>
      </c>
      <c r="E486" s="5">
        <v>95792182244.456177</v>
      </c>
      <c r="F486" s="5">
        <v>0.22150594401068602</v>
      </c>
      <c r="G486" s="5">
        <v>0</v>
      </c>
      <c r="H486" s="5">
        <v>34590574968.132614</v>
      </c>
      <c r="I486" s="5">
        <v>29708695415.073296</v>
      </c>
      <c r="J486" s="5">
        <v>29708695415.073296</v>
      </c>
      <c r="K486" s="5">
        <v>1.7124628237033158E-11</v>
      </c>
      <c r="L486" s="5">
        <v>1.7124628237033158E-11</v>
      </c>
      <c r="M486" s="5">
        <v>0</v>
      </c>
      <c r="N486" s="5">
        <v>2.0000000000000001E-4</v>
      </c>
      <c r="O486" s="5">
        <v>108.14487282860068</v>
      </c>
      <c r="P486" s="5">
        <v>108.14487282860068</v>
      </c>
      <c r="Q486" s="5">
        <v>-3.0880162749267365E-9</v>
      </c>
      <c r="R486" s="5">
        <v>0</v>
      </c>
      <c r="S486" s="5">
        <v>1.2049704335962457E-4</v>
      </c>
      <c r="T486" s="5">
        <v>4.4440602234703402E-6</v>
      </c>
      <c r="U486" s="5">
        <v>4.4440602234703402E-6</v>
      </c>
      <c r="V486" s="5">
        <v>0</v>
      </c>
      <c r="W486" s="5">
        <v>0</v>
      </c>
      <c r="X486" s="5">
        <v>1.2665220157478194</v>
      </c>
      <c r="Y486" s="5">
        <v>2896.0871541055849</v>
      </c>
      <c r="Z486" s="5">
        <f t="shared" ref="Z486:AA486" si="255">Z485+0.0002</f>
        <v>0</v>
      </c>
      <c r="AA486" s="5">
        <f t="shared" si="255"/>
        <v>2.0000000000000001E-4</v>
      </c>
      <c r="AB486" s="4">
        <v>2</v>
      </c>
    </row>
    <row r="487" spans="2:28" x14ac:dyDescent="0.25">
      <c r="C487" s="4">
        <v>8</v>
      </c>
      <c r="D487" s="5">
        <v>86497470862.213303</v>
      </c>
      <c r="E487" s="5">
        <v>86497470862.213303</v>
      </c>
      <c r="F487" s="5">
        <v>0.19858602654384608</v>
      </c>
      <c r="G487" s="5">
        <v>0</v>
      </c>
      <c r="H487" s="5">
        <v>31140860635.787247</v>
      </c>
      <c r="I487" s="5">
        <v>26244543031.78936</v>
      </c>
      <c r="J487" s="5">
        <v>26244543031.78936</v>
      </c>
      <c r="K487" s="5">
        <v>1.923336338156832E-11</v>
      </c>
      <c r="L487" s="5">
        <v>1.923336338156832E-11</v>
      </c>
      <c r="M487" s="5">
        <v>0</v>
      </c>
      <c r="N487" s="5">
        <v>2.0000000000000001E-4</v>
      </c>
      <c r="O487" s="5">
        <v>102.57205019209096</v>
      </c>
      <c r="P487" s="5">
        <v>102.57205019209096</v>
      </c>
      <c r="Q487" s="5">
        <v>-3.4809656219069538E-9</v>
      </c>
      <c r="R487" s="5">
        <v>0</v>
      </c>
      <c r="S487" s="5">
        <v>1.1391304278839379E-4</v>
      </c>
      <c r="T487" s="5">
        <v>3.6268411980010566E-6</v>
      </c>
      <c r="U487" s="5">
        <v>3.6268411980010566E-6</v>
      </c>
      <c r="V487" s="5">
        <v>0</v>
      </c>
      <c r="W487" s="5">
        <v>0</v>
      </c>
      <c r="X487" s="5">
        <v>1.0813664629124102</v>
      </c>
      <c r="Y487" s="5">
        <v>2529.5474735088646</v>
      </c>
      <c r="Z487" s="5">
        <f t="shared" ref="Z487:AA487" si="256">Z486+0.0002</f>
        <v>2.0000000000000001E-4</v>
      </c>
      <c r="AA487" s="5">
        <f t="shared" si="256"/>
        <v>4.0000000000000002E-4</v>
      </c>
      <c r="AB487" s="4">
        <v>2</v>
      </c>
    </row>
    <row r="488" spans="2:28" x14ac:dyDescent="0.25">
      <c r="C488" s="4">
        <v>9</v>
      </c>
      <c r="D488" s="5">
        <v>76599312810.197906</v>
      </c>
      <c r="E488" s="5">
        <v>76599312810.197906</v>
      </c>
      <c r="F488" s="5">
        <v>0.17470680500845492</v>
      </c>
      <c r="G488" s="5">
        <v>0</v>
      </c>
      <c r="H488" s="5">
        <v>27501777548.183659</v>
      </c>
      <c r="I488" s="5">
        <v>22770922210.742516</v>
      </c>
      <c r="J488" s="5">
        <v>22770922210.742516</v>
      </c>
      <c r="K488" s="5">
        <v>2.008219756861413E-11</v>
      </c>
      <c r="L488" s="5">
        <v>2.008219756861413E-11</v>
      </c>
      <c r="M488" s="5">
        <v>0</v>
      </c>
      <c r="N488" s="5">
        <v>2.0000000000000001E-4</v>
      </c>
      <c r="O488" s="5">
        <v>94.81451875574075</v>
      </c>
      <c r="P488" s="5">
        <v>94.81451875574075</v>
      </c>
      <c r="Q488" s="5">
        <v>-3.6428447589409296E-9</v>
      </c>
      <c r="R488" s="5">
        <v>0</v>
      </c>
      <c r="S488" s="5">
        <v>1.0500927496524983E-4</v>
      </c>
      <c r="T488" s="5">
        <v>2.8995723312794275E-6</v>
      </c>
      <c r="U488" s="5">
        <v>2.8995723312794275E-6</v>
      </c>
      <c r="V488" s="5">
        <v>0</v>
      </c>
      <c r="W488" s="5">
        <v>0</v>
      </c>
      <c r="X488" s="5">
        <v>0.90725742080039762</v>
      </c>
      <c r="Y488" s="5">
        <v>2170.8981577145696</v>
      </c>
      <c r="Z488" s="5">
        <f t="shared" ref="Z488:AA488" si="257">Z487+0.0002</f>
        <v>4.0000000000000002E-4</v>
      </c>
      <c r="AA488" s="5">
        <f t="shared" si="257"/>
        <v>6.0000000000000006E-4</v>
      </c>
      <c r="AB488" s="4">
        <v>2</v>
      </c>
    </row>
    <row r="489" spans="2:28" x14ac:dyDescent="0.25">
      <c r="C489" s="4">
        <v>10</v>
      </c>
      <c r="D489" s="5">
        <v>65087385269.006607</v>
      </c>
      <c r="E489" s="5">
        <v>65087385269.006607</v>
      </c>
      <c r="F489" s="5">
        <v>0.14826216101865897</v>
      </c>
      <c r="G489" s="5">
        <v>0</v>
      </c>
      <c r="H489" s="5">
        <v>23356274366.234146</v>
      </c>
      <c r="I489" s="5">
        <v>19271980384.978367</v>
      </c>
      <c r="J489" s="5">
        <v>19271980384.978367</v>
      </c>
      <c r="K489" s="5">
        <v>1.756173695891138E-11</v>
      </c>
      <c r="L489" s="5">
        <v>1.756173695891138E-11</v>
      </c>
      <c r="M489" s="5">
        <v>0</v>
      </c>
      <c r="N489" s="5">
        <v>2.0000000000000001E-4</v>
      </c>
      <c r="O489" s="5">
        <v>81.214521728776319</v>
      </c>
      <c r="P489" s="5">
        <v>81.214521728776319</v>
      </c>
      <c r="Q489" s="5">
        <v>-3.1867835321490862E-9</v>
      </c>
      <c r="R489" s="5">
        <v>0</v>
      </c>
      <c r="S489" s="5">
        <v>8.9901860986368279E-5</v>
      </c>
      <c r="T489" s="5">
        <v>2.4128530093721129E-6</v>
      </c>
      <c r="U489" s="5">
        <v>2.4128530093721129E-6</v>
      </c>
      <c r="V489" s="5">
        <v>0</v>
      </c>
      <c r="W489" s="5">
        <v>0</v>
      </c>
      <c r="X489" s="5">
        <v>0.76268955085856338</v>
      </c>
      <c r="Y489" s="5">
        <v>1833.3496791846878</v>
      </c>
      <c r="Z489" s="5">
        <f t="shared" ref="Z489:AA489" si="258">Z488+0.0002</f>
        <v>6.0000000000000006E-4</v>
      </c>
      <c r="AA489" s="5">
        <f t="shared" si="258"/>
        <v>8.0000000000000004E-4</v>
      </c>
      <c r="AB489" s="4">
        <v>2</v>
      </c>
    </row>
    <row r="490" spans="2:28" x14ac:dyDescent="0.25">
      <c r="C490" s="4">
        <v>11</v>
      </c>
      <c r="D490" s="5">
        <v>49695177729.975677</v>
      </c>
      <c r="E490" s="5">
        <v>49695177729.975677</v>
      </c>
      <c r="F490" s="5">
        <v>0.11564900442368364</v>
      </c>
      <c r="G490" s="5">
        <v>0</v>
      </c>
      <c r="H490" s="5">
        <v>17993093086.034058</v>
      </c>
      <c r="I490" s="5">
        <v>15712154654.301704</v>
      </c>
      <c r="J490" s="5">
        <v>15712154654.301704</v>
      </c>
      <c r="K490" s="5">
        <v>6.9398670126590799E-12</v>
      </c>
      <c r="L490" s="5">
        <v>6.9398670126590799E-12</v>
      </c>
      <c r="M490" s="5">
        <v>0</v>
      </c>
      <c r="N490" s="5">
        <v>2.0000000000000001E-4</v>
      </c>
      <c r="O490" s="5">
        <v>53.566420234981663</v>
      </c>
      <c r="P490" s="5">
        <v>53.566420234981663</v>
      </c>
      <c r="Q490" s="5">
        <v>-1.2448957051558006E-9</v>
      </c>
      <c r="R490" s="5">
        <v>0</v>
      </c>
      <c r="S490" s="5">
        <v>5.9877890303917228E-5</v>
      </c>
      <c r="T490" s="5">
        <v>2.5045307841338204E-6</v>
      </c>
      <c r="U490" s="5">
        <v>2.5045307841338204E-6</v>
      </c>
      <c r="V490" s="5">
        <v>0</v>
      </c>
      <c r="W490" s="5">
        <v>0</v>
      </c>
      <c r="X490" s="5">
        <v>0.68915290331467993</v>
      </c>
      <c r="Y490" s="5">
        <v>1546.5377880819142</v>
      </c>
      <c r="Z490" s="5">
        <f t="shared" ref="Z490:AA490" si="259">Z489+0.0002</f>
        <v>8.0000000000000004E-4</v>
      </c>
      <c r="AA490" s="5">
        <f t="shared" si="259"/>
        <v>1E-3</v>
      </c>
      <c r="AB490" s="4">
        <v>2</v>
      </c>
    </row>
    <row r="491" spans="2:28" x14ac:dyDescent="0.25">
      <c r="B491" t="s">
        <v>187</v>
      </c>
      <c r="C491" s="11">
        <v>12</v>
      </c>
      <c r="D491" s="5">
        <v>25740069091.193695</v>
      </c>
      <c r="E491" s="5">
        <v>25740069091.193695</v>
      </c>
      <c r="F491" s="5">
        <v>6.9423334453352248E-2</v>
      </c>
      <c r="G491" s="5">
        <v>0</v>
      </c>
      <c r="H491" s="5">
        <v>9942771410.692955</v>
      </c>
      <c r="I491" s="5">
        <v>12017971903.867973</v>
      </c>
      <c r="J491" s="5">
        <v>12017971903.867973</v>
      </c>
      <c r="K491" s="5">
        <v>-2.1559982604157239E-11</v>
      </c>
      <c r="L491" s="5">
        <v>-2.1559982604157239E-11</v>
      </c>
      <c r="M491" s="5">
        <v>0</v>
      </c>
      <c r="N491" s="5">
        <v>2.0000000000000001E-4</v>
      </c>
      <c r="O491" s="5">
        <v>-5.0826732633619187</v>
      </c>
      <c r="P491" s="5">
        <v>-5.0826732633619187</v>
      </c>
      <c r="Q491" s="5">
        <v>3.9758756652899675E-9</v>
      </c>
      <c r="R491" s="5">
        <v>0</v>
      </c>
      <c r="S491" s="5">
        <v>-3.0635502190112839E-6</v>
      </c>
      <c r="T491" s="5">
        <v>3.8726002465875091E-6</v>
      </c>
      <c r="U491" s="5">
        <v>3.8726002465875091E-6</v>
      </c>
      <c r="V491" s="5">
        <v>0</v>
      </c>
      <c r="W491" s="5">
        <v>0</v>
      </c>
      <c r="X491" s="5">
        <v>0.77236611215402151</v>
      </c>
      <c r="Y491" s="5">
        <v>1371.6900801100146</v>
      </c>
      <c r="Z491" s="5">
        <f t="shared" ref="Z491:AA491" si="260">Z490+0.0002</f>
        <v>1E-3</v>
      </c>
      <c r="AA491" s="5">
        <f t="shared" si="260"/>
        <v>1.2000000000000001E-3</v>
      </c>
      <c r="AB491" s="4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51"/>
  <sheetViews>
    <sheetView tabSelected="1" topLeftCell="M1" zoomScale="90" zoomScaleNormal="90" workbookViewId="0">
      <selection activeCell="W25" sqref="W25"/>
    </sheetView>
  </sheetViews>
  <sheetFormatPr defaultRowHeight="14" x14ac:dyDescent="0.25"/>
  <cols>
    <col min="1" max="1" width="15.08984375" customWidth="1"/>
    <col min="2" max="2" width="15.36328125" customWidth="1"/>
    <col min="3" max="3" width="10.453125" bestFit="1" customWidth="1"/>
    <col min="4" max="4" width="11.90625" customWidth="1"/>
    <col min="5" max="5" width="12.453125" customWidth="1"/>
    <col min="6" max="6" width="11.36328125" customWidth="1"/>
    <col min="7" max="7" width="10.54296875" bestFit="1" customWidth="1"/>
    <col min="8" max="8" width="11.54296875" customWidth="1"/>
    <col min="9" max="9" width="11" customWidth="1"/>
    <col min="10" max="10" width="11.36328125" bestFit="1" customWidth="1"/>
    <col min="11" max="11" width="11.6328125" customWidth="1"/>
    <col min="12" max="12" width="11.453125" customWidth="1"/>
    <col min="13" max="13" width="10.26953125" bestFit="1" customWidth="1"/>
    <col min="14" max="14" width="12" customWidth="1"/>
    <col min="15" max="15" width="11.54296875" customWidth="1"/>
    <col min="16" max="16" width="11.26953125" customWidth="1"/>
    <col min="17" max="17" width="11.08984375" customWidth="1"/>
    <col min="18" max="18" width="10.26953125" bestFit="1" customWidth="1"/>
    <col min="19" max="19" width="11.36328125" customWidth="1"/>
    <col min="20" max="20" width="12" customWidth="1"/>
    <col min="21" max="21" width="12.08984375" customWidth="1"/>
    <col min="22" max="23" width="10.26953125" bestFit="1" customWidth="1"/>
    <col min="24" max="25" width="11.36328125" bestFit="1" customWidth="1"/>
    <col min="26" max="26" width="10.90625" customWidth="1"/>
    <col min="27" max="27" width="11.6328125" customWidth="1"/>
    <col min="32" max="32" width="12.08984375" customWidth="1"/>
    <col min="33" max="33" width="10.54296875" customWidth="1"/>
    <col min="34" max="34" width="11.81640625" customWidth="1"/>
    <col min="35" max="35" width="11" customWidth="1"/>
    <col min="36" max="36" width="11.26953125" customWidth="1"/>
    <col min="37" max="37" width="12" customWidth="1"/>
  </cols>
  <sheetData>
    <row r="1" spans="1:5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0" t="s">
        <v>40</v>
      </c>
      <c r="J1" s="20" t="s">
        <v>42</v>
      </c>
      <c r="K1" s="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AE1" s="2"/>
      <c r="BB1" s="3"/>
    </row>
    <row r="2" spans="1:54" x14ac:dyDescent="0.25">
      <c r="A2" s="1" t="s">
        <v>14</v>
      </c>
      <c r="B2" s="1">
        <v>128444444444.44444</v>
      </c>
      <c r="C2" s="1">
        <v>39444444444.444443</v>
      </c>
      <c r="D2" s="1">
        <v>44500000000</v>
      </c>
      <c r="E2" s="1">
        <v>43000000000</v>
      </c>
      <c r="F2" s="1">
        <v>43000000000</v>
      </c>
      <c r="G2" s="1">
        <v>-13.355555555555556</v>
      </c>
      <c r="H2" s="1">
        <v>0</v>
      </c>
      <c r="I2" s="1">
        <v>1.4735555555555557E-8</v>
      </c>
      <c r="J2" s="1">
        <v>1.0000000000000001E-5</v>
      </c>
      <c r="K2" s="1">
        <v>0</v>
      </c>
      <c r="L2" s="1">
        <v>1.5699999999999999E-5</v>
      </c>
      <c r="M2" s="1">
        <v>4.0024444444444442E-4</v>
      </c>
      <c r="N2" s="1">
        <v>4.0024444444444442E-4</v>
      </c>
      <c r="O2" s="1">
        <v>3.2</v>
      </c>
      <c r="P2" s="1">
        <v>5800</v>
      </c>
      <c r="BB2" s="3"/>
    </row>
    <row r="3" spans="1:54" x14ac:dyDescent="0.25">
      <c r="A3" s="1" t="s">
        <v>183</v>
      </c>
      <c r="B3" s="1">
        <v>178764378478.66418</v>
      </c>
      <c r="C3" s="1">
        <v>65764378478.6642</v>
      </c>
      <c r="D3" s="1">
        <v>56500000000</v>
      </c>
      <c r="E3" s="1">
        <v>45300000000</v>
      </c>
      <c r="F3" s="1">
        <v>45300000000</v>
      </c>
      <c r="G3" s="1">
        <v>0</v>
      </c>
      <c r="H3" s="1">
        <v>138.44155844155841</v>
      </c>
      <c r="I3" s="1">
        <v>9.3000000000000002E-11</v>
      </c>
      <c r="J3" s="1">
        <v>1.5881818181818182E-4</v>
      </c>
      <c r="K3" s="1">
        <v>0</v>
      </c>
      <c r="L3" s="1">
        <v>1.0000000000000001E-5</v>
      </c>
      <c r="M3" s="1">
        <v>4.0024444444444442E-4</v>
      </c>
      <c r="N3" s="1">
        <v>4.0024444444444442E-4</v>
      </c>
      <c r="O3" s="1">
        <v>2.5</v>
      </c>
      <c r="P3" s="1">
        <v>5300</v>
      </c>
      <c r="AL3" s="4"/>
      <c r="BB3" s="3"/>
    </row>
    <row r="4" spans="1:54" x14ac:dyDescent="0.25">
      <c r="AG4" s="5"/>
      <c r="AH4" s="6"/>
      <c r="AI4" s="5"/>
      <c r="AJ4" s="6"/>
      <c r="AK4" s="7"/>
      <c r="AL4" s="8"/>
      <c r="AM4" s="8"/>
      <c r="AN4" s="9"/>
      <c r="BB4" s="3"/>
    </row>
    <row r="5" spans="1:54" ht="14.5" customHeight="1" x14ac:dyDescent="0.25">
      <c r="AG5" s="5"/>
      <c r="AH5" s="6"/>
      <c r="AI5" s="5"/>
      <c r="AJ5" s="6"/>
      <c r="AK5" s="7"/>
      <c r="AL5" s="8"/>
      <c r="AM5" s="8"/>
      <c r="AN5" s="9"/>
      <c r="BB5" s="3"/>
    </row>
    <row r="6" spans="1:54" x14ac:dyDescent="0.25">
      <c r="B6" s="10" t="s">
        <v>27</v>
      </c>
      <c r="C6" s="10" t="s">
        <v>28</v>
      </c>
      <c r="D6" s="10" t="s">
        <v>29</v>
      </c>
      <c r="E6" s="10" t="s">
        <v>30</v>
      </c>
      <c r="F6" s="10" t="s">
        <v>31</v>
      </c>
      <c r="G6" s="10" t="s">
        <v>47</v>
      </c>
      <c r="H6" s="10" t="s">
        <v>32</v>
      </c>
      <c r="I6" s="10" t="s">
        <v>33</v>
      </c>
      <c r="J6" s="10" t="s">
        <v>34</v>
      </c>
      <c r="K6" s="10" t="s">
        <v>35</v>
      </c>
      <c r="L6" s="10" t="s">
        <v>36</v>
      </c>
      <c r="M6" s="10" t="s">
        <v>37</v>
      </c>
      <c r="N6" s="10" t="s">
        <v>38</v>
      </c>
      <c r="O6" s="10" t="s">
        <v>39</v>
      </c>
      <c r="P6" s="10" t="s">
        <v>40</v>
      </c>
      <c r="Q6" s="10" t="s">
        <v>41</v>
      </c>
      <c r="R6" s="10" t="s">
        <v>42</v>
      </c>
      <c r="S6" s="10" t="s">
        <v>48</v>
      </c>
      <c r="T6" s="10" t="s">
        <v>77</v>
      </c>
      <c r="U6" s="10" t="s">
        <v>78</v>
      </c>
      <c r="V6" s="10" t="s">
        <v>79</v>
      </c>
      <c r="W6" s="10" t="s">
        <v>49</v>
      </c>
      <c r="X6" s="10" t="s">
        <v>43</v>
      </c>
      <c r="Y6" s="10" t="s">
        <v>44</v>
      </c>
      <c r="Z6" s="10" t="s">
        <v>45</v>
      </c>
      <c r="AA6" s="10" t="s">
        <v>46</v>
      </c>
      <c r="BB6" s="3"/>
    </row>
    <row r="7" spans="1:54" x14ac:dyDescent="0.25">
      <c r="A7" t="s">
        <v>249</v>
      </c>
      <c r="B7" s="11">
        <v>1</v>
      </c>
      <c r="C7" s="5">
        <v>148462434662.93759</v>
      </c>
      <c r="D7" s="5">
        <v>148462434662.93759</v>
      </c>
      <c r="E7" s="5">
        <v>0.35410050783157149</v>
      </c>
      <c r="F7" s="5">
        <v>0</v>
      </c>
      <c r="G7" s="5">
        <v>54316666666.666672</v>
      </c>
      <c r="H7" s="5">
        <v>50445000000</v>
      </c>
      <c r="I7" s="5">
        <v>50445000000</v>
      </c>
      <c r="J7" s="5">
        <v>-1.9959485224022831E-12</v>
      </c>
      <c r="K7" s="5">
        <v>-1.9959485224022831E-12</v>
      </c>
      <c r="L7" s="5">
        <v>0</v>
      </c>
      <c r="M7" s="5">
        <v>2.0000000000000001E-4</v>
      </c>
      <c r="N7" s="5">
        <v>130.36580086580088</v>
      </c>
      <c r="O7" s="5">
        <v>130.36580086580088</v>
      </c>
      <c r="P7" s="5">
        <v>4.559638888888881E-10</v>
      </c>
      <c r="Q7" s="5">
        <v>0</v>
      </c>
      <c r="R7" s="5">
        <v>1.4809166666666668E-4</v>
      </c>
      <c r="S7" s="5">
        <v>9.8091666666666675E-6</v>
      </c>
      <c r="T7" s="5">
        <v>9.8091666666666675E-6</v>
      </c>
      <c r="U7" s="5">
        <v>0</v>
      </c>
      <c r="V7" s="5">
        <v>0</v>
      </c>
      <c r="W7" s="5">
        <v>2.434166666666667</v>
      </c>
      <c r="X7" s="5">
        <v>5135.833333333333</v>
      </c>
      <c r="Y7" s="5">
        <v>-1.1999999999999999E-3</v>
      </c>
      <c r="Z7" s="5">
        <v>-1E-3</v>
      </c>
      <c r="AA7" s="4">
        <v>2</v>
      </c>
    </row>
    <row r="8" spans="1:54" x14ac:dyDescent="0.25">
      <c r="B8" s="4">
        <v>2</v>
      </c>
      <c r="C8" s="5">
        <v>136245742662.86884</v>
      </c>
      <c r="D8" s="5">
        <v>136245742662.86884</v>
      </c>
      <c r="E8" s="5">
        <v>0.32653549406158217</v>
      </c>
      <c r="F8" s="5">
        <v>0</v>
      </c>
      <c r="G8" s="5">
        <v>49950000000</v>
      </c>
      <c r="H8" s="5">
        <v>46935000000</v>
      </c>
      <c r="I8" s="5">
        <v>46935000000</v>
      </c>
      <c r="J8" s="5">
        <v>-5.9878455672068621E-12</v>
      </c>
      <c r="K8" s="5">
        <v>-5.9878455672068621E-12</v>
      </c>
      <c r="L8" s="5">
        <v>0</v>
      </c>
      <c r="M8" s="5">
        <v>2.0000000000000001E-4</v>
      </c>
      <c r="N8" s="5">
        <v>114.21428571428569</v>
      </c>
      <c r="O8" s="5">
        <v>114.21428571428569</v>
      </c>
      <c r="P8" s="5">
        <v>1.1818916666666668E-9</v>
      </c>
      <c r="Q8" s="5">
        <v>0</v>
      </c>
      <c r="R8" s="5">
        <v>1.3027500000000001E-4</v>
      </c>
      <c r="S8" s="5">
        <v>9.4275000000000008E-6</v>
      </c>
      <c r="T8" s="5">
        <v>9.4275000000000008E-6</v>
      </c>
      <c r="U8" s="5">
        <v>0</v>
      </c>
      <c r="V8" s="5">
        <v>0</v>
      </c>
      <c r="W8" s="5">
        <v>2.3024999999999998</v>
      </c>
      <c r="X8" s="5">
        <v>4807.5</v>
      </c>
      <c r="Y8" s="5">
        <f t="shared" ref="Y8:Z18" si="0">Y7+0.0002</f>
        <v>-9.999999999999998E-4</v>
      </c>
      <c r="Z8" s="5">
        <f t="shared" si="0"/>
        <v>-8.0000000000000004E-4</v>
      </c>
      <c r="AA8" s="4">
        <v>2</v>
      </c>
    </row>
    <row r="9" spans="1:54" x14ac:dyDescent="0.25">
      <c r="B9" s="4">
        <v>3</v>
      </c>
      <c r="C9" s="5">
        <v>124029050662.80006</v>
      </c>
      <c r="D9" s="5">
        <v>124029050662.80006</v>
      </c>
      <c r="E9" s="5">
        <v>0.29897048029159301</v>
      </c>
      <c r="F9" s="5">
        <v>0</v>
      </c>
      <c r="G9" s="5">
        <v>45583333333.333336</v>
      </c>
      <c r="H9" s="5">
        <v>43425000000</v>
      </c>
      <c r="I9" s="5">
        <v>43425000000</v>
      </c>
      <c r="J9" s="5">
        <v>-9.9797426120114371E-12</v>
      </c>
      <c r="K9" s="5">
        <v>-9.9797426120114371E-12</v>
      </c>
      <c r="L9" s="5">
        <v>0</v>
      </c>
      <c r="M9" s="5">
        <v>2.0000000000000001E-4</v>
      </c>
      <c r="N9" s="5">
        <v>98.062770562770552</v>
      </c>
      <c r="O9" s="5">
        <v>98.062770562770552</v>
      </c>
      <c r="P9" s="5">
        <v>1.9078194444444445E-9</v>
      </c>
      <c r="Q9" s="5">
        <v>0</v>
      </c>
      <c r="R9" s="5">
        <v>1.1245833333333333E-4</v>
      </c>
      <c r="S9" s="5">
        <v>9.0458333333333341E-6</v>
      </c>
      <c r="T9" s="5">
        <v>9.0458333333333341E-6</v>
      </c>
      <c r="U9" s="5">
        <v>0</v>
      </c>
      <c r="V9" s="5">
        <v>0</v>
      </c>
      <c r="W9" s="5">
        <v>2.1708333333333334</v>
      </c>
      <c r="X9" s="5">
        <v>4479.166666666667</v>
      </c>
      <c r="Y9" s="5">
        <f t="shared" si="0"/>
        <v>-7.9999999999999982E-4</v>
      </c>
      <c r="Z9" s="5">
        <f t="shared" si="0"/>
        <v>-6.0000000000000006E-4</v>
      </c>
      <c r="AA9" s="4">
        <v>2</v>
      </c>
    </row>
    <row r="10" spans="1:54" x14ac:dyDescent="0.25">
      <c r="B10" s="4">
        <v>4</v>
      </c>
      <c r="C10" s="5">
        <v>111812358662.73129</v>
      </c>
      <c r="D10" s="5">
        <v>111812358662.73129</v>
      </c>
      <c r="E10" s="5">
        <v>0.2714054665216038</v>
      </c>
      <c r="F10" s="5">
        <v>0</v>
      </c>
      <c r="G10" s="5">
        <v>41216666666.666672</v>
      </c>
      <c r="H10" s="5">
        <v>39915000000</v>
      </c>
      <c r="I10" s="5">
        <v>39915000000</v>
      </c>
      <c r="J10" s="5">
        <v>-1.397163965681601E-11</v>
      </c>
      <c r="K10" s="5">
        <v>-1.397163965681601E-11</v>
      </c>
      <c r="L10" s="5">
        <v>0</v>
      </c>
      <c r="M10" s="5">
        <v>2.0000000000000001E-4</v>
      </c>
      <c r="N10" s="5">
        <v>81.911255411255382</v>
      </c>
      <c r="O10" s="5">
        <v>81.911255411255382</v>
      </c>
      <c r="P10" s="5">
        <v>2.6337472222222223E-9</v>
      </c>
      <c r="Q10" s="5">
        <v>0</v>
      </c>
      <c r="R10" s="5">
        <v>9.4641666666666659E-5</v>
      </c>
      <c r="S10" s="5">
        <v>8.6641666666666674E-6</v>
      </c>
      <c r="T10" s="5">
        <v>8.6641666666666674E-6</v>
      </c>
      <c r="U10" s="5">
        <v>0</v>
      </c>
      <c r="V10" s="5">
        <v>0</v>
      </c>
      <c r="W10" s="5">
        <v>2.0391666666666666</v>
      </c>
      <c r="X10" s="5">
        <v>4150.833333333333</v>
      </c>
      <c r="Y10" s="5">
        <f t="shared" si="0"/>
        <v>-5.9999999999999984E-4</v>
      </c>
      <c r="Z10" s="5">
        <f t="shared" si="0"/>
        <v>-4.0000000000000007E-4</v>
      </c>
      <c r="AA10" s="4">
        <v>2</v>
      </c>
    </row>
    <row r="11" spans="1:54" x14ac:dyDescent="0.25">
      <c r="B11" s="4">
        <v>5</v>
      </c>
      <c r="C11" s="5">
        <v>99595666662.662552</v>
      </c>
      <c r="D11" s="5">
        <v>99595666662.662552</v>
      </c>
      <c r="E11" s="5">
        <v>0.24384045275161456</v>
      </c>
      <c r="F11" s="5">
        <v>0</v>
      </c>
      <c r="G11" s="5">
        <v>36850000000</v>
      </c>
      <c r="H11" s="5">
        <v>36405000000</v>
      </c>
      <c r="I11" s="5">
        <v>36405000000</v>
      </c>
      <c r="J11" s="5">
        <v>-1.7963536701620584E-11</v>
      </c>
      <c r="K11" s="5">
        <v>-1.7963536701620584E-11</v>
      </c>
      <c r="L11" s="5">
        <v>0</v>
      </c>
      <c r="M11" s="5">
        <v>2.0000000000000001E-4</v>
      </c>
      <c r="N11" s="5">
        <v>65.759740259740241</v>
      </c>
      <c r="O11" s="5">
        <v>65.759740259740241</v>
      </c>
      <c r="P11" s="5">
        <v>3.3596750000000006E-9</v>
      </c>
      <c r="Q11" s="5">
        <v>0</v>
      </c>
      <c r="R11" s="5">
        <v>7.6824999999999997E-5</v>
      </c>
      <c r="S11" s="5">
        <v>8.2825000000000007E-6</v>
      </c>
      <c r="T11" s="5">
        <v>8.2825000000000007E-6</v>
      </c>
      <c r="U11" s="5">
        <v>0</v>
      </c>
      <c r="V11" s="5">
        <v>0</v>
      </c>
      <c r="W11" s="5">
        <v>1.9075000000000002</v>
      </c>
      <c r="X11" s="5">
        <v>3822.5</v>
      </c>
      <c r="Y11" s="5">
        <f t="shared" si="0"/>
        <v>-3.9999999999999986E-4</v>
      </c>
      <c r="Z11" s="5">
        <f t="shared" si="0"/>
        <v>-2.0000000000000006E-4</v>
      </c>
      <c r="AA11" s="4">
        <v>2</v>
      </c>
    </row>
    <row r="12" spans="1:54" x14ac:dyDescent="0.25">
      <c r="B12" s="4">
        <v>6</v>
      </c>
      <c r="C12" s="5">
        <v>87378974662.593781</v>
      </c>
      <c r="D12" s="5">
        <v>87378974662.593781</v>
      </c>
      <c r="E12" s="5">
        <v>0.21627543898162527</v>
      </c>
      <c r="F12" s="5">
        <v>0</v>
      </c>
      <c r="G12" s="5">
        <v>32483333333.333336</v>
      </c>
      <c r="H12" s="5">
        <v>32895000000</v>
      </c>
      <c r="I12" s="5">
        <v>32895000000</v>
      </c>
      <c r="J12" s="5">
        <v>-2.1955433746425161E-11</v>
      </c>
      <c r="K12" s="5">
        <v>-2.1955433746425161E-11</v>
      </c>
      <c r="L12" s="5">
        <v>0</v>
      </c>
      <c r="M12" s="5">
        <v>2.0000000000000001E-4</v>
      </c>
      <c r="N12" s="5">
        <v>49.608225108225099</v>
      </c>
      <c r="O12" s="5">
        <v>49.608225108225099</v>
      </c>
      <c r="P12" s="5">
        <v>4.0856027777777781E-9</v>
      </c>
      <c r="Q12" s="5">
        <v>0</v>
      </c>
      <c r="R12" s="5">
        <v>5.9008333333333336E-5</v>
      </c>
      <c r="S12" s="5">
        <v>7.9008333333333324E-6</v>
      </c>
      <c r="T12" s="5">
        <v>7.9008333333333324E-6</v>
      </c>
      <c r="U12" s="5">
        <v>0</v>
      </c>
      <c r="V12" s="5">
        <v>0</v>
      </c>
      <c r="W12" s="5">
        <v>1.7758333333333332</v>
      </c>
      <c r="X12" s="5">
        <v>3494.166666666667</v>
      </c>
      <c r="Y12" s="5">
        <f t="shared" si="0"/>
        <v>-1.9999999999999985E-4</v>
      </c>
      <c r="Z12" s="5">
        <f t="shared" si="0"/>
        <v>0</v>
      </c>
      <c r="AA12" s="4">
        <v>2</v>
      </c>
    </row>
    <row r="13" spans="1:54" x14ac:dyDescent="0.25">
      <c r="B13" s="4">
        <v>7</v>
      </c>
      <c r="C13" s="5">
        <v>84192352513.920532</v>
      </c>
      <c r="D13" s="5">
        <v>84192352513.920532</v>
      </c>
      <c r="E13" s="5">
        <v>0.21120963988903951</v>
      </c>
      <c r="F13" s="5">
        <v>0</v>
      </c>
      <c r="G13" s="5">
        <v>31483333333.333336</v>
      </c>
      <c r="H13" s="5">
        <v>32845000000</v>
      </c>
      <c r="I13" s="5">
        <v>32845000000</v>
      </c>
      <c r="J13" s="5">
        <v>-2.8608595487766114E-11</v>
      </c>
      <c r="K13" s="5">
        <v>-2.8608595487766114E-11</v>
      </c>
      <c r="L13" s="5">
        <v>0</v>
      </c>
      <c r="M13" s="5">
        <v>2.0000000000000001E-4</v>
      </c>
      <c r="N13" s="5">
        <v>38.071428571428569</v>
      </c>
      <c r="O13" s="5">
        <v>38.071428571428569</v>
      </c>
      <c r="P13" s="5">
        <v>5.3058157407407417E-9</v>
      </c>
      <c r="Q13" s="5">
        <v>0</v>
      </c>
      <c r="R13" s="5">
        <v>4.6758333333333336E-5</v>
      </c>
      <c r="S13" s="5">
        <v>8.3758333333333321E-6</v>
      </c>
      <c r="T13" s="5">
        <v>8.3758333333333321E-6</v>
      </c>
      <c r="U13" s="5">
        <v>0</v>
      </c>
      <c r="V13" s="5">
        <v>0</v>
      </c>
      <c r="W13" s="5">
        <v>1.8341666666666667</v>
      </c>
      <c r="X13" s="5">
        <v>3535.833333333333</v>
      </c>
      <c r="Y13" s="5">
        <f t="shared" si="0"/>
        <v>0</v>
      </c>
      <c r="Z13" s="5">
        <f t="shared" si="0"/>
        <v>2.0000000000000001E-4</v>
      </c>
      <c r="AA13" s="4">
        <v>2</v>
      </c>
    </row>
    <row r="14" spans="1:54" x14ac:dyDescent="0.25">
      <c r="B14" s="4">
        <v>8</v>
      </c>
      <c r="C14" s="5">
        <v>90035800216.642746</v>
      </c>
      <c r="D14" s="5">
        <v>90035800216.642746</v>
      </c>
      <c r="E14" s="5">
        <v>0.22864305547385708</v>
      </c>
      <c r="F14" s="5">
        <v>0</v>
      </c>
      <c r="G14" s="5">
        <v>33850000000</v>
      </c>
      <c r="H14" s="5">
        <v>36255000000</v>
      </c>
      <c r="I14" s="5">
        <v>36255000000</v>
      </c>
      <c r="J14" s="5">
        <v>-3.7923021925643465E-11</v>
      </c>
      <c r="K14" s="5">
        <v>-3.7923021925643465E-11</v>
      </c>
      <c r="L14" s="5">
        <v>0</v>
      </c>
      <c r="M14" s="5">
        <v>2.0000000000000001E-4</v>
      </c>
      <c r="N14" s="5">
        <v>31.149350649350641</v>
      </c>
      <c r="O14" s="5">
        <v>31.149350649350641</v>
      </c>
      <c r="P14" s="5">
        <v>7.0203138888888883E-9</v>
      </c>
      <c r="Q14" s="5">
        <v>0</v>
      </c>
      <c r="R14" s="5">
        <v>4.0074999999999998E-5</v>
      </c>
      <c r="S14" s="5">
        <v>9.7074999999999981E-6</v>
      </c>
      <c r="T14" s="5">
        <v>9.7074999999999981E-6</v>
      </c>
      <c r="U14" s="5">
        <v>0</v>
      </c>
      <c r="V14" s="5">
        <v>0</v>
      </c>
      <c r="W14" s="5">
        <v>2.0825</v>
      </c>
      <c r="X14" s="5">
        <v>3947.5</v>
      </c>
      <c r="Y14" s="5">
        <f t="shared" si="0"/>
        <v>2.0000000000000001E-4</v>
      </c>
      <c r="Z14" s="5">
        <f t="shared" si="0"/>
        <v>4.0000000000000002E-4</v>
      </c>
      <c r="AA14" s="4">
        <v>2</v>
      </c>
    </row>
    <row r="15" spans="1:54" x14ac:dyDescent="0.25">
      <c r="B15" s="4">
        <v>9</v>
      </c>
      <c r="C15" s="5">
        <v>95879247919.36496</v>
      </c>
      <c r="D15" s="5">
        <v>95879247919.36496</v>
      </c>
      <c r="E15" s="5">
        <v>0.24607647105867475</v>
      </c>
      <c r="F15" s="5">
        <v>0</v>
      </c>
      <c r="G15" s="5">
        <v>36216666666.666672</v>
      </c>
      <c r="H15" s="5">
        <v>39665000000</v>
      </c>
      <c r="I15" s="5">
        <v>39665000000</v>
      </c>
      <c r="J15" s="5">
        <v>-4.7237448363520802E-11</v>
      </c>
      <c r="K15" s="5">
        <v>-4.7237448363520802E-11</v>
      </c>
      <c r="L15" s="5">
        <v>0</v>
      </c>
      <c r="M15" s="5">
        <v>2.0000000000000001E-4</v>
      </c>
      <c r="N15" s="5">
        <v>24.227272727272712</v>
      </c>
      <c r="O15" s="5">
        <v>24.227272727272712</v>
      </c>
      <c r="P15" s="5">
        <v>8.7348120370370382E-9</v>
      </c>
      <c r="Q15" s="5">
        <v>0</v>
      </c>
      <c r="R15" s="5">
        <v>3.3391666666666667E-5</v>
      </c>
      <c r="S15" s="5">
        <v>1.1039166666666666E-5</v>
      </c>
      <c r="T15" s="5">
        <v>1.1039166666666666E-5</v>
      </c>
      <c r="U15" s="5">
        <v>0</v>
      </c>
      <c r="V15" s="5">
        <v>0</v>
      </c>
      <c r="W15" s="5">
        <v>2.3308333333333335</v>
      </c>
      <c r="X15" s="5">
        <v>4359.166666666667</v>
      </c>
      <c r="Y15" s="5">
        <f t="shared" si="0"/>
        <v>4.0000000000000002E-4</v>
      </c>
      <c r="Z15" s="5">
        <f t="shared" si="0"/>
        <v>6.0000000000000006E-4</v>
      </c>
      <c r="AA15" s="4">
        <v>2</v>
      </c>
    </row>
    <row r="16" spans="1:54" x14ac:dyDescent="0.25">
      <c r="B16" s="4">
        <v>10</v>
      </c>
      <c r="C16" s="5">
        <v>101722695622.08719</v>
      </c>
      <c r="D16" s="5">
        <v>101722695622.08719</v>
      </c>
      <c r="E16" s="5">
        <v>0.26350988664349229</v>
      </c>
      <c r="F16" s="5">
        <v>0</v>
      </c>
      <c r="G16" s="5">
        <v>38583333333.333336</v>
      </c>
      <c r="H16" s="5">
        <v>43075000000</v>
      </c>
      <c r="I16" s="5">
        <v>43075000000</v>
      </c>
      <c r="J16" s="5">
        <v>-5.6551874801398153E-11</v>
      </c>
      <c r="K16" s="5">
        <v>-5.6551874801398153E-11</v>
      </c>
      <c r="L16" s="5">
        <v>0</v>
      </c>
      <c r="M16" s="5">
        <v>2.0000000000000001E-4</v>
      </c>
      <c r="N16" s="5">
        <v>17.305194805194795</v>
      </c>
      <c r="O16" s="5">
        <v>17.305194805194795</v>
      </c>
      <c r="P16" s="5">
        <v>1.0449310185185186E-8</v>
      </c>
      <c r="Q16" s="5">
        <v>0</v>
      </c>
      <c r="R16" s="5">
        <v>2.670833333333332E-5</v>
      </c>
      <c r="S16" s="5">
        <v>1.2370833333333334E-5</v>
      </c>
      <c r="T16" s="5">
        <v>1.2370833333333334E-5</v>
      </c>
      <c r="U16" s="5">
        <v>0</v>
      </c>
      <c r="V16" s="5">
        <v>0</v>
      </c>
      <c r="W16" s="5">
        <v>2.5791666666666666</v>
      </c>
      <c r="X16" s="5">
        <v>4770.833333333333</v>
      </c>
      <c r="Y16" s="5">
        <f t="shared" si="0"/>
        <v>6.0000000000000006E-4</v>
      </c>
      <c r="Z16" s="5">
        <f t="shared" si="0"/>
        <v>8.0000000000000004E-4</v>
      </c>
      <c r="AA16" s="4">
        <v>2</v>
      </c>
    </row>
    <row r="17" spans="1:27" x14ac:dyDescent="0.25">
      <c r="B17" s="4">
        <v>11</v>
      </c>
      <c r="C17" s="5">
        <v>107566143324.80942</v>
      </c>
      <c r="D17" s="5">
        <v>107566143324.80942</v>
      </c>
      <c r="E17" s="5">
        <v>0.28094330222830993</v>
      </c>
      <c r="F17" s="5">
        <v>0</v>
      </c>
      <c r="G17" s="5">
        <v>40950000000</v>
      </c>
      <c r="H17" s="5">
        <v>46485000000</v>
      </c>
      <c r="I17" s="5">
        <v>46485000000</v>
      </c>
      <c r="J17" s="5">
        <v>-6.5866301239275477E-11</v>
      </c>
      <c r="K17" s="5">
        <v>-6.5866301239275477E-11</v>
      </c>
      <c r="L17" s="5">
        <v>0</v>
      </c>
      <c r="M17" s="5">
        <v>2.0000000000000001E-4</v>
      </c>
      <c r="N17" s="5">
        <v>10.38311688311688</v>
      </c>
      <c r="O17" s="5">
        <v>10.38311688311688</v>
      </c>
      <c r="P17" s="5">
        <v>1.2163808333333335E-8</v>
      </c>
      <c r="Q17" s="5">
        <v>0</v>
      </c>
      <c r="R17" s="5">
        <v>2.0024999999999999E-5</v>
      </c>
      <c r="S17" s="5">
        <v>1.3702499999999998E-5</v>
      </c>
      <c r="T17" s="5">
        <v>1.3702499999999998E-5</v>
      </c>
      <c r="U17" s="5">
        <v>0</v>
      </c>
      <c r="V17" s="5">
        <v>0</v>
      </c>
      <c r="W17" s="5">
        <v>2.8275000000000001</v>
      </c>
      <c r="X17" s="5">
        <v>5182.5</v>
      </c>
      <c r="Y17" s="5">
        <f t="shared" si="0"/>
        <v>8.0000000000000004E-4</v>
      </c>
      <c r="Z17" s="5">
        <f t="shared" si="0"/>
        <v>1E-3</v>
      </c>
      <c r="AA17" s="4">
        <v>2</v>
      </c>
    </row>
    <row r="18" spans="1:27" x14ac:dyDescent="0.25">
      <c r="A18" t="s">
        <v>250</v>
      </c>
      <c r="B18" s="11">
        <v>12</v>
      </c>
      <c r="C18" s="5">
        <v>113409591027.53163</v>
      </c>
      <c r="D18" s="5">
        <v>113409591027.53163</v>
      </c>
      <c r="E18" s="5">
        <v>0.29837671781312752</v>
      </c>
      <c r="F18" s="5">
        <v>0</v>
      </c>
      <c r="G18" s="5">
        <v>43316666666.666672</v>
      </c>
      <c r="H18" s="5">
        <v>49895000000</v>
      </c>
      <c r="I18" s="5">
        <v>49895000000</v>
      </c>
      <c r="J18" s="5">
        <v>-7.5180727677152841E-11</v>
      </c>
      <c r="K18" s="5">
        <v>-7.5180727677152841E-11</v>
      </c>
      <c r="L18" s="5">
        <v>0</v>
      </c>
      <c r="M18" s="5">
        <v>2.0000000000000001E-4</v>
      </c>
      <c r="N18" s="5">
        <v>3.4610389610389416</v>
      </c>
      <c r="O18" s="5">
        <v>3.4610389610389416</v>
      </c>
      <c r="P18" s="5">
        <v>1.3878306481481484E-8</v>
      </c>
      <c r="Q18" s="5">
        <v>0</v>
      </c>
      <c r="R18" s="5">
        <v>1.3341666666666644E-5</v>
      </c>
      <c r="S18" s="5">
        <v>1.5034166666666667E-5</v>
      </c>
      <c r="T18" s="5">
        <v>1.5034166666666667E-5</v>
      </c>
      <c r="U18" s="5">
        <v>0</v>
      </c>
      <c r="V18" s="5">
        <v>0</v>
      </c>
      <c r="W18" s="5">
        <v>3.0758333333333336</v>
      </c>
      <c r="X18" s="5">
        <v>5594.166666666667</v>
      </c>
      <c r="Y18" s="5">
        <f t="shared" si="0"/>
        <v>1E-3</v>
      </c>
      <c r="Z18" s="5">
        <f t="shared" si="0"/>
        <v>1.2000000000000001E-3</v>
      </c>
      <c r="AA18" s="4">
        <v>2</v>
      </c>
    </row>
    <row r="19" spans="1:27" x14ac:dyDescent="0.25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4"/>
    </row>
    <row r="20" spans="1:27" x14ac:dyDescent="0.25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4"/>
    </row>
    <row r="21" spans="1:27" x14ac:dyDescent="0.25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4"/>
    </row>
    <row r="22" spans="1:27" x14ac:dyDescent="0.25">
      <c r="B22" s="11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4"/>
    </row>
    <row r="23" spans="1:27" x14ac:dyDescent="0.25">
      <c r="B23" s="11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4"/>
    </row>
    <row r="24" spans="1:27" x14ac:dyDescent="0.25">
      <c r="B24" s="11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4"/>
    </row>
    <row r="25" spans="1:27" x14ac:dyDescent="0.25">
      <c r="B25" s="11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4"/>
    </row>
    <row r="27" spans="1:27" x14ac:dyDescent="0.25">
      <c r="A27" t="s">
        <v>145</v>
      </c>
      <c r="B27" s="2" t="s">
        <v>188</v>
      </c>
      <c r="C27" s="2" t="s">
        <v>189</v>
      </c>
      <c r="D27" s="2" t="s">
        <v>146</v>
      </c>
      <c r="E27" s="2" t="s">
        <v>147</v>
      </c>
      <c r="F27" s="2" t="s">
        <v>148</v>
      </c>
      <c r="G27" s="2" t="s">
        <v>149</v>
      </c>
      <c r="H27" s="2" t="s">
        <v>150</v>
      </c>
      <c r="I27" s="2" t="s">
        <v>151</v>
      </c>
      <c r="J27" s="2" t="s">
        <v>152</v>
      </c>
      <c r="K27" s="16"/>
    </row>
    <row r="28" spans="1:27" x14ac:dyDescent="0.25">
      <c r="A28" t="s">
        <v>185</v>
      </c>
      <c r="B28" s="1">
        <v>154570780662.97195</v>
      </c>
      <c r="C28" s="1">
        <v>116331314878.89275</v>
      </c>
      <c r="D28" s="1">
        <v>2.3999999999999998E-3</v>
      </c>
      <c r="E28">
        <v>-1.1000000000000001E-3</v>
      </c>
      <c r="F28" s="1">
        <v>1</v>
      </c>
      <c r="G28">
        <f>(0.5+E28/D28)^F28</f>
        <v>4.1666666666666574E-2</v>
      </c>
      <c r="H28" s="1">
        <v>0.2</v>
      </c>
      <c r="I28" s="1">
        <f>2*(1-2*ABS(E28)/D28)</f>
        <v>0.1666666666666663</v>
      </c>
      <c r="J28" s="1">
        <f>(C28-B28)*G28+B28-(B28+C28)*(H28/2)*I28</f>
        <v>148462434662.93759</v>
      </c>
    </row>
    <row r="29" spans="1:27" x14ac:dyDescent="0.25">
      <c r="B29" s="1">
        <v>154570780662.97195</v>
      </c>
      <c r="C29" s="1">
        <v>116331314878.89275</v>
      </c>
      <c r="D29" s="1">
        <v>2.3999999999999998E-3</v>
      </c>
      <c r="E29">
        <f>-0.001+0.0001</f>
        <v>-8.9999999999999998E-4</v>
      </c>
      <c r="F29" s="1">
        <v>1</v>
      </c>
      <c r="G29">
        <f>(0.5+E29/D29)^F29</f>
        <v>0.125</v>
      </c>
      <c r="H29" s="1">
        <v>0.2</v>
      </c>
      <c r="I29" s="1">
        <f t="shared" ref="I29:I39" si="1">2*(1-2*ABS(E29)/D29)</f>
        <v>0.5</v>
      </c>
      <c r="J29" s="1">
        <f t="shared" ref="J29:J39" si="2">(C29-B29)*G29+B29-(B29+C29)*(H29/2)*I29</f>
        <v>136245742662.86884</v>
      </c>
    </row>
    <row r="30" spans="1:27" x14ac:dyDescent="0.25">
      <c r="B30" s="1">
        <v>154570780662.97195</v>
      </c>
      <c r="C30" s="1">
        <v>116331314878.89275</v>
      </c>
      <c r="D30" s="1">
        <v>2.3999999999999998E-3</v>
      </c>
      <c r="E30">
        <f>E29+0.0002</f>
        <v>-6.9999999999999999E-4</v>
      </c>
      <c r="F30" s="1">
        <v>1</v>
      </c>
      <c r="G30">
        <f t="shared" ref="G30:G39" si="3">(0.5+E30/D30)^F30</f>
        <v>0.20833333333333331</v>
      </c>
      <c r="H30" s="1">
        <v>0.2</v>
      </c>
      <c r="I30" s="1">
        <f t="shared" si="1"/>
        <v>0.83333333333333326</v>
      </c>
      <c r="J30" s="1">
        <f t="shared" si="2"/>
        <v>124029050662.80006</v>
      </c>
    </row>
    <row r="31" spans="1:27" x14ac:dyDescent="0.25">
      <c r="B31" s="1">
        <v>154570780662.97195</v>
      </c>
      <c r="C31" s="1">
        <v>116331314878.89275</v>
      </c>
      <c r="D31" s="1">
        <v>2.3999999999999998E-3</v>
      </c>
      <c r="E31">
        <f t="shared" ref="E31:E38" si="4">E30+0.0002</f>
        <v>-5.0000000000000001E-4</v>
      </c>
      <c r="F31" s="1">
        <v>1</v>
      </c>
      <c r="G31">
        <f t="shared" si="3"/>
        <v>0.29166666666666663</v>
      </c>
      <c r="H31" s="1">
        <v>0.2</v>
      </c>
      <c r="I31" s="1">
        <f t="shared" si="1"/>
        <v>1.1666666666666665</v>
      </c>
      <c r="J31" s="1">
        <f t="shared" si="2"/>
        <v>111812358662.73129</v>
      </c>
    </row>
    <row r="32" spans="1:27" x14ac:dyDescent="0.25">
      <c r="B32" s="1">
        <v>154570780662.97195</v>
      </c>
      <c r="C32" s="1">
        <v>116331314878.89275</v>
      </c>
      <c r="D32" s="1">
        <v>2.3999999999999998E-3</v>
      </c>
      <c r="E32">
        <f t="shared" si="4"/>
        <v>-3.0000000000000003E-4</v>
      </c>
      <c r="F32" s="1">
        <v>1</v>
      </c>
      <c r="G32">
        <f t="shared" si="3"/>
        <v>0.375</v>
      </c>
      <c r="H32" s="1">
        <v>0.2</v>
      </c>
      <c r="I32" s="1">
        <f t="shared" si="1"/>
        <v>1.5</v>
      </c>
      <c r="J32" s="1">
        <f t="shared" si="2"/>
        <v>99595666662.662552</v>
      </c>
    </row>
    <row r="33" spans="1:10" x14ac:dyDescent="0.25">
      <c r="B33" s="1">
        <v>154570780662.97195</v>
      </c>
      <c r="C33" s="1">
        <v>116331314878.89275</v>
      </c>
      <c r="D33" s="1">
        <v>2.3999999999999998E-3</v>
      </c>
      <c r="E33">
        <f t="shared" si="4"/>
        <v>-1.0000000000000002E-4</v>
      </c>
      <c r="F33" s="1">
        <v>1</v>
      </c>
      <c r="G33">
        <f t="shared" si="3"/>
        <v>0.45833333333333331</v>
      </c>
      <c r="H33" s="1">
        <v>0.2</v>
      </c>
      <c r="I33" s="1">
        <f t="shared" si="1"/>
        <v>1.8333333333333333</v>
      </c>
      <c r="J33" s="1">
        <f t="shared" si="2"/>
        <v>87378974662.593781</v>
      </c>
    </row>
    <row r="34" spans="1:10" x14ac:dyDescent="0.25">
      <c r="B34" s="1">
        <v>154570780662.97195</v>
      </c>
      <c r="C34" s="1">
        <v>116331314878.89275</v>
      </c>
      <c r="D34" s="1">
        <v>2.3999999999999998E-3</v>
      </c>
      <c r="E34">
        <f t="shared" si="4"/>
        <v>9.9999999999999991E-5</v>
      </c>
      <c r="F34" s="1">
        <v>1</v>
      </c>
      <c r="G34">
        <f t="shared" si="3"/>
        <v>0.54166666666666663</v>
      </c>
      <c r="H34" s="1">
        <v>0.2</v>
      </c>
      <c r="I34" s="1">
        <f t="shared" si="1"/>
        <v>1.8333333333333333</v>
      </c>
      <c r="J34" s="1">
        <f t="shared" si="2"/>
        <v>84192352513.920532</v>
      </c>
    </row>
    <row r="35" spans="1:10" x14ac:dyDescent="0.25">
      <c r="B35" s="1">
        <v>154570780662.97195</v>
      </c>
      <c r="C35" s="1">
        <v>116331314878.89275</v>
      </c>
      <c r="D35" s="1">
        <v>2.3999999999999998E-3</v>
      </c>
      <c r="E35">
        <f t="shared" si="4"/>
        <v>3.0000000000000003E-4</v>
      </c>
      <c r="F35" s="1">
        <v>1</v>
      </c>
      <c r="G35">
        <f t="shared" si="3"/>
        <v>0.625</v>
      </c>
      <c r="H35" s="1">
        <v>0.2</v>
      </c>
      <c r="I35" s="1">
        <f t="shared" si="1"/>
        <v>1.5</v>
      </c>
      <c r="J35" s="1">
        <f t="shared" si="2"/>
        <v>90035800216.642746</v>
      </c>
    </row>
    <row r="36" spans="1:10" x14ac:dyDescent="0.25">
      <c r="B36" s="1">
        <v>154570780662.97195</v>
      </c>
      <c r="C36" s="1">
        <v>116331314878.89275</v>
      </c>
      <c r="D36" s="1">
        <v>2.3999999999999998E-3</v>
      </c>
      <c r="E36">
        <f t="shared" si="4"/>
        <v>5.0000000000000001E-4</v>
      </c>
      <c r="F36" s="1">
        <v>1</v>
      </c>
      <c r="G36">
        <f t="shared" si="3"/>
        <v>0.70833333333333337</v>
      </c>
      <c r="H36" s="1">
        <v>0.2</v>
      </c>
      <c r="I36" s="1">
        <f t="shared" si="1"/>
        <v>1.1666666666666665</v>
      </c>
      <c r="J36" s="1">
        <f t="shared" si="2"/>
        <v>95879247919.36496</v>
      </c>
    </row>
    <row r="37" spans="1:10" x14ac:dyDescent="0.25">
      <c r="B37" s="1">
        <v>154570780662.97195</v>
      </c>
      <c r="C37" s="1">
        <v>116331314878.89275</v>
      </c>
      <c r="D37" s="1">
        <v>2.3999999999999998E-3</v>
      </c>
      <c r="E37">
        <f t="shared" si="4"/>
        <v>6.9999999999999999E-4</v>
      </c>
      <c r="F37" s="1">
        <v>1</v>
      </c>
      <c r="G37">
        <f t="shared" si="3"/>
        <v>0.79166666666666674</v>
      </c>
      <c r="H37" s="1">
        <v>0.2</v>
      </c>
      <c r="I37" s="1">
        <f t="shared" si="1"/>
        <v>0.83333333333333326</v>
      </c>
      <c r="J37" s="1">
        <f t="shared" si="2"/>
        <v>101722695622.08719</v>
      </c>
    </row>
    <row r="38" spans="1:10" x14ac:dyDescent="0.25">
      <c r="B38" s="1">
        <v>154570780662.97195</v>
      </c>
      <c r="C38" s="1">
        <v>116331314878.89275</v>
      </c>
      <c r="D38" s="1">
        <v>2.3999999999999998E-3</v>
      </c>
      <c r="E38">
        <f t="shared" si="4"/>
        <v>8.9999999999999998E-4</v>
      </c>
      <c r="F38" s="1">
        <v>1</v>
      </c>
      <c r="G38">
        <f t="shared" si="3"/>
        <v>0.875</v>
      </c>
      <c r="H38" s="1">
        <v>0.2</v>
      </c>
      <c r="I38" s="1">
        <f t="shared" si="1"/>
        <v>0.5</v>
      </c>
      <c r="J38" s="1">
        <f t="shared" si="2"/>
        <v>107566143324.80942</v>
      </c>
    </row>
    <row r="39" spans="1:10" x14ac:dyDescent="0.25">
      <c r="A39" t="s">
        <v>186</v>
      </c>
      <c r="B39" s="14">
        <v>154570780662.97198</v>
      </c>
      <c r="C39" s="14">
        <v>116331314878.89275</v>
      </c>
      <c r="D39" s="1">
        <v>2.3999999999999998E-3</v>
      </c>
      <c r="E39" s="13">
        <v>1.1000000000000001E-3</v>
      </c>
      <c r="F39" s="1">
        <v>1</v>
      </c>
      <c r="G39">
        <f t="shared" si="3"/>
        <v>0.95833333333333348</v>
      </c>
      <c r="H39" s="1">
        <v>0.2</v>
      </c>
      <c r="I39" s="1">
        <f t="shared" si="1"/>
        <v>0.1666666666666663</v>
      </c>
      <c r="J39" s="1">
        <f t="shared" si="2"/>
        <v>113409591027.53163</v>
      </c>
    </row>
    <row r="40" spans="1:10" x14ac:dyDescent="0.25">
      <c r="A40" s="1"/>
      <c r="B40" s="1"/>
      <c r="C40" s="1"/>
      <c r="D40" s="1"/>
      <c r="F40" s="1"/>
      <c r="H40" s="1"/>
      <c r="J40" s="1"/>
    </row>
    <row r="41" spans="1:10" x14ac:dyDescent="0.25">
      <c r="A41" t="s">
        <v>153</v>
      </c>
      <c r="B41" s="2" t="s">
        <v>188</v>
      </c>
      <c r="C41" s="2" t="s">
        <v>189</v>
      </c>
      <c r="D41" s="2" t="s">
        <v>146</v>
      </c>
      <c r="E41" s="2" t="s">
        <v>147</v>
      </c>
      <c r="F41" s="2" t="s">
        <v>148</v>
      </c>
      <c r="G41" s="2" t="s">
        <v>149</v>
      </c>
      <c r="H41" s="2" t="s">
        <v>150</v>
      </c>
      <c r="I41" s="2" t="s">
        <v>151</v>
      </c>
      <c r="J41" s="2" t="s">
        <v>152</v>
      </c>
    </row>
    <row r="42" spans="1:10" x14ac:dyDescent="0.25">
      <c r="B42" s="1">
        <v>0.36788301471656604</v>
      </c>
      <c r="C42" s="1">
        <v>0.30709342560553632</v>
      </c>
      <c r="D42" s="1">
        <v>2.3999999999999998E-3</v>
      </c>
      <c r="E42">
        <v>-1.1000000000000001E-3</v>
      </c>
      <c r="F42" s="1">
        <v>1</v>
      </c>
      <c r="G42">
        <f>(0.5+E42/D42)^F42</f>
        <v>4.1666666666666574E-2</v>
      </c>
      <c r="H42" s="1">
        <v>0.2</v>
      </c>
      <c r="I42" s="1">
        <f>2*(1-2*ABS(E42)/D42)</f>
        <v>0.1666666666666663</v>
      </c>
      <c r="J42" s="1">
        <f>(C42-B42)*G42+B42-(B42+C42)*(H42/2)*I42</f>
        <v>0.35410050783157149</v>
      </c>
    </row>
    <row r="43" spans="1:10" x14ac:dyDescent="0.25">
      <c r="B43" s="1">
        <v>0.36788301471656604</v>
      </c>
      <c r="C43" s="1">
        <v>0.30709342560553632</v>
      </c>
      <c r="D43" s="1">
        <v>2.3999999999999998E-3</v>
      </c>
      <c r="E43">
        <v>-8.9999999999999998E-4</v>
      </c>
      <c r="F43" s="1">
        <v>1</v>
      </c>
      <c r="G43">
        <f>(0.5+E43/D43)^F43</f>
        <v>0.125</v>
      </c>
      <c r="H43" s="1">
        <v>0.2</v>
      </c>
      <c r="I43" s="1">
        <f t="shared" ref="I43:I53" si="5">2*(1-2*ABS(E43)/D43)</f>
        <v>0.5</v>
      </c>
      <c r="J43" s="1">
        <f t="shared" ref="J43:J53" si="6">(C43-B43)*G43+B43-(B43+C43)*(H43/2)*I43</f>
        <v>0.32653549406158217</v>
      </c>
    </row>
    <row r="44" spans="1:10" x14ac:dyDescent="0.25">
      <c r="A44" s="13"/>
      <c r="B44" s="1">
        <v>0.36788301471656604</v>
      </c>
      <c r="C44" s="1">
        <v>0.30709342560553632</v>
      </c>
      <c r="D44" s="1">
        <v>2.3999999999999998E-3</v>
      </c>
      <c r="E44">
        <v>-6.9999999999999999E-4</v>
      </c>
      <c r="F44" s="1">
        <v>1</v>
      </c>
      <c r="G44">
        <f t="shared" ref="G44:G53" si="7">(0.5+E44/D44)^F44</f>
        <v>0.20833333333333331</v>
      </c>
      <c r="H44" s="1">
        <v>0.2</v>
      </c>
      <c r="I44" s="1">
        <f t="shared" si="5"/>
        <v>0.83333333333333326</v>
      </c>
      <c r="J44" s="1">
        <f t="shared" si="6"/>
        <v>0.29897048029159301</v>
      </c>
    </row>
    <row r="45" spans="1:10" x14ac:dyDescent="0.25">
      <c r="B45" s="1">
        <v>0.36788301471656604</v>
      </c>
      <c r="C45" s="1">
        <v>0.30709342560553632</v>
      </c>
      <c r="D45" s="1">
        <v>2.3999999999999998E-3</v>
      </c>
      <c r="E45">
        <v>-5.0000000000000001E-4</v>
      </c>
      <c r="F45" s="1">
        <v>1</v>
      </c>
      <c r="G45">
        <f t="shared" si="7"/>
        <v>0.29166666666666663</v>
      </c>
      <c r="H45" s="1">
        <v>0.2</v>
      </c>
      <c r="I45" s="1">
        <f t="shared" si="5"/>
        <v>1.1666666666666665</v>
      </c>
      <c r="J45" s="1">
        <f t="shared" si="6"/>
        <v>0.2714054665216038</v>
      </c>
    </row>
    <row r="46" spans="1:10" x14ac:dyDescent="0.25">
      <c r="B46" s="1">
        <v>0.36788301471656604</v>
      </c>
      <c r="C46" s="1">
        <v>0.30709342560553632</v>
      </c>
      <c r="D46" s="1">
        <v>2.3999999999999998E-3</v>
      </c>
      <c r="E46">
        <v>-3.0000000000000003E-4</v>
      </c>
      <c r="F46" s="1">
        <v>1</v>
      </c>
      <c r="G46">
        <f t="shared" si="7"/>
        <v>0.375</v>
      </c>
      <c r="H46" s="1">
        <v>0.2</v>
      </c>
      <c r="I46" s="1">
        <f t="shared" si="5"/>
        <v>1.5</v>
      </c>
      <c r="J46" s="1">
        <f t="shared" si="6"/>
        <v>0.24384045275161456</v>
      </c>
    </row>
    <row r="47" spans="1:10" x14ac:dyDescent="0.25">
      <c r="B47" s="1">
        <v>0.36788301471656604</v>
      </c>
      <c r="C47" s="1">
        <v>0.30709342560553632</v>
      </c>
      <c r="D47" s="1">
        <v>2.3999999999999998E-3</v>
      </c>
      <c r="E47">
        <v>-1.0000000000000002E-4</v>
      </c>
      <c r="F47" s="1">
        <v>1</v>
      </c>
      <c r="G47">
        <f t="shared" si="7"/>
        <v>0.45833333333333331</v>
      </c>
      <c r="H47" s="1">
        <v>0.2</v>
      </c>
      <c r="I47" s="1">
        <f t="shared" si="5"/>
        <v>1.8333333333333333</v>
      </c>
      <c r="J47" s="1">
        <f t="shared" si="6"/>
        <v>0.21627543898162527</v>
      </c>
    </row>
    <row r="48" spans="1:10" x14ac:dyDescent="0.25">
      <c r="B48" s="1">
        <v>0.36788301471656604</v>
      </c>
      <c r="C48" s="1">
        <v>0.30709342560553632</v>
      </c>
      <c r="D48" s="1">
        <v>2.3999999999999998E-3</v>
      </c>
      <c r="E48">
        <v>9.9999999999999991E-5</v>
      </c>
      <c r="F48" s="1">
        <v>1</v>
      </c>
      <c r="G48">
        <f t="shared" si="7"/>
        <v>0.54166666666666663</v>
      </c>
      <c r="H48" s="1">
        <v>0.2</v>
      </c>
      <c r="I48" s="1">
        <f t="shared" si="5"/>
        <v>1.8333333333333333</v>
      </c>
      <c r="J48" s="1">
        <f t="shared" si="6"/>
        <v>0.21120963988903951</v>
      </c>
    </row>
    <row r="49" spans="1:10" x14ac:dyDescent="0.25">
      <c r="B49" s="1">
        <v>0.36788301471656604</v>
      </c>
      <c r="C49" s="1">
        <v>0.30709342560553632</v>
      </c>
      <c r="D49" s="1">
        <v>2.3999999999999998E-3</v>
      </c>
      <c r="E49">
        <v>3.0000000000000003E-4</v>
      </c>
      <c r="F49" s="1">
        <v>1</v>
      </c>
      <c r="G49">
        <f t="shared" si="7"/>
        <v>0.625</v>
      </c>
      <c r="H49" s="1">
        <v>0.2</v>
      </c>
      <c r="I49" s="1">
        <f t="shared" si="5"/>
        <v>1.5</v>
      </c>
      <c r="J49" s="1">
        <f t="shared" si="6"/>
        <v>0.22864305547385708</v>
      </c>
    </row>
    <row r="50" spans="1:10" x14ac:dyDescent="0.25">
      <c r="B50" s="1">
        <v>0.36788301471656604</v>
      </c>
      <c r="C50" s="1">
        <v>0.30709342560553632</v>
      </c>
      <c r="D50" s="1">
        <v>2.3999999999999998E-3</v>
      </c>
      <c r="E50">
        <v>5.0000000000000001E-4</v>
      </c>
      <c r="F50" s="1">
        <v>1</v>
      </c>
      <c r="G50">
        <f t="shared" si="7"/>
        <v>0.70833333333333337</v>
      </c>
      <c r="H50" s="1">
        <v>0.2</v>
      </c>
      <c r="I50" s="1">
        <f t="shared" si="5"/>
        <v>1.1666666666666665</v>
      </c>
      <c r="J50" s="1">
        <f t="shared" si="6"/>
        <v>0.24607647105867475</v>
      </c>
    </row>
    <row r="51" spans="1:10" x14ac:dyDescent="0.25">
      <c r="B51" s="1">
        <v>0.36788301471656604</v>
      </c>
      <c r="C51" s="1">
        <v>0.30709342560553632</v>
      </c>
      <c r="D51" s="1">
        <v>2.3999999999999998E-3</v>
      </c>
      <c r="E51">
        <v>6.9999999999999999E-4</v>
      </c>
      <c r="F51" s="1">
        <v>1</v>
      </c>
      <c r="G51">
        <f t="shared" si="7"/>
        <v>0.79166666666666674</v>
      </c>
      <c r="H51" s="1">
        <v>0.2</v>
      </c>
      <c r="I51" s="1">
        <f t="shared" si="5"/>
        <v>0.83333333333333326</v>
      </c>
      <c r="J51" s="1">
        <f t="shared" si="6"/>
        <v>0.26350988664349229</v>
      </c>
    </row>
    <row r="52" spans="1:10" x14ac:dyDescent="0.25">
      <c r="B52" s="1">
        <v>0.36788301471656604</v>
      </c>
      <c r="C52" s="1">
        <v>0.30709342560553632</v>
      </c>
      <c r="D52" s="1">
        <v>2.3999999999999998E-3</v>
      </c>
      <c r="E52">
        <v>8.9999999999999998E-4</v>
      </c>
      <c r="F52" s="1">
        <v>1</v>
      </c>
      <c r="G52">
        <f t="shared" si="7"/>
        <v>0.875</v>
      </c>
      <c r="H52" s="1">
        <v>0.2</v>
      </c>
      <c r="I52" s="1">
        <f t="shared" si="5"/>
        <v>0.5</v>
      </c>
      <c r="J52" s="1">
        <f t="shared" si="6"/>
        <v>0.28094330222830993</v>
      </c>
    </row>
    <row r="53" spans="1:10" x14ac:dyDescent="0.25">
      <c r="B53" s="1">
        <v>0.36788301471656604</v>
      </c>
      <c r="C53" s="1">
        <v>0.30709342560553632</v>
      </c>
      <c r="D53" s="1">
        <v>2.3999999999999998E-3</v>
      </c>
      <c r="E53" s="13">
        <v>1.1000000000000001E-3</v>
      </c>
      <c r="F53" s="1">
        <v>1</v>
      </c>
      <c r="G53">
        <f t="shared" si="7"/>
        <v>0.95833333333333348</v>
      </c>
      <c r="H53" s="1">
        <v>0.2</v>
      </c>
      <c r="I53" s="1">
        <f t="shared" si="5"/>
        <v>0.1666666666666663</v>
      </c>
      <c r="J53" s="1">
        <f t="shared" si="6"/>
        <v>0.29837671781312752</v>
      </c>
    </row>
    <row r="54" spans="1:10" x14ac:dyDescent="0.25">
      <c r="B54" s="1"/>
      <c r="C54" s="1"/>
      <c r="D54" s="1"/>
      <c r="E54" s="13"/>
      <c r="F54" s="1"/>
      <c r="H54" s="14"/>
      <c r="I54" s="1"/>
      <c r="J54" s="1"/>
    </row>
    <row r="56" spans="1:10" x14ac:dyDescent="0.25">
      <c r="A56" t="s">
        <v>141</v>
      </c>
      <c r="B56" s="2" t="s">
        <v>188</v>
      </c>
      <c r="C56" s="2" t="s">
        <v>189</v>
      </c>
      <c r="D56" s="2" t="s">
        <v>146</v>
      </c>
      <c r="E56" s="2" t="s">
        <v>147</v>
      </c>
      <c r="F56" s="2" t="s">
        <v>148</v>
      </c>
      <c r="G56" s="2" t="s">
        <v>149</v>
      </c>
      <c r="H56" s="2" t="s">
        <v>150</v>
      </c>
      <c r="I56" s="2" t="s">
        <v>151</v>
      </c>
      <c r="J56" s="2" t="s">
        <v>152</v>
      </c>
    </row>
    <row r="57" spans="1:10" x14ac:dyDescent="0.25">
      <c r="B57" s="1">
        <v>56500000000</v>
      </c>
      <c r="C57" s="1">
        <v>44500000000</v>
      </c>
      <c r="D57" s="1">
        <v>2.3999999999999998E-3</v>
      </c>
      <c r="E57">
        <v>-1.1000000000000001E-3</v>
      </c>
      <c r="F57" s="1">
        <v>1</v>
      </c>
      <c r="G57">
        <f>(0.5+E57/D57)^F57</f>
        <v>4.1666666666666574E-2</v>
      </c>
      <c r="H57" s="1">
        <v>0.2</v>
      </c>
      <c r="I57" s="1">
        <f>2*(1-2*ABS(E57)/D57)</f>
        <v>0.1666666666666663</v>
      </c>
      <c r="J57" s="1">
        <f>(C57-B57)*G57+B57-(B57+C57)*(H57/2)*I57</f>
        <v>54316666666.666672</v>
      </c>
    </row>
    <row r="58" spans="1:10" x14ac:dyDescent="0.25">
      <c r="B58" s="1">
        <v>56500000000</v>
      </c>
      <c r="C58" s="1">
        <v>44500000000</v>
      </c>
      <c r="D58" s="1">
        <v>2.3999999999999998E-3</v>
      </c>
      <c r="E58">
        <f>-0.001+0.0001</f>
        <v>-8.9999999999999998E-4</v>
      </c>
      <c r="F58" s="1">
        <v>1</v>
      </c>
      <c r="G58">
        <f>(0.5+E58/D58)^F58</f>
        <v>0.125</v>
      </c>
      <c r="H58" s="1">
        <v>0.2</v>
      </c>
      <c r="I58" s="1">
        <f t="shared" ref="I58:I68" si="8">2*(1-2*ABS(E58)/D58)</f>
        <v>0.5</v>
      </c>
      <c r="J58" s="1">
        <f t="shared" ref="J58:J68" si="9">(C58-B58)*G58+B58-(B58+C58)*(H58/2)*I58</f>
        <v>49950000000</v>
      </c>
    </row>
    <row r="59" spans="1:10" x14ac:dyDescent="0.25">
      <c r="A59" s="13"/>
      <c r="B59" s="1">
        <v>56500000000</v>
      </c>
      <c r="C59" s="1">
        <v>44500000000</v>
      </c>
      <c r="D59" s="1">
        <v>2.3999999999999998E-3</v>
      </c>
      <c r="E59">
        <f>E58+0.0002</f>
        <v>-6.9999999999999999E-4</v>
      </c>
      <c r="F59" s="1">
        <v>1</v>
      </c>
      <c r="G59">
        <f t="shared" ref="G59:G68" si="10">(0.5+E59/D59)^F59</f>
        <v>0.20833333333333331</v>
      </c>
      <c r="H59" s="1">
        <v>0.2</v>
      </c>
      <c r="I59" s="1">
        <f t="shared" si="8"/>
        <v>0.83333333333333326</v>
      </c>
      <c r="J59" s="1">
        <f t="shared" si="9"/>
        <v>45583333333.333336</v>
      </c>
    </row>
    <row r="60" spans="1:10" x14ac:dyDescent="0.25">
      <c r="B60" s="1">
        <v>56500000000</v>
      </c>
      <c r="C60" s="1">
        <v>44500000000</v>
      </c>
      <c r="D60" s="1">
        <v>2.3999999999999998E-3</v>
      </c>
      <c r="E60">
        <f t="shared" ref="E60:E67" si="11">E59+0.0002</f>
        <v>-5.0000000000000001E-4</v>
      </c>
      <c r="F60" s="1">
        <v>1</v>
      </c>
      <c r="G60">
        <f t="shared" si="10"/>
        <v>0.29166666666666663</v>
      </c>
      <c r="H60" s="1">
        <v>0.2</v>
      </c>
      <c r="I60" s="1">
        <f t="shared" si="8"/>
        <v>1.1666666666666665</v>
      </c>
      <c r="J60" s="1">
        <f t="shared" si="9"/>
        <v>41216666666.666672</v>
      </c>
    </row>
    <row r="61" spans="1:10" x14ac:dyDescent="0.25">
      <c r="B61" s="1">
        <v>56500000000</v>
      </c>
      <c r="C61" s="1">
        <v>44500000000</v>
      </c>
      <c r="D61" s="1">
        <v>2.3999999999999998E-3</v>
      </c>
      <c r="E61">
        <f t="shared" si="11"/>
        <v>-3.0000000000000003E-4</v>
      </c>
      <c r="F61" s="1">
        <v>1</v>
      </c>
      <c r="G61">
        <f t="shared" si="10"/>
        <v>0.375</v>
      </c>
      <c r="H61" s="1">
        <v>0.2</v>
      </c>
      <c r="I61" s="1">
        <f t="shared" si="8"/>
        <v>1.5</v>
      </c>
      <c r="J61" s="1">
        <f t="shared" si="9"/>
        <v>36850000000</v>
      </c>
    </row>
    <row r="62" spans="1:10" x14ac:dyDescent="0.25">
      <c r="B62" s="1">
        <v>56500000000</v>
      </c>
      <c r="C62" s="1">
        <v>44500000000</v>
      </c>
      <c r="D62" s="1">
        <v>2.3999999999999998E-3</v>
      </c>
      <c r="E62">
        <f t="shared" si="11"/>
        <v>-1.0000000000000002E-4</v>
      </c>
      <c r="F62" s="1">
        <v>1</v>
      </c>
      <c r="G62">
        <f t="shared" si="10"/>
        <v>0.45833333333333331</v>
      </c>
      <c r="H62" s="1">
        <v>0.2</v>
      </c>
      <c r="I62" s="1">
        <f t="shared" si="8"/>
        <v>1.8333333333333333</v>
      </c>
      <c r="J62" s="1">
        <f t="shared" si="9"/>
        <v>32483333333.333336</v>
      </c>
    </row>
    <row r="63" spans="1:10" x14ac:dyDescent="0.25">
      <c r="B63" s="1">
        <v>56500000000</v>
      </c>
      <c r="C63" s="1">
        <v>44500000000</v>
      </c>
      <c r="D63" s="1">
        <v>2.3999999999999998E-3</v>
      </c>
      <c r="E63">
        <f t="shared" si="11"/>
        <v>9.9999999999999991E-5</v>
      </c>
      <c r="F63" s="1">
        <v>1</v>
      </c>
      <c r="G63">
        <f t="shared" si="10"/>
        <v>0.54166666666666663</v>
      </c>
      <c r="H63" s="1">
        <v>0.2</v>
      </c>
      <c r="I63" s="1">
        <f t="shared" si="8"/>
        <v>1.8333333333333333</v>
      </c>
      <c r="J63" s="1">
        <f t="shared" si="9"/>
        <v>31483333333.333336</v>
      </c>
    </row>
    <row r="64" spans="1:10" x14ac:dyDescent="0.25">
      <c r="B64" s="1">
        <v>56500000000</v>
      </c>
      <c r="C64" s="1">
        <v>44500000000</v>
      </c>
      <c r="D64" s="1">
        <v>2.3999999999999998E-3</v>
      </c>
      <c r="E64">
        <f t="shared" si="11"/>
        <v>3.0000000000000003E-4</v>
      </c>
      <c r="F64" s="1">
        <v>1</v>
      </c>
      <c r="G64">
        <f t="shared" si="10"/>
        <v>0.625</v>
      </c>
      <c r="H64" s="1">
        <v>0.2</v>
      </c>
      <c r="I64" s="1">
        <f t="shared" si="8"/>
        <v>1.5</v>
      </c>
      <c r="J64" s="1">
        <f t="shared" si="9"/>
        <v>33850000000</v>
      </c>
    </row>
    <row r="65" spans="1:10" x14ac:dyDescent="0.25">
      <c r="B65" s="1">
        <v>56500000000</v>
      </c>
      <c r="C65" s="1">
        <v>44500000000</v>
      </c>
      <c r="D65" s="1">
        <v>2.3999999999999998E-3</v>
      </c>
      <c r="E65">
        <f t="shared" si="11"/>
        <v>5.0000000000000001E-4</v>
      </c>
      <c r="F65" s="1">
        <v>1</v>
      </c>
      <c r="G65">
        <f t="shared" si="10"/>
        <v>0.70833333333333337</v>
      </c>
      <c r="H65" s="1">
        <v>0.2</v>
      </c>
      <c r="I65" s="1">
        <f t="shared" si="8"/>
        <v>1.1666666666666665</v>
      </c>
      <c r="J65" s="1">
        <f t="shared" si="9"/>
        <v>36216666666.666672</v>
      </c>
    </row>
    <row r="66" spans="1:10" x14ac:dyDescent="0.25">
      <c r="B66" s="1">
        <v>56500000000</v>
      </c>
      <c r="C66" s="1">
        <v>44500000000</v>
      </c>
      <c r="D66" s="1">
        <v>2.3999999999999998E-3</v>
      </c>
      <c r="E66">
        <f t="shared" si="11"/>
        <v>6.9999999999999999E-4</v>
      </c>
      <c r="F66" s="1">
        <v>1</v>
      </c>
      <c r="G66">
        <f t="shared" si="10"/>
        <v>0.79166666666666674</v>
      </c>
      <c r="H66" s="1">
        <v>0.2</v>
      </c>
      <c r="I66" s="1">
        <f t="shared" si="8"/>
        <v>0.83333333333333326</v>
      </c>
      <c r="J66" s="1">
        <f t="shared" si="9"/>
        <v>38583333333.333336</v>
      </c>
    </row>
    <row r="67" spans="1:10" x14ac:dyDescent="0.25">
      <c r="B67" s="1">
        <v>56500000000</v>
      </c>
      <c r="C67" s="1">
        <v>44500000000</v>
      </c>
      <c r="D67" s="1">
        <v>2.3999999999999998E-3</v>
      </c>
      <c r="E67">
        <f t="shared" si="11"/>
        <v>8.9999999999999998E-4</v>
      </c>
      <c r="F67" s="1">
        <v>1</v>
      </c>
      <c r="G67">
        <f t="shared" si="10"/>
        <v>0.875</v>
      </c>
      <c r="H67" s="1">
        <v>0.2</v>
      </c>
      <c r="I67" s="1">
        <f t="shared" si="8"/>
        <v>0.5</v>
      </c>
      <c r="J67" s="1">
        <f t="shared" si="9"/>
        <v>40950000000</v>
      </c>
    </row>
    <row r="68" spans="1:10" x14ac:dyDescent="0.25">
      <c r="B68" s="1">
        <v>56500000000</v>
      </c>
      <c r="C68" s="1">
        <v>44500000000</v>
      </c>
      <c r="D68" s="1">
        <v>2.3999999999999998E-3</v>
      </c>
      <c r="E68" s="13">
        <v>1.1000000000000001E-3</v>
      </c>
      <c r="F68" s="1">
        <v>1</v>
      </c>
      <c r="G68">
        <f t="shared" si="10"/>
        <v>0.95833333333333348</v>
      </c>
      <c r="H68" s="1">
        <v>0.2</v>
      </c>
      <c r="I68" s="1">
        <f t="shared" si="8"/>
        <v>0.1666666666666663</v>
      </c>
      <c r="J68" s="1">
        <f t="shared" si="9"/>
        <v>43316666666.666672</v>
      </c>
    </row>
    <row r="69" spans="1:10" x14ac:dyDescent="0.25">
      <c r="B69" s="1"/>
      <c r="D69" s="1"/>
      <c r="F69" s="1"/>
      <c r="H69" s="1"/>
    </row>
    <row r="70" spans="1:10" x14ac:dyDescent="0.25">
      <c r="B70" s="1"/>
      <c r="D70" s="1"/>
      <c r="F70" s="1"/>
      <c r="H70" s="1"/>
    </row>
    <row r="72" spans="1:10" x14ac:dyDescent="0.25">
      <c r="A72" s="10" t="s">
        <v>32</v>
      </c>
      <c r="B72" s="2" t="s">
        <v>188</v>
      </c>
      <c r="C72" s="2" t="s">
        <v>189</v>
      </c>
      <c r="D72" s="2" t="s">
        <v>146</v>
      </c>
      <c r="E72" s="2" t="s">
        <v>147</v>
      </c>
      <c r="F72" s="2" t="s">
        <v>148</v>
      </c>
      <c r="G72" s="2" t="s">
        <v>149</v>
      </c>
      <c r="H72" s="2" t="s">
        <v>150</v>
      </c>
      <c r="I72" s="2" t="s">
        <v>151</v>
      </c>
      <c r="J72" s="2" t="s">
        <v>152</v>
      </c>
    </row>
    <row r="73" spans="1:10" x14ac:dyDescent="0.25">
      <c r="B73" s="1">
        <v>52200000000</v>
      </c>
      <c r="C73" s="1">
        <v>51600000000</v>
      </c>
      <c r="D73" s="1">
        <v>2.3999999999999998E-3</v>
      </c>
      <c r="E73">
        <v>-1.1000000000000001E-3</v>
      </c>
      <c r="F73" s="1">
        <v>1</v>
      </c>
      <c r="G73">
        <f>(0.5+E73/D73)^F73</f>
        <v>4.1666666666666574E-2</v>
      </c>
      <c r="H73" s="1">
        <v>0.2</v>
      </c>
      <c r="I73" s="1">
        <f>2*(1-2*ABS(E73)/D73)</f>
        <v>0.1666666666666663</v>
      </c>
      <c r="J73" s="1">
        <f>(C73-B73)*G73+B73-(B73+C73)*(H73/2)*I73</f>
        <v>50445000000</v>
      </c>
    </row>
    <row r="74" spans="1:10" x14ac:dyDescent="0.25">
      <c r="B74" s="1">
        <v>52200000000</v>
      </c>
      <c r="C74" s="1">
        <v>51600000000</v>
      </c>
      <c r="D74" s="1">
        <v>2.3999999999999998E-3</v>
      </c>
      <c r="E74">
        <f>-0.001+0.0001</f>
        <v>-8.9999999999999998E-4</v>
      </c>
      <c r="F74" s="1">
        <v>1</v>
      </c>
      <c r="G74">
        <f>(0.5+E74/D74)^F74</f>
        <v>0.125</v>
      </c>
      <c r="H74" s="1">
        <v>0.2</v>
      </c>
      <c r="I74" s="1">
        <f t="shared" ref="I74:I84" si="12">2*(1-2*ABS(E74)/D74)</f>
        <v>0.5</v>
      </c>
      <c r="J74" s="1">
        <f t="shared" ref="J74:J84" si="13">(C74-B74)*G74+B74-(B74+C74)*(H74/2)*I74</f>
        <v>46935000000</v>
      </c>
    </row>
    <row r="75" spans="1:10" x14ac:dyDescent="0.25">
      <c r="B75" s="1">
        <v>52200000000</v>
      </c>
      <c r="C75" s="1">
        <v>51600000000</v>
      </c>
      <c r="D75" s="1">
        <v>2.3999999999999998E-3</v>
      </c>
      <c r="E75">
        <f>E74+0.0002</f>
        <v>-6.9999999999999999E-4</v>
      </c>
      <c r="F75" s="1">
        <v>1</v>
      </c>
      <c r="G75">
        <f t="shared" ref="G75:G84" si="14">(0.5+E75/D75)^F75</f>
        <v>0.20833333333333331</v>
      </c>
      <c r="H75" s="1">
        <v>0.2</v>
      </c>
      <c r="I75" s="1">
        <f t="shared" si="12"/>
        <v>0.83333333333333326</v>
      </c>
      <c r="J75" s="1">
        <f t="shared" si="13"/>
        <v>43425000000</v>
      </c>
    </row>
    <row r="76" spans="1:10" x14ac:dyDescent="0.25">
      <c r="B76" s="1">
        <v>52200000000</v>
      </c>
      <c r="C76" s="1">
        <v>51600000000</v>
      </c>
      <c r="D76" s="1">
        <v>2.3999999999999998E-3</v>
      </c>
      <c r="E76">
        <f t="shared" ref="E76:E83" si="15">E75+0.0002</f>
        <v>-5.0000000000000001E-4</v>
      </c>
      <c r="F76" s="1">
        <v>1</v>
      </c>
      <c r="G76">
        <f t="shared" si="14"/>
        <v>0.29166666666666663</v>
      </c>
      <c r="H76" s="1">
        <v>0.2</v>
      </c>
      <c r="I76" s="1">
        <f t="shared" si="12"/>
        <v>1.1666666666666665</v>
      </c>
      <c r="J76" s="1">
        <f t="shared" si="13"/>
        <v>39915000000</v>
      </c>
    </row>
    <row r="77" spans="1:10" x14ac:dyDescent="0.25">
      <c r="B77" s="1">
        <v>52200000000</v>
      </c>
      <c r="C77" s="1">
        <v>51600000000</v>
      </c>
      <c r="D77" s="1">
        <v>2.3999999999999998E-3</v>
      </c>
      <c r="E77">
        <f t="shared" si="15"/>
        <v>-3.0000000000000003E-4</v>
      </c>
      <c r="F77" s="1">
        <v>1</v>
      </c>
      <c r="G77">
        <f t="shared" si="14"/>
        <v>0.375</v>
      </c>
      <c r="H77" s="1">
        <v>0.2</v>
      </c>
      <c r="I77" s="1">
        <f t="shared" si="12"/>
        <v>1.5</v>
      </c>
      <c r="J77" s="1">
        <f t="shared" si="13"/>
        <v>36405000000</v>
      </c>
    </row>
    <row r="78" spans="1:10" x14ac:dyDescent="0.25">
      <c r="B78" s="1">
        <v>52200000000</v>
      </c>
      <c r="C78" s="1">
        <v>51600000000</v>
      </c>
      <c r="D78" s="1">
        <v>2.3999999999999998E-3</v>
      </c>
      <c r="E78">
        <f t="shared" si="15"/>
        <v>-1.0000000000000002E-4</v>
      </c>
      <c r="F78" s="1">
        <v>1</v>
      </c>
      <c r="G78">
        <f t="shared" si="14"/>
        <v>0.45833333333333331</v>
      </c>
      <c r="H78" s="1">
        <v>0.2</v>
      </c>
      <c r="I78" s="1">
        <f t="shared" si="12"/>
        <v>1.8333333333333333</v>
      </c>
      <c r="J78" s="1">
        <f t="shared" si="13"/>
        <v>32895000000</v>
      </c>
    </row>
    <row r="79" spans="1:10" x14ac:dyDescent="0.25">
      <c r="B79" s="1">
        <v>52200000000</v>
      </c>
      <c r="C79" s="1">
        <v>51600000000</v>
      </c>
      <c r="D79" s="1">
        <v>2.3999999999999998E-3</v>
      </c>
      <c r="E79">
        <f t="shared" si="15"/>
        <v>9.9999999999999991E-5</v>
      </c>
      <c r="F79" s="1">
        <v>1</v>
      </c>
      <c r="G79">
        <f t="shared" si="14"/>
        <v>0.54166666666666663</v>
      </c>
      <c r="H79" s="1">
        <v>0.2</v>
      </c>
      <c r="I79" s="1">
        <f t="shared" si="12"/>
        <v>1.8333333333333333</v>
      </c>
      <c r="J79" s="1">
        <f t="shared" si="13"/>
        <v>32845000000</v>
      </c>
    </row>
    <row r="80" spans="1:10" x14ac:dyDescent="0.25">
      <c r="B80" s="1">
        <v>52200000000</v>
      </c>
      <c r="C80" s="1">
        <v>51600000000</v>
      </c>
      <c r="D80" s="1">
        <v>2.3999999999999998E-3</v>
      </c>
      <c r="E80">
        <f t="shared" si="15"/>
        <v>3.0000000000000003E-4</v>
      </c>
      <c r="F80" s="1">
        <v>1</v>
      </c>
      <c r="G80">
        <f t="shared" si="14"/>
        <v>0.625</v>
      </c>
      <c r="H80" s="1">
        <v>0.2</v>
      </c>
      <c r="I80" s="1">
        <f t="shared" si="12"/>
        <v>1.5</v>
      </c>
      <c r="J80" s="1">
        <f t="shared" si="13"/>
        <v>36255000000</v>
      </c>
    </row>
    <row r="81" spans="1:10" x14ac:dyDescent="0.25">
      <c r="B81" s="1">
        <v>52200000000</v>
      </c>
      <c r="C81" s="1">
        <v>51600000000</v>
      </c>
      <c r="D81" s="1">
        <v>2.3999999999999998E-3</v>
      </c>
      <c r="E81">
        <f t="shared" si="15"/>
        <v>5.0000000000000001E-4</v>
      </c>
      <c r="F81" s="1">
        <v>1</v>
      </c>
      <c r="G81">
        <f t="shared" si="14"/>
        <v>0.70833333333333337</v>
      </c>
      <c r="H81" s="1">
        <v>0.2</v>
      </c>
      <c r="I81" s="1">
        <f t="shared" si="12"/>
        <v>1.1666666666666665</v>
      </c>
      <c r="J81" s="1">
        <f t="shared" si="13"/>
        <v>39665000000</v>
      </c>
    </row>
    <row r="82" spans="1:10" x14ac:dyDescent="0.25">
      <c r="B82" s="1">
        <v>52200000000</v>
      </c>
      <c r="C82" s="1">
        <v>51600000000</v>
      </c>
      <c r="D82" s="1">
        <v>2.3999999999999998E-3</v>
      </c>
      <c r="E82">
        <f t="shared" si="15"/>
        <v>6.9999999999999999E-4</v>
      </c>
      <c r="F82" s="1">
        <v>1</v>
      </c>
      <c r="G82">
        <f t="shared" si="14"/>
        <v>0.79166666666666674</v>
      </c>
      <c r="H82" s="1">
        <v>0.2</v>
      </c>
      <c r="I82" s="1">
        <f t="shared" si="12"/>
        <v>0.83333333333333326</v>
      </c>
      <c r="J82" s="1">
        <f t="shared" si="13"/>
        <v>43075000000</v>
      </c>
    </row>
    <row r="83" spans="1:10" x14ac:dyDescent="0.25">
      <c r="B83" s="1">
        <v>52200000000</v>
      </c>
      <c r="C83" s="1">
        <v>51600000000</v>
      </c>
      <c r="D83" s="1">
        <v>2.3999999999999998E-3</v>
      </c>
      <c r="E83">
        <f t="shared" si="15"/>
        <v>8.9999999999999998E-4</v>
      </c>
      <c r="F83" s="1">
        <v>1</v>
      </c>
      <c r="G83">
        <f t="shared" si="14"/>
        <v>0.875</v>
      </c>
      <c r="H83" s="1">
        <v>0.2</v>
      </c>
      <c r="I83" s="1">
        <f t="shared" si="12"/>
        <v>0.5</v>
      </c>
      <c r="J83" s="1">
        <f t="shared" si="13"/>
        <v>46485000000</v>
      </c>
    </row>
    <row r="84" spans="1:10" x14ac:dyDescent="0.25">
      <c r="B84" s="1">
        <v>52200000000</v>
      </c>
      <c r="C84" s="1">
        <v>51600000000</v>
      </c>
      <c r="D84" s="1">
        <v>2.3999999999999998E-3</v>
      </c>
      <c r="E84" s="13">
        <v>1.1000000000000001E-3</v>
      </c>
      <c r="F84" s="1">
        <v>1</v>
      </c>
      <c r="G84">
        <f t="shared" si="14"/>
        <v>0.95833333333333348</v>
      </c>
      <c r="H84" s="1">
        <v>0.2</v>
      </c>
      <c r="I84" s="1">
        <f t="shared" si="12"/>
        <v>0.1666666666666663</v>
      </c>
      <c r="J84" s="1">
        <f t="shared" si="13"/>
        <v>49895000000</v>
      </c>
    </row>
    <row r="86" spans="1:10" x14ac:dyDescent="0.25">
      <c r="A86" s="10" t="s">
        <v>154</v>
      </c>
      <c r="B86" s="2" t="s">
        <v>188</v>
      </c>
      <c r="C86" s="2" t="s">
        <v>189</v>
      </c>
      <c r="D86" s="2" t="s">
        <v>146</v>
      </c>
      <c r="E86" s="2" t="s">
        <v>147</v>
      </c>
      <c r="F86" s="2" t="s">
        <v>148</v>
      </c>
      <c r="G86" s="2" t="s">
        <v>149</v>
      </c>
      <c r="H86" s="2" t="s">
        <v>150</v>
      </c>
      <c r="I86" s="2" t="s">
        <v>151</v>
      </c>
      <c r="J86" s="2" t="s">
        <v>152</v>
      </c>
    </row>
    <row r="87" spans="1:10" x14ac:dyDescent="0.25">
      <c r="B87">
        <v>0</v>
      </c>
      <c r="C87" s="1">
        <v>-7.9837940896091497E-11</v>
      </c>
      <c r="D87" s="1">
        <v>2.3999999999999998E-3</v>
      </c>
      <c r="E87">
        <v>-1.1000000000000001E-3</v>
      </c>
      <c r="F87" s="1">
        <v>1</v>
      </c>
      <c r="G87">
        <f>(0.5+E87/D87)^F87</f>
        <v>4.1666666666666574E-2</v>
      </c>
      <c r="H87" s="1">
        <v>0.2</v>
      </c>
      <c r="I87" s="1">
        <f>2*(1-2*ABS(E87)/D87)</f>
        <v>0.1666666666666663</v>
      </c>
      <c r="J87" s="1">
        <f>(C87-B87)*G87+B87-(B87+C87)*(H87/2)*I87</f>
        <v>-1.9959485224022831E-12</v>
      </c>
    </row>
    <row r="88" spans="1:10" x14ac:dyDescent="0.25">
      <c r="B88">
        <v>0</v>
      </c>
      <c r="C88" s="1">
        <v>-7.9837940896091497E-11</v>
      </c>
      <c r="D88" s="1">
        <v>2.3999999999999998E-3</v>
      </c>
      <c r="E88">
        <f>-0.001+0.0001</f>
        <v>-8.9999999999999998E-4</v>
      </c>
      <c r="F88" s="1">
        <v>1</v>
      </c>
      <c r="G88">
        <f>(0.5+E88/D88)^F88</f>
        <v>0.125</v>
      </c>
      <c r="H88" s="1">
        <v>0.2</v>
      </c>
      <c r="I88" s="1">
        <f t="shared" ref="I88:I98" si="16">2*(1-2*ABS(E88)/D88)</f>
        <v>0.5</v>
      </c>
      <c r="J88" s="1">
        <f t="shared" ref="J88:J98" si="17">(C88-B88)*G88+B88-(B88+C88)*(H88/2)*I88</f>
        <v>-5.9878455672068621E-12</v>
      </c>
    </row>
    <row r="89" spans="1:10" x14ac:dyDescent="0.25">
      <c r="B89">
        <v>0</v>
      </c>
      <c r="C89" s="1">
        <v>-7.9837940896091497E-11</v>
      </c>
      <c r="D89" s="1">
        <v>2.3999999999999998E-3</v>
      </c>
      <c r="E89">
        <f>E88+0.0002</f>
        <v>-6.9999999999999999E-4</v>
      </c>
      <c r="F89" s="1">
        <v>1</v>
      </c>
      <c r="G89">
        <f t="shared" ref="G89:G98" si="18">(0.5+E89/D89)^F89</f>
        <v>0.20833333333333331</v>
      </c>
      <c r="H89" s="1">
        <v>0.2</v>
      </c>
      <c r="I89" s="1">
        <f t="shared" si="16"/>
        <v>0.83333333333333326</v>
      </c>
      <c r="J89" s="1">
        <f t="shared" si="17"/>
        <v>-9.9797426120114371E-12</v>
      </c>
    </row>
    <row r="90" spans="1:10" x14ac:dyDescent="0.25">
      <c r="B90">
        <v>0</v>
      </c>
      <c r="C90" s="1">
        <v>-7.9837940896091497E-11</v>
      </c>
      <c r="D90" s="1">
        <v>2.3999999999999998E-3</v>
      </c>
      <c r="E90">
        <f t="shared" ref="E90:E97" si="19">E89+0.0002</f>
        <v>-5.0000000000000001E-4</v>
      </c>
      <c r="F90" s="1">
        <v>1</v>
      </c>
      <c r="G90">
        <f t="shared" si="18"/>
        <v>0.29166666666666663</v>
      </c>
      <c r="H90" s="1">
        <v>0.2</v>
      </c>
      <c r="I90" s="1">
        <f t="shared" si="16"/>
        <v>1.1666666666666665</v>
      </c>
      <c r="J90" s="1">
        <f t="shared" si="17"/>
        <v>-1.397163965681601E-11</v>
      </c>
    </row>
    <row r="91" spans="1:10" x14ac:dyDescent="0.25">
      <c r="B91">
        <v>0</v>
      </c>
      <c r="C91" s="1">
        <v>-7.9837940896091497E-11</v>
      </c>
      <c r="D91" s="1">
        <v>2.3999999999999998E-3</v>
      </c>
      <c r="E91">
        <f t="shared" si="19"/>
        <v>-3.0000000000000003E-4</v>
      </c>
      <c r="F91" s="1">
        <v>1</v>
      </c>
      <c r="G91">
        <f t="shared" si="18"/>
        <v>0.375</v>
      </c>
      <c r="H91" s="1">
        <v>0.2</v>
      </c>
      <c r="I91" s="1">
        <f t="shared" si="16"/>
        <v>1.5</v>
      </c>
      <c r="J91" s="1">
        <f t="shared" si="17"/>
        <v>-1.7963536701620584E-11</v>
      </c>
    </row>
    <row r="92" spans="1:10" x14ac:dyDescent="0.25">
      <c r="B92">
        <v>0</v>
      </c>
      <c r="C92" s="1">
        <v>-7.9837940896091497E-11</v>
      </c>
      <c r="D92" s="1">
        <v>2.3999999999999998E-3</v>
      </c>
      <c r="E92">
        <f t="shared" si="19"/>
        <v>-1.0000000000000002E-4</v>
      </c>
      <c r="F92" s="1">
        <v>1</v>
      </c>
      <c r="G92">
        <f t="shared" si="18"/>
        <v>0.45833333333333331</v>
      </c>
      <c r="H92" s="1">
        <v>0.2</v>
      </c>
      <c r="I92" s="1">
        <f t="shared" si="16"/>
        <v>1.8333333333333333</v>
      </c>
      <c r="J92" s="1">
        <f t="shared" si="17"/>
        <v>-2.1955433746425161E-11</v>
      </c>
    </row>
    <row r="93" spans="1:10" x14ac:dyDescent="0.25">
      <c r="B93">
        <v>0</v>
      </c>
      <c r="C93" s="1">
        <v>-7.9837940896091497E-11</v>
      </c>
      <c r="D93" s="1">
        <v>2.3999999999999998E-3</v>
      </c>
      <c r="E93">
        <f t="shared" si="19"/>
        <v>9.9999999999999991E-5</v>
      </c>
      <c r="F93" s="1">
        <v>1</v>
      </c>
      <c r="G93">
        <f t="shared" si="18"/>
        <v>0.54166666666666663</v>
      </c>
      <c r="H93" s="1">
        <v>0.2</v>
      </c>
      <c r="I93" s="1">
        <f t="shared" si="16"/>
        <v>1.8333333333333333</v>
      </c>
      <c r="J93" s="1">
        <f t="shared" si="17"/>
        <v>-2.8608595487766114E-11</v>
      </c>
    </row>
    <row r="94" spans="1:10" x14ac:dyDescent="0.25">
      <c r="B94">
        <v>0</v>
      </c>
      <c r="C94" s="1">
        <v>-7.9837940896091497E-11</v>
      </c>
      <c r="D94" s="1">
        <v>2.3999999999999998E-3</v>
      </c>
      <c r="E94">
        <f t="shared" si="19"/>
        <v>3.0000000000000003E-4</v>
      </c>
      <c r="F94" s="1">
        <v>1</v>
      </c>
      <c r="G94">
        <f t="shared" si="18"/>
        <v>0.625</v>
      </c>
      <c r="H94" s="1">
        <v>0.2</v>
      </c>
      <c r="I94" s="1">
        <f t="shared" si="16"/>
        <v>1.5</v>
      </c>
      <c r="J94" s="1">
        <f t="shared" si="17"/>
        <v>-3.7923021925643465E-11</v>
      </c>
    </row>
    <row r="95" spans="1:10" x14ac:dyDescent="0.25">
      <c r="B95">
        <v>0</v>
      </c>
      <c r="C95" s="1">
        <v>-7.9837940896091497E-11</v>
      </c>
      <c r="D95" s="1">
        <v>2.3999999999999998E-3</v>
      </c>
      <c r="E95">
        <f t="shared" si="19"/>
        <v>5.0000000000000001E-4</v>
      </c>
      <c r="F95" s="1">
        <v>1</v>
      </c>
      <c r="G95">
        <f t="shared" si="18"/>
        <v>0.70833333333333337</v>
      </c>
      <c r="H95" s="1">
        <v>0.2</v>
      </c>
      <c r="I95" s="1">
        <f t="shared" si="16"/>
        <v>1.1666666666666665</v>
      </c>
      <c r="J95" s="1">
        <f t="shared" si="17"/>
        <v>-4.7237448363520802E-11</v>
      </c>
    </row>
    <row r="96" spans="1:10" x14ac:dyDescent="0.25">
      <c r="B96">
        <v>0</v>
      </c>
      <c r="C96" s="1">
        <v>-7.9837940896091497E-11</v>
      </c>
      <c r="D96" s="1">
        <v>2.3999999999999998E-3</v>
      </c>
      <c r="E96">
        <f t="shared" si="19"/>
        <v>6.9999999999999999E-4</v>
      </c>
      <c r="F96" s="1">
        <v>1</v>
      </c>
      <c r="G96">
        <f t="shared" si="18"/>
        <v>0.79166666666666674</v>
      </c>
      <c r="H96" s="1">
        <v>0.2</v>
      </c>
      <c r="I96" s="1">
        <f t="shared" si="16"/>
        <v>0.83333333333333326</v>
      </c>
      <c r="J96" s="1">
        <f t="shared" si="17"/>
        <v>-5.6551874801398153E-11</v>
      </c>
    </row>
    <row r="97" spans="1:10" x14ac:dyDescent="0.25">
      <c r="B97">
        <v>0</v>
      </c>
      <c r="C97" s="1">
        <v>-7.9837940896091497E-11</v>
      </c>
      <c r="D97" s="1">
        <v>2.3999999999999998E-3</v>
      </c>
      <c r="E97">
        <f t="shared" si="19"/>
        <v>8.9999999999999998E-4</v>
      </c>
      <c r="F97" s="1">
        <v>1</v>
      </c>
      <c r="G97">
        <f t="shared" si="18"/>
        <v>0.875</v>
      </c>
      <c r="H97" s="1">
        <v>0.2</v>
      </c>
      <c r="I97" s="1">
        <f t="shared" si="16"/>
        <v>0.5</v>
      </c>
      <c r="J97" s="1">
        <f t="shared" si="17"/>
        <v>-6.5866301239275477E-11</v>
      </c>
    </row>
    <row r="98" spans="1:10" x14ac:dyDescent="0.25">
      <c r="B98">
        <v>0</v>
      </c>
      <c r="C98" s="1">
        <v>-7.9837940896091497E-11</v>
      </c>
      <c r="D98" s="1">
        <v>2.3999999999999998E-3</v>
      </c>
      <c r="E98" s="13">
        <v>1.1000000000000001E-3</v>
      </c>
      <c r="F98" s="1">
        <v>1</v>
      </c>
      <c r="G98">
        <f t="shared" si="18"/>
        <v>0.95833333333333348</v>
      </c>
      <c r="H98" s="1">
        <v>0.2</v>
      </c>
      <c r="I98" s="1">
        <f t="shared" si="16"/>
        <v>0.1666666666666663</v>
      </c>
      <c r="J98" s="1">
        <f t="shared" si="17"/>
        <v>-7.5180727677152841E-11</v>
      </c>
    </row>
    <row r="100" spans="1:10" x14ac:dyDescent="0.25">
      <c r="A100" s="10" t="s">
        <v>38</v>
      </c>
      <c r="B100" s="2" t="s">
        <v>188</v>
      </c>
      <c r="C100" s="2" t="s">
        <v>189</v>
      </c>
      <c r="D100" s="2" t="s">
        <v>146</v>
      </c>
      <c r="E100" s="2" t="s">
        <v>147</v>
      </c>
      <c r="F100" s="2" t="s">
        <v>148</v>
      </c>
      <c r="G100" s="2" t="s">
        <v>149</v>
      </c>
      <c r="H100" s="2" t="s">
        <v>150</v>
      </c>
      <c r="I100" s="2" t="s">
        <v>151</v>
      </c>
      <c r="J100" s="2" t="s">
        <v>152</v>
      </c>
    </row>
    <row r="101" spans="1:10" x14ac:dyDescent="0.25">
      <c r="B101" s="1">
        <v>138.44155844155841</v>
      </c>
      <c r="C101" s="1">
        <v>0</v>
      </c>
      <c r="D101" s="1">
        <v>2.3999999999999998E-3</v>
      </c>
      <c r="E101">
        <v>-1.1000000000000001E-3</v>
      </c>
      <c r="F101" s="1">
        <v>1</v>
      </c>
      <c r="G101">
        <f>(0.5+E101/D101)^F101</f>
        <v>4.1666666666666574E-2</v>
      </c>
      <c r="H101" s="1">
        <v>0.2</v>
      </c>
      <c r="I101" s="1">
        <f>2*(1-2*ABS(E101)/D101)</f>
        <v>0.1666666666666663</v>
      </c>
      <c r="J101" s="1">
        <f>(C101-B101)*G101+B101-(B101+C101)*(H101/2)*I101</f>
        <v>130.36580086580088</v>
      </c>
    </row>
    <row r="102" spans="1:10" x14ac:dyDescent="0.25">
      <c r="B102" s="1">
        <v>138.44155844155841</v>
      </c>
      <c r="C102" s="1">
        <v>0</v>
      </c>
      <c r="D102" s="1">
        <v>2.3999999999999998E-3</v>
      </c>
      <c r="E102">
        <f>-0.001+0.0001</f>
        <v>-8.9999999999999998E-4</v>
      </c>
      <c r="F102" s="1">
        <v>1</v>
      </c>
      <c r="G102">
        <f>(0.5+E102/D102)^F102</f>
        <v>0.125</v>
      </c>
      <c r="H102" s="1">
        <v>0.2</v>
      </c>
      <c r="I102" s="1">
        <f t="shared" ref="I102:I112" si="20">2*(1-2*ABS(E102)/D102)</f>
        <v>0.5</v>
      </c>
      <c r="J102" s="1">
        <f t="shared" ref="J102:J112" si="21">(C102-B102)*G102+B102-(B102+C102)*(H102/2)*I102</f>
        <v>114.21428571428569</v>
      </c>
    </row>
    <row r="103" spans="1:10" x14ac:dyDescent="0.25">
      <c r="B103" s="1">
        <v>138.44155844155841</v>
      </c>
      <c r="C103" s="1">
        <v>0</v>
      </c>
      <c r="D103" s="1">
        <v>2.3999999999999998E-3</v>
      </c>
      <c r="E103">
        <f>E102+0.0002</f>
        <v>-6.9999999999999999E-4</v>
      </c>
      <c r="F103" s="1">
        <v>1</v>
      </c>
      <c r="G103">
        <f t="shared" ref="G103:G112" si="22">(0.5+E103/D103)^F103</f>
        <v>0.20833333333333331</v>
      </c>
      <c r="H103" s="1">
        <v>0.2</v>
      </c>
      <c r="I103" s="1">
        <f t="shared" si="20"/>
        <v>0.83333333333333326</v>
      </c>
      <c r="J103" s="1">
        <f t="shared" si="21"/>
        <v>98.062770562770552</v>
      </c>
    </row>
    <row r="104" spans="1:10" x14ac:dyDescent="0.25">
      <c r="B104" s="1">
        <v>138.44155844155841</v>
      </c>
      <c r="C104" s="1">
        <v>0</v>
      </c>
      <c r="D104" s="1">
        <v>2.3999999999999998E-3</v>
      </c>
      <c r="E104">
        <f t="shared" ref="E104:E111" si="23">E103+0.0002</f>
        <v>-5.0000000000000001E-4</v>
      </c>
      <c r="F104" s="1">
        <v>1</v>
      </c>
      <c r="G104">
        <f t="shared" si="22"/>
        <v>0.29166666666666663</v>
      </c>
      <c r="H104" s="1">
        <v>0.2</v>
      </c>
      <c r="I104" s="1">
        <f t="shared" si="20"/>
        <v>1.1666666666666665</v>
      </c>
      <c r="J104" s="1">
        <f t="shared" si="21"/>
        <v>81.911255411255382</v>
      </c>
    </row>
    <row r="105" spans="1:10" x14ac:dyDescent="0.25">
      <c r="B105" s="1">
        <v>138.44155844155841</v>
      </c>
      <c r="C105" s="1">
        <v>0</v>
      </c>
      <c r="D105" s="1">
        <v>2.3999999999999998E-3</v>
      </c>
      <c r="E105">
        <f t="shared" si="23"/>
        <v>-3.0000000000000003E-4</v>
      </c>
      <c r="F105" s="1">
        <v>1</v>
      </c>
      <c r="G105">
        <f t="shared" si="22"/>
        <v>0.375</v>
      </c>
      <c r="H105" s="1">
        <v>0.2</v>
      </c>
      <c r="I105" s="1">
        <f t="shared" si="20"/>
        <v>1.5</v>
      </c>
      <c r="J105" s="1">
        <f t="shared" si="21"/>
        <v>65.759740259740241</v>
      </c>
    </row>
    <row r="106" spans="1:10" x14ac:dyDescent="0.25">
      <c r="B106" s="1">
        <v>138.44155844155841</v>
      </c>
      <c r="C106" s="1">
        <v>0</v>
      </c>
      <c r="D106" s="1">
        <v>2.3999999999999998E-3</v>
      </c>
      <c r="E106">
        <f t="shared" si="23"/>
        <v>-1.0000000000000002E-4</v>
      </c>
      <c r="F106" s="1">
        <v>1</v>
      </c>
      <c r="G106">
        <f t="shared" si="22"/>
        <v>0.45833333333333331</v>
      </c>
      <c r="H106" s="1">
        <v>0.2</v>
      </c>
      <c r="I106" s="1">
        <f t="shared" si="20"/>
        <v>1.8333333333333333</v>
      </c>
      <c r="J106" s="1">
        <f t="shared" si="21"/>
        <v>49.608225108225099</v>
      </c>
    </row>
    <row r="107" spans="1:10" x14ac:dyDescent="0.25">
      <c r="B107" s="1">
        <v>138.44155844155841</v>
      </c>
      <c r="C107" s="1">
        <v>0</v>
      </c>
      <c r="D107" s="1">
        <v>2.3999999999999998E-3</v>
      </c>
      <c r="E107">
        <f t="shared" si="23"/>
        <v>9.9999999999999991E-5</v>
      </c>
      <c r="F107" s="1">
        <v>1</v>
      </c>
      <c r="G107">
        <f t="shared" si="22"/>
        <v>0.54166666666666663</v>
      </c>
      <c r="H107" s="1">
        <v>0.2</v>
      </c>
      <c r="I107" s="1">
        <f t="shared" si="20"/>
        <v>1.8333333333333333</v>
      </c>
      <c r="J107" s="1">
        <f t="shared" si="21"/>
        <v>38.071428571428569</v>
      </c>
    </row>
    <row r="108" spans="1:10" x14ac:dyDescent="0.25">
      <c r="B108" s="1">
        <v>138.44155844155841</v>
      </c>
      <c r="C108" s="1">
        <v>0</v>
      </c>
      <c r="D108" s="1">
        <v>2.3999999999999998E-3</v>
      </c>
      <c r="E108">
        <f t="shared" si="23"/>
        <v>3.0000000000000003E-4</v>
      </c>
      <c r="F108" s="1">
        <v>1</v>
      </c>
      <c r="G108">
        <f t="shared" si="22"/>
        <v>0.625</v>
      </c>
      <c r="H108" s="1">
        <v>0.2</v>
      </c>
      <c r="I108" s="1">
        <f t="shared" si="20"/>
        <v>1.5</v>
      </c>
      <c r="J108" s="1">
        <f t="shared" si="21"/>
        <v>31.149350649350641</v>
      </c>
    </row>
    <row r="109" spans="1:10" x14ac:dyDescent="0.25">
      <c r="B109" s="1">
        <v>138.44155844155841</v>
      </c>
      <c r="C109" s="1">
        <v>0</v>
      </c>
      <c r="D109" s="1">
        <v>2.3999999999999998E-3</v>
      </c>
      <c r="E109">
        <f t="shared" si="23"/>
        <v>5.0000000000000001E-4</v>
      </c>
      <c r="F109" s="1">
        <v>1</v>
      </c>
      <c r="G109">
        <f t="shared" si="22"/>
        <v>0.70833333333333337</v>
      </c>
      <c r="H109" s="1">
        <v>0.2</v>
      </c>
      <c r="I109" s="1">
        <f t="shared" si="20"/>
        <v>1.1666666666666665</v>
      </c>
      <c r="J109" s="1">
        <f t="shared" si="21"/>
        <v>24.227272727272712</v>
      </c>
    </row>
    <row r="110" spans="1:10" x14ac:dyDescent="0.25">
      <c r="B110" s="1">
        <v>138.44155844155841</v>
      </c>
      <c r="C110" s="1">
        <v>0</v>
      </c>
      <c r="D110" s="1">
        <v>2.3999999999999998E-3</v>
      </c>
      <c r="E110">
        <f t="shared" si="23"/>
        <v>6.9999999999999999E-4</v>
      </c>
      <c r="F110" s="1">
        <v>1</v>
      </c>
      <c r="G110">
        <f t="shared" si="22"/>
        <v>0.79166666666666674</v>
      </c>
      <c r="H110" s="1">
        <v>0.2</v>
      </c>
      <c r="I110" s="1">
        <f t="shared" si="20"/>
        <v>0.83333333333333326</v>
      </c>
      <c r="J110" s="1">
        <f t="shared" si="21"/>
        <v>17.305194805194795</v>
      </c>
    </row>
    <row r="111" spans="1:10" x14ac:dyDescent="0.25">
      <c r="B111" s="1">
        <v>138.44155844155841</v>
      </c>
      <c r="C111" s="1">
        <v>0</v>
      </c>
      <c r="D111" s="1">
        <v>2.3999999999999998E-3</v>
      </c>
      <c r="E111">
        <f t="shared" si="23"/>
        <v>8.9999999999999998E-4</v>
      </c>
      <c r="F111" s="1">
        <v>1</v>
      </c>
      <c r="G111">
        <f t="shared" si="22"/>
        <v>0.875</v>
      </c>
      <c r="H111" s="1">
        <v>0.2</v>
      </c>
      <c r="I111" s="1">
        <f t="shared" si="20"/>
        <v>0.5</v>
      </c>
      <c r="J111" s="1">
        <f t="shared" si="21"/>
        <v>10.38311688311688</v>
      </c>
    </row>
    <row r="112" spans="1:10" x14ac:dyDescent="0.25">
      <c r="B112" s="1">
        <v>138.44155844155841</v>
      </c>
      <c r="C112" s="1">
        <v>0</v>
      </c>
      <c r="D112" s="1">
        <v>2.3999999999999998E-3</v>
      </c>
      <c r="E112" s="13">
        <v>1.1000000000000001E-3</v>
      </c>
      <c r="F112" s="1">
        <v>1</v>
      </c>
      <c r="G112">
        <f t="shared" si="22"/>
        <v>0.95833333333333348</v>
      </c>
      <c r="H112" s="1">
        <v>0.2</v>
      </c>
      <c r="I112" s="1">
        <f t="shared" si="20"/>
        <v>0.1666666666666663</v>
      </c>
      <c r="J112" s="1">
        <f t="shared" si="21"/>
        <v>3.4610389610389416</v>
      </c>
    </row>
    <row r="114" spans="1:10" x14ac:dyDescent="0.25">
      <c r="A114" s="10" t="s">
        <v>40</v>
      </c>
      <c r="B114" s="2" t="s">
        <v>188</v>
      </c>
      <c r="C114" s="2" t="s">
        <v>189</v>
      </c>
      <c r="D114" s="2" t="s">
        <v>146</v>
      </c>
      <c r="E114" s="2" t="s">
        <v>147</v>
      </c>
      <c r="F114" s="2" t="s">
        <v>148</v>
      </c>
      <c r="G114" s="2" t="s">
        <v>149</v>
      </c>
      <c r="H114" s="2" t="s">
        <v>150</v>
      </c>
      <c r="I114" s="2" t="s">
        <v>151</v>
      </c>
      <c r="J114" s="2" t="s">
        <v>152</v>
      </c>
    </row>
    <row r="115" spans="1:10" x14ac:dyDescent="0.25">
      <c r="B115">
        <v>9.3000000000000002E-11</v>
      </c>
      <c r="C115">
        <v>1.4735555555555557E-8</v>
      </c>
      <c r="D115" s="1">
        <v>2.3999999999999998E-3</v>
      </c>
      <c r="E115">
        <v>-1.1000000000000001E-3</v>
      </c>
      <c r="F115" s="1">
        <v>1</v>
      </c>
      <c r="G115">
        <f>(0.5+E115/D115)^F115</f>
        <v>4.1666666666666574E-2</v>
      </c>
      <c r="H115" s="1">
        <v>0.2</v>
      </c>
      <c r="I115" s="1">
        <f>2*(1-2*ABS(E115)/D115)</f>
        <v>0.1666666666666663</v>
      </c>
      <c r="J115" s="1">
        <f>(C115-B115)*G115+B115-(B115+C115)*(H115/2)*I115</f>
        <v>4.559638888888881E-10</v>
      </c>
    </row>
    <row r="116" spans="1:10" x14ac:dyDescent="0.25">
      <c r="B116">
        <v>9.3000000000000002E-11</v>
      </c>
      <c r="C116">
        <v>1.4735555555555557E-8</v>
      </c>
      <c r="D116" s="1">
        <v>2.3999999999999998E-3</v>
      </c>
      <c r="E116">
        <f>-0.001+0.0001</f>
        <v>-8.9999999999999998E-4</v>
      </c>
      <c r="F116" s="1">
        <v>1</v>
      </c>
      <c r="G116">
        <f>(0.5+E116/D116)^F116</f>
        <v>0.125</v>
      </c>
      <c r="H116" s="1">
        <v>0.2</v>
      </c>
      <c r="I116" s="1">
        <f t="shared" ref="I116:I126" si="24">2*(1-2*ABS(E116)/D116)</f>
        <v>0.5</v>
      </c>
      <c r="J116" s="1">
        <f t="shared" ref="J116:J126" si="25">(C116-B116)*G116+B116-(B116+C116)*(H116/2)*I116</f>
        <v>1.1818916666666668E-9</v>
      </c>
    </row>
    <row r="117" spans="1:10" x14ac:dyDescent="0.25">
      <c r="B117">
        <v>9.3000000000000002E-11</v>
      </c>
      <c r="C117">
        <v>1.4735555555555557E-8</v>
      </c>
      <c r="D117" s="1">
        <v>2.3999999999999998E-3</v>
      </c>
      <c r="E117">
        <f>E116+0.0002</f>
        <v>-6.9999999999999999E-4</v>
      </c>
      <c r="F117" s="1">
        <v>1</v>
      </c>
      <c r="G117">
        <f t="shared" ref="G117:G126" si="26">(0.5+E117/D117)^F117</f>
        <v>0.20833333333333331</v>
      </c>
      <c r="H117" s="1">
        <v>0.2</v>
      </c>
      <c r="I117" s="1">
        <f t="shared" si="24"/>
        <v>0.83333333333333326</v>
      </c>
      <c r="J117" s="1">
        <f t="shared" si="25"/>
        <v>1.9078194444444445E-9</v>
      </c>
    </row>
    <row r="118" spans="1:10" x14ac:dyDescent="0.25">
      <c r="B118">
        <v>9.3000000000000002E-11</v>
      </c>
      <c r="C118">
        <v>1.4735555555555557E-8</v>
      </c>
      <c r="D118" s="1">
        <v>2.3999999999999998E-3</v>
      </c>
      <c r="E118">
        <f t="shared" ref="E118:E125" si="27">E117+0.0002</f>
        <v>-5.0000000000000001E-4</v>
      </c>
      <c r="F118" s="1">
        <v>1</v>
      </c>
      <c r="G118">
        <f t="shared" si="26"/>
        <v>0.29166666666666663</v>
      </c>
      <c r="H118" s="1">
        <v>0.2</v>
      </c>
      <c r="I118" s="1">
        <f t="shared" si="24"/>
        <v>1.1666666666666665</v>
      </c>
      <c r="J118" s="1">
        <f t="shared" si="25"/>
        <v>2.6337472222222223E-9</v>
      </c>
    </row>
    <row r="119" spans="1:10" x14ac:dyDescent="0.25">
      <c r="B119">
        <v>9.3000000000000002E-11</v>
      </c>
      <c r="C119">
        <v>1.4735555555555557E-8</v>
      </c>
      <c r="D119" s="1">
        <v>2.3999999999999998E-3</v>
      </c>
      <c r="E119">
        <f t="shared" si="27"/>
        <v>-3.0000000000000003E-4</v>
      </c>
      <c r="F119" s="1">
        <v>1</v>
      </c>
      <c r="G119">
        <f t="shared" si="26"/>
        <v>0.375</v>
      </c>
      <c r="H119" s="1">
        <v>0.2</v>
      </c>
      <c r="I119" s="1">
        <f t="shared" si="24"/>
        <v>1.5</v>
      </c>
      <c r="J119" s="1">
        <f t="shared" si="25"/>
        <v>3.3596750000000006E-9</v>
      </c>
    </row>
    <row r="120" spans="1:10" x14ac:dyDescent="0.25">
      <c r="B120">
        <v>9.3000000000000002E-11</v>
      </c>
      <c r="C120">
        <v>1.4735555555555557E-8</v>
      </c>
      <c r="D120" s="1">
        <v>2.3999999999999998E-3</v>
      </c>
      <c r="E120">
        <f t="shared" si="27"/>
        <v>-1.0000000000000002E-4</v>
      </c>
      <c r="F120" s="1">
        <v>1</v>
      </c>
      <c r="G120">
        <f t="shared" si="26"/>
        <v>0.45833333333333331</v>
      </c>
      <c r="H120" s="1">
        <v>0.2</v>
      </c>
      <c r="I120" s="1">
        <f t="shared" si="24"/>
        <v>1.8333333333333333</v>
      </c>
      <c r="J120" s="1">
        <f t="shared" si="25"/>
        <v>4.0856027777777781E-9</v>
      </c>
    </row>
    <row r="121" spans="1:10" x14ac:dyDescent="0.25">
      <c r="B121">
        <v>9.3000000000000002E-11</v>
      </c>
      <c r="C121">
        <v>1.4735555555555557E-8</v>
      </c>
      <c r="D121" s="1">
        <v>2.3999999999999998E-3</v>
      </c>
      <c r="E121">
        <f t="shared" si="27"/>
        <v>9.9999999999999991E-5</v>
      </c>
      <c r="F121" s="1">
        <v>1</v>
      </c>
      <c r="G121">
        <f t="shared" si="26"/>
        <v>0.54166666666666663</v>
      </c>
      <c r="H121" s="1">
        <v>0.2</v>
      </c>
      <c r="I121" s="1">
        <f t="shared" si="24"/>
        <v>1.8333333333333333</v>
      </c>
      <c r="J121" s="1">
        <f t="shared" si="25"/>
        <v>5.3058157407407417E-9</v>
      </c>
    </row>
    <row r="122" spans="1:10" x14ac:dyDescent="0.25">
      <c r="B122">
        <v>9.3000000000000002E-11</v>
      </c>
      <c r="C122">
        <v>1.4735555555555557E-8</v>
      </c>
      <c r="D122" s="1">
        <v>2.3999999999999998E-3</v>
      </c>
      <c r="E122">
        <f t="shared" si="27"/>
        <v>3.0000000000000003E-4</v>
      </c>
      <c r="F122" s="1">
        <v>1</v>
      </c>
      <c r="G122">
        <f t="shared" si="26"/>
        <v>0.625</v>
      </c>
      <c r="H122" s="1">
        <v>0.2</v>
      </c>
      <c r="I122" s="1">
        <f t="shared" si="24"/>
        <v>1.5</v>
      </c>
      <c r="J122" s="1">
        <f t="shared" si="25"/>
        <v>7.0203138888888883E-9</v>
      </c>
    </row>
    <row r="123" spans="1:10" x14ac:dyDescent="0.25">
      <c r="B123">
        <v>9.3000000000000002E-11</v>
      </c>
      <c r="C123">
        <v>1.4735555555555557E-8</v>
      </c>
      <c r="D123" s="1">
        <v>2.3999999999999998E-3</v>
      </c>
      <c r="E123">
        <f t="shared" si="27"/>
        <v>5.0000000000000001E-4</v>
      </c>
      <c r="F123" s="1">
        <v>1</v>
      </c>
      <c r="G123">
        <f t="shared" si="26"/>
        <v>0.70833333333333337</v>
      </c>
      <c r="H123" s="1">
        <v>0.2</v>
      </c>
      <c r="I123" s="1">
        <f t="shared" si="24"/>
        <v>1.1666666666666665</v>
      </c>
      <c r="J123" s="1">
        <f t="shared" si="25"/>
        <v>8.7348120370370382E-9</v>
      </c>
    </row>
    <row r="124" spans="1:10" x14ac:dyDescent="0.25">
      <c r="B124">
        <v>9.3000000000000002E-11</v>
      </c>
      <c r="C124">
        <v>1.4735555555555557E-8</v>
      </c>
      <c r="D124" s="1">
        <v>2.3999999999999998E-3</v>
      </c>
      <c r="E124">
        <f t="shared" si="27"/>
        <v>6.9999999999999999E-4</v>
      </c>
      <c r="F124" s="1">
        <v>1</v>
      </c>
      <c r="G124">
        <f t="shared" si="26"/>
        <v>0.79166666666666674</v>
      </c>
      <c r="H124" s="1">
        <v>0.2</v>
      </c>
      <c r="I124" s="1">
        <f t="shared" si="24"/>
        <v>0.83333333333333326</v>
      </c>
      <c r="J124" s="1">
        <f t="shared" si="25"/>
        <v>1.0449310185185186E-8</v>
      </c>
    </row>
    <row r="125" spans="1:10" x14ac:dyDescent="0.25">
      <c r="B125">
        <v>9.3000000000000002E-11</v>
      </c>
      <c r="C125">
        <v>1.4735555555555557E-8</v>
      </c>
      <c r="D125" s="1">
        <v>2.3999999999999998E-3</v>
      </c>
      <c r="E125">
        <f t="shared" si="27"/>
        <v>8.9999999999999998E-4</v>
      </c>
      <c r="F125" s="1">
        <v>1</v>
      </c>
      <c r="G125">
        <f t="shared" si="26"/>
        <v>0.875</v>
      </c>
      <c r="H125" s="1">
        <v>0.2</v>
      </c>
      <c r="I125" s="1">
        <f t="shared" si="24"/>
        <v>0.5</v>
      </c>
      <c r="J125" s="1">
        <f t="shared" si="25"/>
        <v>1.2163808333333335E-8</v>
      </c>
    </row>
    <row r="126" spans="1:10" x14ac:dyDescent="0.25">
      <c r="B126">
        <v>9.3000000000000002E-11</v>
      </c>
      <c r="C126">
        <v>1.4735555555555557E-8</v>
      </c>
      <c r="D126" s="1">
        <v>2.3999999999999998E-3</v>
      </c>
      <c r="E126" s="13">
        <v>1.1000000000000001E-3</v>
      </c>
      <c r="F126" s="1">
        <v>1</v>
      </c>
      <c r="G126">
        <f t="shared" si="26"/>
        <v>0.95833333333333348</v>
      </c>
      <c r="H126" s="1">
        <v>0.2</v>
      </c>
      <c r="I126" s="1">
        <f t="shared" si="24"/>
        <v>0.1666666666666663</v>
      </c>
      <c r="J126" s="1">
        <f t="shared" si="25"/>
        <v>1.3878306481481484E-8</v>
      </c>
    </row>
    <row r="127" spans="1:10" x14ac:dyDescent="0.25">
      <c r="A127" s="10" t="s">
        <v>42</v>
      </c>
      <c r="B127" s="2" t="s">
        <v>188</v>
      </c>
      <c r="C127" s="2" t="s">
        <v>189</v>
      </c>
      <c r="D127" s="2" t="s">
        <v>146</v>
      </c>
      <c r="E127" s="2" t="s">
        <v>147</v>
      </c>
      <c r="F127" s="2" t="s">
        <v>148</v>
      </c>
      <c r="G127" s="2" t="s">
        <v>149</v>
      </c>
      <c r="H127" s="2" t="s">
        <v>150</v>
      </c>
      <c r="I127" s="2" t="s">
        <v>151</v>
      </c>
      <c r="J127" s="2" t="s">
        <v>152</v>
      </c>
    </row>
    <row r="128" spans="1:10" x14ac:dyDescent="0.25">
      <c r="B128" s="1">
        <v>1.5699999999999999E-4</v>
      </c>
      <c r="C128" s="1">
        <v>1.0000000000000001E-5</v>
      </c>
      <c r="D128" s="1">
        <v>2.3999999999999998E-3</v>
      </c>
      <c r="E128">
        <v>-1.1000000000000001E-3</v>
      </c>
      <c r="F128" s="1">
        <v>1</v>
      </c>
      <c r="G128">
        <f>(0.5+E128/D128)^F128</f>
        <v>4.1666666666666574E-2</v>
      </c>
      <c r="H128" s="1">
        <v>0.2</v>
      </c>
      <c r="I128" s="1">
        <f>2*(1-2*ABS(E128)/D128)</f>
        <v>0.1666666666666663</v>
      </c>
      <c r="J128" s="1">
        <f>(C128-B128)*G128+B128-(B128+C128)*(H128/2)*I128</f>
        <v>1.4809166666666668E-4</v>
      </c>
    </row>
    <row r="129" spans="1:10" x14ac:dyDescent="0.25">
      <c r="B129" s="1">
        <v>1.5699999999999999E-4</v>
      </c>
      <c r="C129" s="1">
        <v>1.0000000000000001E-5</v>
      </c>
      <c r="D129" s="1">
        <v>2.3999999999999998E-3</v>
      </c>
      <c r="E129">
        <f>-0.001+0.0001</f>
        <v>-8.9999999999999998E-4</v>
      </c>
      <c r="F129" s="1">
        <v>1</v>
      </c>
      <c r="G129">
        <f>(0.5+E129/D129)^F129</f>
        <v>0.125</v>
      </c>
      <c r="H129" s="1">
        <v>0.2</v>
      </c>
      <c r="I129" s="1">
        <f t="shared" ref="I129:I139" si="28">2*(1-2*ABS(E129)/D129)</f>
        <v>0.5</v>
      </c>
      <c r="J129" s="1">
        <f t="shared" ref="J129:J139" si="29">(C129-B129)*G129+B129-(B129+C129)*(H129/2)*I129</f>
        <v>1.3027500000000001E-4</v>
      </c>
    </row>
    <row r="130" spans="1:10" x14ac:dyDescent="0.25">
      <c r="B130" s="1">
        <v>1.5699999999999999E-4</v>
      </c>
      <c r="C130" s="1">
        <v>1.0000000000000001E-5</v>
      </c>
      <c r="D130" s="1">
        <v>2.3999999999999998E-3</v>
      </c>
      <c r="E130">
        <f>E129+0.0002</f>
        <v>-6.9999999999999999E-4</v>
      </c>
      <c r="F130" s="1">
        <v>1</v>
      </c>
      <c r="G130">
        <f t="shared" ref="G130:G139" si="30">(0.5+E130/D130)^F130</f>
        <v>0.20833333333333331</v>
      </c>
      <c r="H130" s="1">
        <v>0.2</v>
      </c>
      <c r="I130" s="1">
        <f t="shared" si="28"/>
        <v>0.83333333333333326</v>
      </c>
      <c r="J130" s="1">
        <f t="shared" si="29"/>
        <v>1.1245833333333333E-4</v>
      </c>
    </row>
    <row r="131" spans="1:10" x14ac:dyDescent="0.25">
      <c r="B131" s="1">
        <v>1.5699999999999999E-4</v>
      </c>
      <c r="C131" s="1">
        <v>1.0000000000000001E-5</v>
      </c>
      <c r="D131" s="1">
        <v>2.3999999999999998E-3</v>
      </c>
      <c r="E131">
        <f t="shared" ref="E131:E138" si="31">E130+0.0002</f>
        <v>-5.0000000000000001E-4</v>
      </c>
      <c r="F131" s="1">
        <v>1</v>
      </c>
      <c r="G131">
        <f t="shared" si="30"/>
        <v>0.29166666666666663</v>
      </c>
      <c r="H131" s="1">
        <v>0.2</v>
      </c>
      <c r="I131" s="1">
        <f t="shared" si="28"/>
        <v>1.1666666666666665</v>
      </c>
      <c r="J131" s="1">
        <f t="shared" si="29"/>
        <v>9.4641666666666659E-5</v>
      </c>
    </row>
    <row r="132" spans="1:10" x14ac:dyDescent="0.25">
      <c r="B132" s="1">
        <v>1.5699999999999999E-4</v>
      </c>
      <c r="C132" s="1">
        <v>1.0000000000000001E-5</v>
      </c>
      <c r="D132" s="1">
        <v>2.3999999999999998E-3</v>
      </c>
      <c r="E132">
        <f t="shared" si="31"/>
        <v>-3.0000000000000003E-4</v>
      </c>
      <c r="F132" s="1">
        <v>1</v>
      </c>
      <c r="G132">
        <f t="shared" si="30"/>
        <v>0.375</v>
      </c>
      <c r="H132" s="1">
        <v>0.2</v>
      </c>
      <c r="I132" s="1">
        <f t="shared" si="28"/>
        <v>1.5</v>
      </c>
      <c r="J132" s="1">
        <f t="shared" si="29"/>
        <v>7.6824999999999997E-5</v>
      </c>
    </row>
    <row r="133" spans="1:10" x14ac:dyDescent="0.25">
      <c r="B133" s="1">
        <v>1.5699999999999999E-4</v>
      </c>
      <c r="C133" s="1">
        <v>1.0000000000000001E-5</v>
      </c>
      <c r="D133" s="1">
        <v>2.3999999999999998E-3</v>
      </c>
      <c r="E133">
        <f t="shared" si="31"/>
        <v>-1.0000000000000002E-4</v>
      </c>
      <c r="F133" s="1">
        <v>1</v>
      </c>
      <c r="G133">
        <f t="shared" si="30"/>
        <v>0.45833333333333331</v>
      </c>
      <c r="H133" s="1">
        <v>0.2</v>
      </c>
      <c r="I133" s="1">
        <f t="shared" si="28"/>
        <v>1.8333333333333333</v>
      </c>
      <c r="J133" s="1">
        <f t="shared" si="29"/>
        <v>5.9008333333333336E-5</v>
      </c>
    </row>
    <row r="134" spans="1:10" x14ac:dyDescent="0.25">
      <c r="B134" s="1">
        <v>1.5699999999999999E-4</v>
      </c>
      <c r="C134" s="1">
        <v>1.0000000000000001E-5</v>
      </c>
      <c r="D134" s="1">
        <v>2.3999999999999998E-3</v>
      </c>
      <c r="E134">
        <f t="shared" si="31"/>
        <v>9.9999999999999991E-5</v>
      </c>
      <c r="F134" s="1">
        <v>1</v>
      </c>
      <c r="G134">
        <f t="shared" si="30"/>
        <v>0.54166666666666663</v>
      </c>
      <c r="H134" s="1">
        <v>0.2</v>
      </c>
      <c r="I134" s="1">
        <f t="shared" si="28"/>
        <v>1.8333333333333333</v>
      </c>
      <c r="J134" s="1">
        <f t="shared" si="29"/>
        <v>4.6758333333333336E-5</v>
      </c>
    </row>
    <row r="135" spans="1:10" x14ac:dyDescent="0.25">
      <c r="B135" s="1">
        <v>1.5699999999999999E-4</v>
      </c>
      <c r="C135" s="1">
        <v>1.0000000000000001E-5</v>
      </c>
      <c r="D135" s="1">
        <v>2.3999999999999998E-3</v>
      </c>
      <c r="E135">
        <f t="shared" si="31"/>
        <v>3.0000000000000003E-4</v>
      </c>
      <c r="F135" s="1">
        <v>1</v>
      </c>
      <c r="G135">
        <f t="shared" si="30"/>
        <v>0.625</v>
      </c>
      <c r="H135" s="1">
        <v>0.2</v>
      </c>
      <c r="I135" s="1">
        <f t="shared" si="28"/>
        <v>1.5</v>
      </c>
      <c r="J135" s="1">
        <f t="shared" si="29"/>
        <v>4.0074999999999998E-5</v>
      </c>
    </row>
    <row r="136" spans="1:10" x14ac:dyDescent="0.25">
      <c r="B136" s="1">
        <v>1.5699999999999999E-4</v>
      </c>
      <c r="C136" s="1">
        <v>1.0000000000000001E-5</v>
      </c>
      <c r="D136" s="1">
        <v>2.3999999999999998E-3</v>
      </c>
      <c r="E136">
        <f t="shared" si="31"/>
        <v>5.0000000000000001E-4</v>
      </c>
      <c r="F136" s="1">
        <v>1</v>
      </c>
      <c r="G136">
        <f t="shared" si="30"/>
        <v>0.70833333333333337</v>
      </c>
      <c r="H136" s="1">
        <v>0.2</v>
      </c>
      <c r="I136" s="1">
        <f t="shared" si="28"/>
        <v>1.1666666666666665</v>
      </c>
      <c r="J136" s="1">
        <f t="shared" si="29"/>
        <v>3.3391666666666667E-5</v>
      </c>
    </row>
    <row r="137" spans="1:10" x14ac:dyDescent="0.25">
      <c r="B137" s="1">
        <v>1.5699999999999999E-4</v>
      </c>
      <c r="C137" s="1">
        <v>1.0000000000000001E-5</v>
      </c>
      <c r="D137" s="1">
        <v>2.3999999999999998E-3</v>
      </c>
      <c r="E137">
        <f t="shared" si="31"/>
        <v>6.9999999999999999E-4</v>
      </c>
      <c r="F137" s="1">
        <v>1</v>
      </c>
      <c r="G137">
        <f t="shared" si="30"/>
        <v>0.79166666666666674</v>
      </c>
      <c r="H137" s="1">
        <v>0.2</v>
      </c>
      <c r="I137" s="1">
        <f t="shared" si="28"/>
        <v>0.83333333333333326</v>
      </c>
      <c r="J137" s="1">
        <f t="shared" si="29"/>
        <v>2.670833333333332E-5</v>
      </c>
    </row>
    <row r="138" spans="1:10" x14ac:dyDescent="0.25">
      <c r="B138" s="1">
        <v>1.5699999999999999E-4</v>
      </c>
      <c r="C138" s="1">
        <v>1.0000000000000001E-5</v>
      </c>
      <c r="D138" s="1">
        <v>2.3999999999999998E-3</v>
      </c>
      <c r="E138">
        <f t="shared" si="31"/>
        <v>8.9999999999999998E-4</v>
      </c>
      <c r="F138" s="1">
        <v>1</v>
      </c>
      <c r="G138">
        <f t="shared" si="30"/>
        <v>0.875</v>
      </c>
      <c r="H138" s="1">
        <v>0.2</v>
      </c>
      <c r="I138" s="1">
        <f t="shared" si="28"/>
        <v>0.5</v>
      </c>
      <c r="J138" s="1">
        <f t="shared" si="29"/>
        <v>2.0024999999999999E-5</v>
      </c>
    </row>
    <row r="139" spans="1:10" x14ac:dyDescent="0.25">
      <c r="B139" s="1">
        <v>1.5699999999999999E-4</v>
      </c>
      <c r="C139" s="1">
        <v>1.0000000000000001E-5</v>
      </c>
      <c r="D139" s="1">
        <v>2.3999999999999998E-3</v>
      </c>
      <c r="E139" s="13">
        <v>1.1000000000000001E-3</v>
      </c>
      <c r="F139" s="1">
        <v>1</v>
      </c>
      <c r="G139">
        <f t="shared" si="30"/>
        <v>0.95833333333333348</v>
      </c>
      <c r="H139" s="1">
        <v>0.2</v>
      </c>
      <c r="I139" s="1">
        <f t="shared" si="28"/>
        <v>0.1666666666666663</v>
      </c>
      <c r="J139" s="1">
        <f t="shared" si="29"/>
        <v>1.3341666666666644E-5</v>
      </c>
    </row>
    <row r="140" spans="1:10" x14ac:dyDescent="0.25">
      <c r="A140" s="10" t="s">
        <v>142</v>
      </c>
      <c r="B140" s="2" t="s">
        <v>188</v>
      </c>
      <c r="C140" s="2" t="s">
        <v>189</v>
      </c>
      <c r="D140" s="2" t="s">
        <v>146</v>
      </c>
      <c r="E140" s="2" t="s">
        <v>147</v>
      </c>
      <c r="F140" s="2" t="s">
        <v>148</v>
      </c>
      <c r="G140" s="2" t="s">
        <v>149</v>
      </c>
      <c r="H140" s="2" t="s">
        <v>150</v>
      </c>
      <c r="I140" s="2" t="s">
        <v>151</v>
      </c>
      <c r="J140" s="2" t="s">
        <v>152</v>
      </c>
    </row>
    <row r="141" spans="1:10" x14ac:dyDescent="0.25">
      <c r="B141" s="1">
        <v>1.0000000000000001E-5</v>
      </c>
      <c r="C141" s="1">
        <v>1.5699999999999999E-5</v>
      </c>
      <c r="D141" s="1">
        <v>2.3999999999999998E-3</v>
      </c>
      <c r="E141">
        <v>-1.1000000000000001E-3</v>
      </c>
      <c r="F141" s="1">
        <v>1</v>
      </c>
      <c r="G141">
        <f>(0.5+E141/D141)^F141</f>
        <v>4.1666666666666574E-2</v>
      </c>
      <c r="H141" s="1">
        <v>0.2</v>
      </c>
      <c r="I141" s="1">
        <f>2*(1-2*ABS(E141)/D141)</f>
        <v>0.1666666666666663</v>
      </c>
      <c r="J141" s="1">
        <f>(C141-B141)*G141+B141-(B141+C141)*(H141/2)*I141</f>
        <v>9.8091666666666675E-6</v>
      </c>
    </row>
    <row r="142" spans="1:10" x14ac:dyDescent="0.25">
      <c r="B142" s="1">
        <v>1.0000000000000001E-5</v>
      </c>
      <c r="C142" s="1">
        <v>1.5699999999999999E-5</v>
      </c>
      <c r="D142" s="1">
        <v>2.3999999999999998E-3</v>
      </c>
      <c r="E142">
        <f>-0.001+0.0001</f>
        <v>-8.9999999999999998E-4</v>
      </c>
      <c r="F142" s="1">
        <v>1</v>
      </c>
      <c r="G142">
        <f>(0.5+E142/D142)^F142</f>
        <v>0.125</v>
      </c>
      <c r="H142" s="1">
        <v>0.2</v>
      </c>
      <c r="I142" s="1">
        <f t="shared" ref="I142:I152" si="32">2*(1-2*ABS(E142)/D142)</f>
        <v>0.5</v>
      </c>
      <c r="J142" s="1">
        <f t="shared" ref="J142:J152" si="33">(C142-B142)*G142+B142-(B142+C142)*(H142/2)*I142</f>
        <v>9.4275000000000008E-6</v>
      </c>
    </row>
    <row r="143" spans="1:10" x14ac:dyDescent="0.25">
      <c r="B143" s="1">
        <v>1.0000000000000001E-5</v>
      </c>
      <c r="C143" s="1">
        <v>1.5699999999999999E-5</v>
      </c>
      <c r="D143" s="1">
        <v>2.3999999999999998E-3</v>
      </c>
      <c r="E143">
        <f>E142+0.0002</f>
        <v>-6.9999999999999999E-4</v>
      </c>
      <c r="F143" s="1">
        <v>1</v>
      </c>
      <c r="G143">
        <f t="shared" ref="G143:G152" si="34">(0.5+E143/D143)^F143</f>
        <v>0.20833333333333331</v>
      </c>
      <c r="H143" s="1">
        <v>0.2</v>
      </c>
      <c r="I143" s="1">
        <f t="shared" si="32"/>
        <v>0.83333333333333326</v>
      </c>
      <c r="J143" s="1">
        <f t="shared" si="33"/>
        <v>9.0458333333333341E-6</v>
      </c>
    </row>
    <row r="144" spans="1:10" x14ac:dyDescent="0.25">
      <c r="B144" s="1">
        <v>1.0000000000000001E-5</v>
      </c>
      <c r="C144" s="1">
        <v>1.5699999999999999E-5</v>
      </c>
      <c r="D144" s="1">
        <v>2.3999999999999998E-3</v>
      </c>
      <c r="E144">
        <f t="shared" ref="E144:E151" si="35">E143+0.0002</f>
        <v>-5.0000000000000001E-4</v>
      </c>
      <c r="F144" s="1">
        <v>1</v>
      </c>
      <c r="G144">
        <f t="shared" si="34"/>
        <v>0.29166666666666663</v>
      </c>
      <c r="H144" s="1">
        <v>0.2</v>
      </c>
      <c r="I144" s="1">
        <f t="shared" si="32"/>
        <v>1.1666666666666665</v>
      </c>
      <c r="J144" s="1">
        <f t="shared" si="33"/>
        <v>8.6641666666666674E-6</v>
      </c>
    </row>
    <row r="145" spans="1:11" x14ac:dyDescent="0.25">
      <c r="B145" s="1">
        <v>1.0000000000000001E-5</v>
      </c>
      <c r="C145" s="1">
        <v>1.5699999999999999E-5</v>
      </c>
      <c r="D145" s="1">
        <v>2.3999999999999998E-3</v>
      </c>
      <c r="E145">
        <f t="shared" si="35"/>
        <v>-3.0000000000000003E-4</v>
      </c>
      <c r="F145" s="1">
        <v>1</v>
      </c>
      <c r="G145">
        <f t="shared" si="34"/>
        <v>0.375</v>
      </c>
      <c r="H145" s="1">
        <v>0.2</v>
      </c>
      <c r="I145" s="1">
        <f t="shared" si="32"/>
        <v>1.5</v>
      </c>
      <c r="J145" s="1">
        <f t="shared" si="33"/>
        <v>8.2825000000000007E-6</v>
      </c>
    </row>
    <row r="146" spans="1:11" x14ac:dyDescent="0.25">
      <c r="B146" s="1">
        <v>1.0000000000000001E-5</v>
      </c>
      <c r="C146" s="1">
        <v>1.5699999999999999E-5</v>
      </c>
      <c r="D146" s="1">
        <v>2.3999999999999998E-3</v>
      </c>
      <c r="E146">
        <f t="shared" si="35"/>
        <v>-1.0000000000000002E-4</v>
      </c>
      <c r="F146" s="1">
        <v>1</v>
      </c>
      <c r="G146">
        <f t="shared" si="34"/>
        <v>0.45833333333333331</v>
      </c>
      <c r="H146" s="1">
        <v>0.2</v>
      </c>
      <c r="I146" s="1">
        <f t="shared" si="32"/>
        <v>1.8333333333333333</v>
      </c>
      <c r="J146" s="1">
        <f t="shared" si="33"/>
        <v>7.9008333333333324E-6</v>
      </c>
    </row>
    <row r="147" spans="1:11" x14ac:dyDescent="0.25">
      <c r="B147" s="1">
        <v>1.0000000000000001E-5</v>
      </c>
      <c r="C147" s="1">
        <v>1.5699999999999999E-5</v>
      </c>
      <c r="D147" s="1">
        <v>2.3999999999999998E-3</v>
      </c>
      <c r="E147">
        <f t="shared" si="35"/>
        <v>9.9999999999999991E-5</v>
      </c>
      <c r="F147" s="1">
        <v>1</v>
      </c>
      <c r="G147">
        <f t="shared" si="34"/>
        <v>0.54166666666666663</v>
      </c>
      <c r="H147" s="1">
        <v>0.2</v>
      </c>
      <c r="I147" s="1">
        <f t="shared" si="32"/>
        <v>1.8333333333333333</v>
      </c>
      <c r="J147" s="1">
        <f t="shared" si="33"/>
        <v>8.3758333333333321E-6</v>
      </c>
    </row>
    <row r="148" spans="1:11" x14ac:dyDescent="0.25">
      <c r="B148" s="1">
        <v>1.0000000000000001E-5</v>
      </c>
      <c r="C148" s="1">
        <v>1.5699999999999999E-5</v>
      </c>
      <c r="D148" s="1">
        <v>2.3999999999999998E-3</v>
      </c>
      <c r="E148">
        <f t="shared" si="35"/>
        <v>3.0000000000000003E-4</v>
      </c>
      <c r="F148" s="1">
        <v>1</v>
      </c>
      <c r="G148">
        <f t="shared" si="34"/>
        <v>0.625</v>
      </c>
      <c r="H148" s="1">
        <v>0.2</v>
      </c>
      <c r="I148" s="1">
        <f t="shared" si="32"/>
        <v>1.5</v>
      </c>
      <c r="J148" s="1">
        <f t="shared" si="33"/>
        <v>9.7074999999999981E-6</v>
      </c>
    </row>
    <row r="149" spans="1:11" x14ac:dyDescent="0.25">
      <c r="B149" s="1">
        <v>1.0000000000000001E-5</v>
      </c>
      <c r="C149" s="1">
        <v>1.5699999999999999E-5</v>
      </c>
      <c r="D149" s="1">
        <v>2.3999999999999998E-3</v>
      </c>
      <c r="E149">
        <f t="shared" si="35"/>
        <v>5.0000000000000001E-4</v>
      </c>
      <c r="F149" s="1">
        <v>1</v>
      </c>
      <c r="G149">
        <f t="shared" si="34"/>
        <v>0.70833333333333337</v>
      </c>
      <c r="H149" s="1">
        <v>0.2</v>
      </c>
      <c r="I149" s="1">
        <f t="shared" si="32"/>
        <v>1.1666666666666665</v>
      </c>
      <c r="J149" s="1">
        <f t="shared" si="33"/>
        <v>1.1039166666666666E-5</v>
      </c>
    </row>
    <row r="150" spans="1:11" x14ac:dyDescent="0.25">
      <c r="B150" s="1">
        <v>1.0000000000000001E-5</v>
      </c>
      <c r="C150" s="1">
        <v>1.5699999999999999E-5</v>
      </c>
      <c r="D150" s="1">
        <v>2.3999999999999998E-3</v>
      </c>
      <c r="E150">
        <f t="shared" si="35"/>
        <v>6.9999999999999999E-4</v>
      </c>
      <c r="F150" s="1">
        <v>1</v>
      </c>
      <c r="G150">
        <f t="shared" si="34"/>
        <v>0.79166666666666674</v>
      </c>
      <c r="H150" s="1">
        <v>0.2</v>
      </c>
      <c r="I150" s="1">
        <f t="shared" si="32"/>
        <v>0.83333333333333326</v>
      </c>
      <c r="J150" s="1">
        <f t="shared" si="33"/>
        <v>1.2370833333333334E-5</v>
      </c>
    </row>
    <row r="151" spans="1:11" x14ac:dyDescent="0.25">
      <c r="B151" s="1">
        <v>1.0000000000000001E-5</v>
      </c>
      <c r="C151" s="1">
        <v>1.5699999999999999E-5</v>
      </c>
      <c r="D151" s="1">
        <v>2.3999999999999998E-3</v>
      </c>
      <c r="E151">
        <f t="shared" si="35"/>
        <v>8.9999999999999998E-4</v>
      </c>
      <c r="F151" s="1">
        <v>1</v>
      </c>
      <c r="G151">
        <f t="shared" si="34"/>
        <v>0.875</v>
      </c>
      <c r="H151" s="1">
        <v>0.2</v>
      </c>
      <c r="I151" s="1">
        <f t="shared" si="32"/>
        <v>0.5</v>
      </c>
      <c r="J151" s="1">
        <f t="shared" si="33"/>
        <v>1.3702499999999998E-5</v>
      </c>
    </row>
    <row r="152" spans="1:11" x14ac:dyDescent="0.25">
      <c r="B152" s="1">
        <v>1.0000000000000001E-5</v>
      </c>
      <c r="C152" s="1">
        <v>1.5699999999999999E-5</v>
      </c>
      <c r="D152" s="1">
        <v>2.3999999999999998E-3</v>
      </c>
      <c r="E152" s="13">
        <v>1.1000000000000001E-3</v>
      </c>
      <c r="F152" s="1">
        <v>1</v>
      </c>
      <c r="G152">
        <f t="shared" si="34"/>
        <v>0.95833333333333348</v>
      </c>
      <c r="H152" s="1">
        <v>0.2</v>
      </c>
      <c r="I152" s="1">
        <f t="shared" si="32"/>
        <v>0.1666666666666663</v>
      </c>
      <c r="J152" s="1">
        <f t="shared" si="33"/>
        <v>1.5034166666666667E-5</v>
      </c>
    </row>
    <row r="153" spans="1:11" x14ac:dyDescent="0.25">
      <c r="A153" s="10" t="s">
        <v>143</v>
      </c>
      <c r="B153" s="2" t="s">
        <v>188</v>
      </c>
      <c r="C153" s="2" t="s">
        <v>189</v>
      </c>
      <c r="D153" s="2" t="s">
        <v>155</v>
      </c>
      <c r="E153" s="2" t="s">
        <v>156</v>
      </c>
      <c r="F153" s="2" t="s">
        <v>157</v>
      </c>
      <c r="G153" s="2" t="s">
        <v>149</v>
      </c>
      <c r="H153" s="2" t="s">
        <v>150</v>
      </c>
      <c r="I153" s="2" t="s">
        <v>151</v>
      </c>
      <c r="J153" s="2" t="s">
        <v>152</v>
      </c>
      <c r="K153" s="2" t="s">
        <v>158</v>
      </c>
    </row>
    <row r="154" spans="1:11" x14ac:dyDescent="0.25">
      <c r="B154" s="1">
        <v>2.5</v>
      </c>
      <c r="C154" s="1">
        <v>3.2</v>
      </c>
      <c r="D154" s="1">
        <v>2.3999999999999998E-3</v>
      </c>
      <c r="E154">
        <v>-1.1000000000000001E-3</v>
      </c>
      <c r="F154" s="1">
        <v>1</v>
      </c>
      <c r="G154">
        <f>(0.5+E154/D154)^F154</f>
        <v>4.1666666666666574E-2</v>
      </c>
      <c r="H154" s="1">
        <v>0.2</v>
      </c>
      <c r="I154" s="1">
        <f>2*(1-2*ABS(E154)/D154)</f>
        <v>0.1666666666666663</v>
      </c>
      <c r="J154" s="1">
        <f>(C154-B154)*G154+B154-(B154+C154)*(H154/2)*I154</f>
        <v>2.434166666666667</v>
      </c>
      <c r="K154" s="1">
        <f>1/J154</f>
        <v>0.41081821294077364</v>
      </c>
    </row>
    <row r="155" spans="1:11" x14ac:dyDescent="0.25">
      <c r="B155" s="1">
        <v>2.5</v>
      </c>
      <c r="C155" s="1">
        <v>3.2</v>
      </c>
      <c r="D155" s="1">
        <v>2.3999999999999998E-3</v>
      </c>
      <c r="E155">
        <f>-0.001+0.0001</f>
        <v>-8.9999999999999998E-4</v>
      </c>
      <c r="F155" s="1">
        <v>1</v>
      </c>
      <c r="G155">
        <f>(0.5+E155/D155)^F155</f>
        <v>0.125</v>
      </c>
      <c r="H155" s="1">
        <v>0.2</v>
      </c>
      <c r="I155" s="1">
        <f t="shared" ref="I155:I165" si="36">2*(1-2*ABS(E155)/D155)</f>
        <v>0.5</v>
      </c>
      <c r="J155" s="1">
        <f t="shared" ref="J155:J165" si="37">(C155-B155)*G155+B155-(B155+C155)*(H155/2)*I155</f>
        <v>2.3024999999999998</v>
      </c>
      <c r="K155" s="1">
        <f t="shared" ref="K155:K165" si="38">1/J155</f>
        <v>0.43431053203040176</v>
      </c>
    </row>
    <row r="156" spans="1:11" x14ac:dyDescent="0.25">
      <c r="B156" s="1">
        <v>2.5</v>
      </c>
      <c r="C156" s="1">
        <v>3.2</v>
      </c>
      <c r="D156" s="1">
        <v>2.3999999999999998E-3</v>
      </c>
      <c r="E156">
        <f>E155+0.0002</f>
        <v>-6.9999999999999999E-4</v>
      </c>
      <c r="F156" s="1">
        <v>1</v>
      </c>
      <c r="G156">
        <f t="shared" ref="G156:G165" si="39">(0.5+E156/D156)^F156</f>
        <v>0.20833333333333331</v>
      </c>
      <c r="H156" s="1">
        <v>0.2</v>
      </c>
      <c r="I156" s="1">
        <f t="shared" si="36"/>
        <v>0.83333333333333326</v>
      </c>
      <c r="J156" s="1">
        <f t="shared" si="37"/>
        <v>2.1708333333333334</v>
      </c>
      <c r="K156" s="1">
        <f t="shared" si="38"/>
        <v>0.4606525911708253</v>
      </c>
    </row>
    <row r="157" spans="1:11" x14ac:dyDescent="0.25">
      <c r="B157" s="1">
        <v>2.5</v>
      </c>
      <c r="C157" s="1">
        <v>3.2</v>
      </c>
      <c r="D157" s="1">
        <v>2.3999999999999998E-3</v>
      </c>
      <c r="E157">
        <f t="shared" ref="E157:E164" si="40">E156+0.0002</f>
        <v>-5.0000000000000001E-4</v>
      </c>
      <c r="F157" s="1">
        <v>1</v>
      </c>
      <c r="G157">
        <f t="shared" si="39"/>
        <v>0.29166666666666663</v>
      </c>
      <c r="H157" s="1">
        <v>0.2</v>
      </c>
      <c r="I157" s="1">
        <f t="shared" si="36"/>
        <v>1.1666666666666665</v>
      </c>
      <c r="J157" s="1">
        <f t="shared" si="37"/>
        <v>2.0391666666666666</v>
      </c>
      <c r="K157" s="1">
        <f t="shared" si="38"/>
        <v>0.49039640375970578</v>
      </c>
    </row>
    <row r="158" spans="1:11" x14ac:dyDescent="0.25">
      <c r="B158" s="1">
        <v>2.5</v>
      </c>
      <c r="C158" s="1">
        <v>3.2</v>
      </c>
      <c r="D158" s="1">
        <v>2.3999999999999998E-3</v>
      </c>
      <c r="E158">
        <f t="shared" si="40"/>
        <v>-3.0000000000000003E-4</v>
      </c>
      <c r="F158" s="1">
        <v>1</v>
      </c>
      <c r="G158">
        <f t="shared" si="39"/>
        <v>0.375</v>
      </c>
      <c r="H158" s="1">
        <v>0.2</v>
      </c>
      <c r="I158" s="1">
        <f t="shared" si="36"/>
        <v>1.5</v>
      </c>
      <c r="J158" s="1">
        <f t="shared" si="37"/>
        <v>1.9075000000000002</v>
      </c>
      <c r="K158" s="1">
        <f t="shared" si="38"/>
        <v>0.52424639580602883</v>
      </c>
    </row>
    <row r="159" spans="1:11" x14ac:dyDescent="0.25">
      <c r="B159" s="1">
        <v>2.5</v>
      </c>
      <c r="C159" s="1">
        <v>3.2</v>
      </c>
      <c r="D159" s="1">
        <v>2.3999999999999998E-3</v>
      </c>
      <c r="E159">
        <f t="shared" si="40"/>
        <v>-1.0000000000000002E-4</v>
      </c>
      <c r="F159" s="1">
        <v>1</v>
      </c>
      <c r="G159">
        <f t="shared" si="39"/>
        <v>0.45833333333333331</v>
      </c>
      <c r="H159" s="1">
        <v>0.2</v>
      </c>
      <c r="I159" s="1">
        <f t="shared" si="36"/>
        <v>1.8333333333333333</v>
      </c>
      <c r="J159" s="1">
        <f t="shared" si="37"/>
        <v>1.7758333333333332</v>
      </c>
      <c r="K159" s="1">
        <f t="shared" si="38"/>
        <v>0.5631159080244017</v>
      </c>
    </row>
    <row r="160" spans="1:11" x14ac:dyDescent="0.25">
      <c r="B160" s="1">
        <v>2.5</v>
      </c>
      <c r="C160" s="1">
        <v>3.2</v>
      </c>
      <c r="D160" s="1">
        <v>2.3999999999999998E-3</v>
      </c>
      <c r="E160">
        <f t="shared" si="40"/>
        <v>9.9999999999999991E-5</v>
      </c>
      <c r="F160" s="1">
        <v>1</v>
      </c>
      <c r="G160">
        <f t="shared" si="39"/>
        <v>0.54166666666666663</v>
      </c>
      <c r="H160" s="1">
        <v>0.2</v>
      </c>
      <c r="I160" s="1">
        <f t="shared" si="36"/>
        <v>1.8333333333333333</v>
      </c>
      <c r="J160" s="1">
        <f t="shared" si="37"/>
        <v>1.8341666666666667</v>
      </c>
      <c r="K160" s="1">
        <f t="shared" si="38"/>
        <v>0.54520672421626537</v>
      </c>
    </row>
    <row r="161" spans="1:11" x14ac:dyDescent="0.25">
      <c r="B161" s="1">
        <v>2.5</v>
      </c>
      <c r="C161" s="1">
        <v>3.2</v>
      </c>
      <c r="D161" s="1">
        <v>2.3999999999999998E-3</v>
      </c>
      <c r="E161">
        <f t="shared" si="40"/>
        <v>3.0000000000000003E-4</v>
      </c>
      <c r="F161" s="1">
        <v>1</v>
      </c>
      <c r="G161">
        <f t="shared" si="39"/>
        <v>0.625</v>
      </c>
      <c r="H161" s="1">
        <v>0.2</v>
      </c>
      <c r="I161" s="1">
        <f t="shared" si="36"/>
        <v>1.5</v>
      </c>
      <c r="J161" s="1">
        <f t="shared" si="37"/>
        <v>2.0825</v>
      </c>
      <c r="K161" s="1">
        <f t="shared" si="38"/>
        <v>0.48019207683073228</v>
      </c>
    </row>
    <row r="162" spans="1:11" x14ac:dyDescent="0.25">
      <c r="B162" s="1">
        <v>2.5</v>
      </c>
      <c r="C162" s="1">
        <v>3.2</v>
      </c>
      <c r="D162" s="1">
        <v>2.3999999999999998E-3</v>
      </c>
      <c r="E162">
        <f t="shared" si="40"/>
        <v>5.0000000000000001E-4</v>
      </c>
      <c r="F162" s="1">
        <v>1</v>
      </c>
      <c r="G162">
        <f t="shared" si="39"/>
        <v>0.70833333333333337</v>
      </c>
      <c r="H162" s="1">
        <v>0.2</v>
      </c>
      <c r="I162" s="1">
        <f t="shared" si="36"/>
        <v>1.1666666666666665</v>
      </c>
      <c r="J162" s="1">
        <f t="shared" si="37"/>
        <v>2.3308333333333335</v>
      </c>
      <c r="K162" s="1">
        <f t="shared" si="38"/>
        <v>0.42903110475509471</v>
      </c>
    </row>
    <row r="163" spans="1:11" x14ac:dyDescent="0.25">
      <c r="B163" s="1">
        <v>2.5</v>
      </c>
      <c r="C163" s="1">
        <v>3.2</v>
      </c>
      <c r="D163" s="1">
        <v>2.3999999999999998E-3</v>
      </c>
      <c r="E163">
        <f t="shared" si="40"/>
        <v>6.9999999999999999E-4</v>
      </c>
      <c r="F163" s="1">
        <v>1</v>
      </c>
      <c r="G163">
        <f t="shared" si="39"/>
        <v>0.79166666666666674</v>
      </c>
      <c r="H163" s="1">
        <v>0.2</v>
      </c>
      <c r="I163" s="1">
        <f t="shared" si="36"/>
        <v>0.83333333333333326</v>
      </c>
      <c r="J163" s="1">
        <f t="shared" si="37"/>
        <v>2.5791666666666666</v>
      </c>
      <c r="K163" s="1">
        <f t="shared" si="38"/>
        <v>0.3877221324717286</v>
      </c>
    </row>
    <row r="164" spans="1:11" x14ac:dyDescent="0.25">
      <c r="B164" s="1">
        <v>2.5</v>
      </c>
      <c r="C164" s="1">
        <v>3.2</v>
      </c>
      <c r="D164" s="1">
        <v>2.3999999999999998E-3</v>
      </c>
      <c r="E164">
        <f t="shared" si="40"/>
        <v>8.9999999999999998E-4</v>
      </c>
      <c r="F164" s="1">
        <v>1</v>
      </c>
      <c r="G164">
        <f t="shared" si="39"/>
        <v>0.875</v>
      </c>
      <c r="H164" s="1">
        <v>0.2</v>
      </c>
      <c r="I164" s="1">
        <f t="shared" si="36"/>
        <v>0.5</v>
      </c>
      <c r="J164" s="1">
        <f t="shared" si="37"/>
        <v>2.8275000000000001</v>
      </c>
      <c r="K164" s="1">
        <f t="shared" si="38"/>
        <v>0.35366931918656053</v>
      </c>
    </row>
    <row r="165" spans="1:11" x14ac:dyDescent="0.25">
      <c r="B165" s="1">
        <v>2.5</v>
      </c>
      <c r="C165" s="1">
        <v>3.2</v>
      </c>
      <c r="D165" s="1">
        <v>2.3999999999999998E-3</v>
      </c>
      <c r="E165" s="13">
        <v>1.1000000000000001E-3</v>
      </c>
      <c r="F165" s="1">
        <v>1</v>
      </c>
      <c r="G165">
        <f t="shared" si="39"/>
        <v>0.95833333333333348</v>
      </c>
      <c r="H165" s="1">
        <v>0.2</v>
      </c>
      <c r="I165" s="1">
        <f t="shared" si="36"/>
        <v>0.1666666666666663</v>
      </c>
      <c r="J165" s="1">
        <f t="shared" si="37"/>
        <v>3.0758333333333336</v>
      </c>
      <c r="K165" s="1">
        <f t="shared" si="38"/>
        <v>0.32511514494716875</v>
      </c>
    </row>
    <row r="167" spans="1:11" x14ac:dyDescent="0.25">
      <c r="A167" s="10" t="s">
        <v>43</v>
      </c>
      <c r="B167" s="2" t="s">
        <v>188</v>
      </c>
      <c r="C167" s="2" t="s">
        <v>189</v>
      </c>
      <c r="D167" s="2" t="s">
        <v>159</v>
      </c>
      <c r="E167" s="2" t="s">
        <v>160</v>
      </c>
      <c r="F167" s="2" t="s">
        <v>161</v>
      </c>
      <c r="G167" s="2" t="s">
        <v>162</v>
      </c>
      <c r="H167" s="2" t="s">
        <v>163</v>
      </c>
      <c r="I167" s="2" t="s">
        <v>164</v>
      </c>
      <c r="J167" s="2" t="s">
        <v>165</v>
      </c>
    </row>
    <row r="168" spans="1:11" x14ac:dyDescent="0.25">
      <c r="B168" s="1">
        <v>5300</v>
      </c>
      <c r="C168" s="1">
        <v>5800</v>
      </c>
      <c r="D168" s="1">
        <v>2.3999999999999998E-3</v>
      </c>
      <c r="E168">
        <v>-1.1000000000000001E-3</v>
      </c>
      <c r="F168" s="1">
        <v>1</v>
      </c>
      <c r="G168">
        <f>(0.5+E168/D168)^F168</f>
        <v>4.1666666666666574E-2</v>
      </c>
      <c r="H168" s="1">
        <v>0.2</v>
      </c>
      <c r="I168" s="1">
        <f>2*(1-2*ABS(E168)/D168)</f>
        <v>0.1666666666666663</v>
      </c>
      <c r="J168" s="1">
        <f>(C168-B168)*G168+B168-(B168+C168)*(H168/2)*I168</f>
        <v>5135.833333333333</v>
      </c>
    </row>
    <row r="169" spans="1:11" x14ac:dyDescent="0.25">
      <c r="B169" s="1">
        <v>5300</v>
      </c>
      <c r="C169" s="1">
        <v>5800</v>
      </c>
      <c r="D169" s="1">
        <v>2.3999999999999998E-3</v>
      </c>
      <c r="E169">
        <f>-0.001+0.0001</f>
        <v>-8.9999999999999998E-4</v>
      </c>
      <c r="F169" s="1">
        <v>1</v>
      </c>
      <c r="G169">
        <f>(0.5+E169/D169)^F169</f>
        <v>0.125</v>
      </c>
      <c r="H169" s="1">
        <v>0.2</v>
      </c>
      <c r="I169" s="1">
        <f t="shared" ref="I169:I179" si="41">2*(1-2*ABS(E169)/D169)</f>
        <v>0.5</v>
      </c>
      <c r="J169" s="1">
        <f t="shared" ref="J169:J179" si="42">(C169-B169)*G169+B169-(B169+C169)*(H169/2)*I169</f>
        <v>4807.5</v>
      </c>
    </row>
    <row r="170" spans="1:11" x14ac:dyDescent="0.25">
      <c r="B170" s="1">
        <v>5300</v>
      </c>
      <c r="C170" s="1">
        <v>5800</v>
      </c>
      <c r="D170" s="1">
        <v>2.3999999999999998E-3</v>
      </c>
      <c r="E170">
        <f>E169+0.0002</f>
        <v>-6.9999999999999999E-4</v>
      </c>
      <c r="F170" s="1">
        <v>1</v>
      </c>
      <c r="G170">
        <f t="shared" ref="G170:G179" si="43">(0.5+E170/D170)^F170</f>
        <v>0.20833333333333331</v>
      </c>
      <c r="H170" s="1">
        <v>0.2</v>
      </c>
      <c r="I170" s="1">
        <f t="shared" si="41"/>
        <v>0.83333333333333326</v>
      </c>
      <c r="J170" s="1">
        <f t="shared" si="42"/>
        <v>4479.166666666667</v>
      </c>
    </row>
    <row r="171" spans="1:11" x14ac:dyDescent="0.25">
      <c r="B171" s="1">
        <v>5300</v>
      </c>
      <c r="C171" s="1">
        <v>5800</v>
      </c>
      <c r="D171" s="1">
        <v>2.3999999999999998E-3</v>
      </c>
      <c r="E171">
        <f t="shared" ref="E171:E178" si="44">E170+0.0002</f>
        <v>-5.0000000000000001E-4</v>
      </c>
      <c r="F171" s="1">
        <v>1</v>
      </c>
      <c r="G171">
        <f t="shared" si="43"/>
        <v>0.29166666666666663</v>
      </c>
      <c r="H171" s="1">
        <v>0.2</v>
      </c>
      <c r="I171" s="1">
        <f t="shared" si="41"/>
        <v>1.1666666666666665</v>
      </c>
      <c r="J171" s="1">
        <f t="shared" si="42"/>
        <v>4150.833333333333</v>
      </c>
    </row>
    <row r="172" spans="1:11" x14ac:dyDescent="0.25">
      <c r="B172" s="1">
        <v>5300</v>
      </c>
      <c r="C172" s="1">
        <v>5800</v>
      </c>
      <c r="D172" s="1">
        <v>2.3999999999999998E-3</v>
      </c>
      <c r="E172">
        <f t="shared" si="44"/>
        <v>-3.0000000000000003E-4</v>
      </c>
      <c r="F172" s="1">
        <v>1</v>
      </c>
      <c r="G172">
        <f t="shared" si="43"/>
        <v>0.375</v>
      </c>
      <c r="H172" s="1">
        <v>0.2</v>
      </c>
      <c r="I172" s="1">
        <f t="shared" si="41"/>
        <v>1.5</v>
      </c>
      <c r="J172" s="1">
        <f t="shared" si="42"/>
        <v>3822.5</v>
      </c>
    </row>
    <row r="173" spans="1:11" x14ac:dyDescent="0.25">
      <c r="B173" s="1">
        <v>5300</v>
      </c>
      <c r="C173" s="1">
        <v>5800</v>
      </c>
      <c r="D173" s="1">
        <v>2.3999999999999998E-3</v>
      </c>
      <c r="E173">
        <f t="shared" si="44"/>
        <v>-1.0000000000000002E-4</v>
      </c>
      <c r="F173" s="1">
        <v>1</v>
      </c>
      <c r="G173">
        <f t="shared" si="43"/>
        <v>0.45833333333333331</v>
      </c>
      <c r="H173" s="1">
        <v>0.2</v>
      </c>
      <c r="I173" s="1">
        <f t="shared" si="41"/>
        <v>1.8333333333333333</v>
      </c>
      <c r="J173" s="1">
        <f t="shared" si="42"/>
        <v>3494.166666666667</v>
      </c>
    </row>
    <row r="174" spans="1:11" x14ac:dyDescent="0.25">
      <c r="B174" s="1">
        <v>5300</v>
      </c>
      <c r="C174" s="1">
        <v>5800</v>
      </c>
      <c r="D174" s="1">
        <v>2.3999999999999998E-3</v>
      </c>
      <c r="E174">
        <f t="shared" si="44"/>
        <v>9.9999999999999991E-5</v>
      </c>
      <c r="F174" s="1">
        <v>1</v>
      </c>
      <c r="G174">
        <f t="shared" si="43"/>
        <v>0.54166666666666663</v>
      </c>
      <c r="H174" s="1">
        <v>0.2</v>
      </c>
      <c r="I174" s="1">
        <f t="shared" si="41"/>
        <v>1.8333333333333333</v>
      </c>
      <c r="J174" s="1">
        <f t="shared" si="42"/>
        <v>3535.833333333333</v>
      </c>
    </row>
    <row r="175" spans="1:11" x14ac:dyDescent="0.25">
      <c r="B175" s="1">
        <v>5300</v>
      </c>
      <c r="C175" s="1">
        <v>5800</v>
      </c>
      <c r="D175" s="1">
        <v>2.3999999999999998E-3</v>
      </c>
      <c r="E175">
        <f t="shared" si="44"/>
        <v>3.0000000000000003E-4</v>
      </c>
      <c r="F175" s="1">
        <v>1</v>
      </c>
      <c r="G175">
        <f t="shared" si="43"/>
        <v>0.625</v>
      </c>
      <c r="H175" s="1">
        <v>0.2</v>
      </c>
      <c r="I175" s="1">
        <f t="shared" si="41"/>
        <v>1.5</v>
      </c>
      <c r="J175" s="1">
        <f t="shared" si="42"/>
        <v>3947.5</v>
      </c>
    </row>
    <row r="176" spans="1:11" x14ac:dyDescent="0.25">
      <c r="B176" s="1">
        <v>5300</v>
      </c>
      <c r="C176" s="1">
        <v>5800</v>
      </c>
      <c r="D176" s="1">
        <v>2.3999999999999998E-3</v>
      </c>
      <c r="E176">
        <f t="shared" si="44"/>
        <v>5.0000000000000001E-4</v>
      </c>
      <c r="F176" s="1">
        <v>1</v>
      </c>
      <c r="G176">
        <f t="shared" si="43"/>
        <v>0.70833333333333337</v>
      </c>
      <c r="H176" s="1">
        <v>0.2</v>
      </c>
      <c r="I176" s="1">
        <f t="shared" si="41"/>
        <v>1.1666666666666665</v>
      </c>
      <c r="J176" s="1">
        <f t="shared" si="42"/>
        <v>4359.166666666667</v>
      </c>
    </row>
    <row r="177" spans="1:28" x14ac:dyDescent="0.25">
      <c r="B177" s="1">
        <v>5300</v>
      </c>
      <c r="C177" s="1">
        <v>5800</v>
      </c>
      <c r="D177" s="1">
        <v>2.3999999999999998E-3</v>
      </c>
      <c r="E177">
        <f t="shared" si="44"/>
        <v>6.9999999999999999E-4</v>
      </c>
      <c r="F177" s="1">
        <v>1</v>
      </c>
      <c r="G177">
        <f t="shared" si="43"/>
        <v>0.79166666666666674</v>
      </c>
      <c r="H177" s="1">
        <v>0.2</v>
      </c>
      <c r="I177" s="1">
        <f t="shared" si="41"/>
        <v>0.83333333333333326</v>
      </c>
      <c r="J177" s="1">
        <f t="shared" si="42"/>
        <v>4770.833333333333</v>
      </c>
    </row>
    <row r="178" spans="1:28" x14ac:dyDescent="0.25">
      <c r="B178" s="1">
        <v>5300</v>
      </c>
      <c r="C178" s="1">
        <v>5800</v>
      </c>
      <c r="D178" s="1">
        <v>2.3999999999999998E-3</v>
      </c>
      <c r="E178">
        <f t="shared" si="44"/>
        <v>8.9999999999999998E-4</v>
      </c>
      <c r="F178" s="1">
        <v>1</v>
      </c>
      <c r="G178">
        <f t="shared" si="43"/>
        <v>0.875</v>
      </c>
      <c r="H178" s="1">
        <v>0.2</v>
      </c>
      <c r="I178" s="1">
        <f t="shared" si="41"/>
        <v>0.5</v>
      </c>
      <c r="J178" s="1">
        <f t="shared" si="42"/>
        <v>5182.5</v>
      </c>
    </row>
    <row r="179" spans="1:28" x14ac:dyDescent="0.25">
      <c r="B179" s="1">
        <v>5300</v>
      </c>
      <c r="C179" s="1">
        <v>5800</v>
      </c>
      <c r="D179" s="1">
        <v>2.3999999999999998E-3</v>
      </c>
      <c r="E179" s="13">
        <v>1.1000000000000001E-3</v>
      </c>
      <c r="F179" s="1">
        <v>1</v>
      </c>
      <c r="G179">
        <f t="shared" si="43"/>
        <v>0.95833333333333348</v>
      </c>
      <c r="H179" s="1">
        <v>0.2</v>
      </c>
      <c r="I179" s="1">
        <f t="shared" si="41"/>
        <v>0.1666666666666663</v>
      </c>
      <c r="J179" s="1">
        <f t="shared" si="42"/>
        <v>5594.166666666667</v>
      </c>
    </row>
    <row r="180" spans="1:28" x14ac:dyDescent="0.25">
      <c r="B180" s="1"/>
      <c r="C180" s="1"/>
      <c r="D180" s="1"/>
      <c r="E180" s="13"/>
      <c r="F180" s="1"/>
      <c r="H180" s="1"/>
      <c r="I180" s="1"/>
      <c r="J180" s="1"/>
    </row>
    <row r="181" spans="1:28" x14ac:dyDescent="0.25">
      <c r="B181" s="1"/>
      <c r="C181" s="1"/>
      <c r="D181" s="1"/>
      <c r="E181" s="13"/>
      <c r="F181" s="1"/>
      <c r="H181" s="1"/>
      <c r="I181" s="1"/>
      <c r="J181" s="1"/>
    </row>
    <row r="182" spans="1:28" x14ac:dyDescent="0.25">
      <c r="B182" s="1"/>
      <c r="C182" s="1"/>
      <c r="D182" s="1"/>
      <c r="E182" s="13"/>
      <c r="F182" s="1"/>
      <c r="H182" s="1"/>
      <c r="I182" s="1"/>
      <c r="J182" s="1"/>
    </row>
    <row r="183" spans="1:28" x14ac:dyDescent="0.25">
      <c r="A183" s="15" t="s">
        <v>235</v>
      </c>
      <c r="C183" s="10" t="s">
        <v>27</v>
      </c>
      <c r="D183" s="10" t="s">
        <v>28</v>
      </c>
      <c r="E183" s="10" t="s">
        <v>29</v>
      </c>
      <c r="F183" s="10" t="s">
        <v>30</v>
      </c>
      <c r="G183" s="10" t="s">
        <v>31</v>
      </c>
      <c r="H183" s="10" t="s">
        <v>47</v>
      </c>
      <c r="I183" s="10" t="s">
        <v>32</v>
      </c>
      <c r="J183" s="10" t="s">
        <v>33</v>
      </c>
      <c r="K183" s="10" t="s">
        <v>34</v>
      </c>
      <c r="L183" s="10" t="s">
        <v>35</v>
      </c>
      <c r="M183" s="10" t="s">
        <v>36</v>
      </c>
      <c r="N183" s="10" t="s">
        <v>37</v>
      </c>
      <c r="O183" s="10" t="s">
        <v>38</v>
      </c>
      <c r="P183" s="10" t="s">
        <v>39</v>
      </c>
      <c r="Q183" s="10" t="s">
        <v>40</v>
      </c>
      <c r="R183" s="10" t="s">
        <v>41</v>
      </c>
      <c r="S183" s="10" t="s">
        <v>42</v>
      </c>
      <c r="T183" s="10" t="s">
        <v>48</v>
      </c>
      <c r="U183" s="10" t="s">
        <v>77</v>
      </c>
      <c r="V183" s="10" t="s">
        <v>78</v>
      </c>
      <c r="W183" s="10" t="s">
        <v>79</v>
      </c>
      <c r="X183" s="10" t="s">
        <v>49</v>
      </c>
      <c r="Y183" s="10" t="s">
        <v>43</v>
      </c>
      <c r="Z183" s="10" t="s">
        <v>44</v>
      </c>
      <c r="AA183" s="10" t="s">
        <v>45</v>
      </c>
      <c r="AB183" s="10" t="s">
        <v>46</v>
      </c>
    </row>
    <row r="184" spans="1:28" x14ac:dyDescent="0.25">
      <c r="A184" s="12" t="s">
        <v>234</v>
      </c>
      <c r="B184" t="s">
        <v>183</v>
      </c>
      <c r="C184" s="11">
        <v>1</v>
      </c>
      <c r="D184" s="5">
        <v>111816279953.19501</v>
      </c>
      <c r="E184" s="5">
        <v>111816279953.19501</v>
      </c>
      <c r="F184" s="5">
        <v>0.29584381826683465</v>
      </c>
      <c r="G184" s="5">
        <v>0</v>
      </c>
      <c r="H184" s="5">
        <v>42816666666.666672</v>
      </c>
      <c r="I184" s="5">
        <v>49870000000</v>
      </c>
      <c r="J184" s="5">
        <v>49870000000</v>
      </c>
      <c r="K184" s="5">
        <v>-7.8507308547823308E-11</v>
      </c>
      <c r="L184" s="5">
        <v>-7.8507308547823308E-11</v>
      </c>
      <c r="M184" s="5">
        <v>0</v>
      </c>
      <c r="N184" s="5">
        <v>2.0000000000000001E-4</v>
      </c>
      <c r="O184" s="5">
        <v>-2.3073593073593019</v>
      </c>
      <c r="P184" s="5">
        <v>-2.3073593073593019</v>
      </c>
      <c r="Q184" s="5">
        <v>1.4488412962962965E-8</v>
      </c>
      <c r="R184" s="5">
        <v>0</v>
      </c>
      <c r="S184" s="5">
        <v>7.2166666666666715E-6</v>
      </c>
      <c r="T184" s="5">
        <v>1.5271666666666665E-5</v>
      </c>
      <c r="U184" s="5">
        <v>1.5271666666666665E-5</v>
      </c>
      <c r="V184" s="5">
        <v>0</v>
      </c>
      <c r="W184" s="5">
        <v>0</v>
      </c>
      <c r="X184" s="5">
        <v>3.1050000000000004</v>
      </c>
      <c r="Y184" s="5">
        <v>5615</v>
      </c>
      <c r="Z184" s="5">
        <v>-1.1999999999999999E-3</v>
      </c>
      <c r="AA184" s="5">
        <v>-1E-3</v>
      </c>
      <c r="AB184" s="4">
        <v>2</v>
      </c>
    </row>
    <row r="185" spans="1:28" x14ac:dyDescent="0.25">
      <c r="C185" s="4">
        <v>2</v>
      </c>
      <c r="D185" s="5">
        <v>102786210101.79951</v>
      </c>
      <c r="E185" s="5">
        <v>102786210101.79951</v>
      </c>
      <c r="F185" s="5">
        <v>0.27334460358943119</v>
      </c>
      <c r="G185" s="5">
        <v>0</v>
      </c>
      <c r="H185" s="5">
        <v>39450000000</v>
      </c>
      <c r="I185" s="5">
        <v>46410000000</v>
      </c>
      <c r="J185" s="5">
        <v>46410000000</v>
      </c>
      <c r="K185" s="5">
        <v>-7.5846043851286916E-11</v>
      </c>
      <c r="L185" s="5">
        <v>-7.5846043851286916E-11</v>
      </c>
      <c r="M185" s="5">
        <v>0</v>
      </c>
      <c r="N185" s="5">
        <v>2.0000000000000001E-4</v>
      </c>
      <c r="O185" s="5">
        <v>-6.9220779220779214</v>
      </c>
      <c r="P185" s="5">
        <v>-6.9220779220779214</v>
      </c>
      <c r="Q185" s="5">
        <v>1.3994127777777778E-8</v>
      </c>
      <c r="R185" s="5">
        <v>0</v>
      </c>
      <c r="S185" s="5">
        <v>1.6499999999999994E-6</v>
      </c>
      <c r="T185" s="5">
        <v>1.4414999999999998E-5</v>
      </c>
      <c r="U185" s="5">
        <v>1.4414999999999998E-5</v>
      </c>
      <c r="V185" s="5">
        <v>0</v>
      </c>
      <c r="W185" s="5">
        <v>0</v>
      </c>
      <c r="X185" s="5">
        <v>2.915</v>
      </c>
      <c r="Y185" s="5">
        <v>5245</v>
      </c>
      <c r="Z185" s="5">
        <f t="shared" ref="Z185:AA185" si="45">Z184+0.0002</f>
        <v>-9.999999999999998E-4</v>
      </c>
      <c r="AA185" s="5">
        <f t="shared" si="45"/>
        <v>-8.0000000000000004E-4</v>
      </c>
      <c r="AB185" s="4">
        <v>2</v>
      </c>
    </row>
    <row r="186" spans="1:28" x14ac:dyDescent="0.25">
      <c r="C186" s="4">
        <v>3</v>
      </c>
      <c r="D186" s="5">
        <v>93756140250.404022</v>
      </c>
      <c r="E186" s="5">
        <v>93756140250.404022</v>
      </c>
      <c r="F186" s="5">
        <v>0.25084538891202779</v>
      </c>
      <c r="G186" s="5">
        <v>0</v>
      </c>
      <c r="H186" s="5">
        <v>36083333333.333336</v>
      </c>
      <c r="I186" s="5">
        <v>42950000000</v>
      </c>
      <c r="J186" s="5">
        <v>42950000000</v>
      </c>
      <c r="K186" s="5">
        <v>-7.3184779154750538E-11</v>
      </c>
      <c r="L186" s="5">
        <v>-7.3184779154750538E-11</v>
      </c>
      <c r="M186" s="5">
        <v>0</v>
      </c>
      <c r="N186" s="5">
        <v>2.0000000000000001E-4</v>
      </c>
      <c r="O186" s="5">
        <v>-11.536796536796535</v>
      </c>
      <c r="P186" s="5">
        <v>-11.536796536796535</v>
      </c>
      <c r="Q186" s="5">
        <v>1.3499842592592594E-8</v>
      </c>
      <c r="R186" s="5">
        <v>0</v>
      </c>
      <c r="S186" s="5">
        <v>-3.9166666666666659E-6</v>
      </c>
      <c r="T186" s="5">
        <v>1.3558333333333332E-5</v>
      </c>
      <c r="U186" s="5">
        <v>1.3558333333333332E-5</v>
      </c>
      <c r="V186" s="5">
        <v>0</v>
      </c>
      <c r="W186" s="5">
        <v>0</v>
      </c>
      <c r="X186" s="5">
        <v>2.7250000000000001</v>
      </c>
      <c r="Y186" s="5">
        <v>4875</v>
      </c>
      <c r="Z186" s="5">
        <f t="shared" ref="Z186:AA186" si="46">Z185+0.0002</f>
        <v>-7.9999999999999982E-4</v>
      </c>
      <c r="AA186" s="5">
        <f t="shared" si="46"/>
        <v>-6.0000000000000006E-4</v>
      </c>
      <c r="AB186" s="4">
        <v>2</v>
      </c>
    </row>
    <row r="187" spans="1:28" x14ac:dyDescent="0.25">
      <c r="C187" s="4">
        <v>4</v>
      </c>
      <c r="D187" s="5">
        <v>84726070399.00853</v>
      </c>
      <c r="E187" s="5">
        <v>84726070399.00853</v>
      </c>
      <c r="F187" s="5">
        <v>0.22834617423462439</v>
      </c>
      <c r="G187" s="5">
        <v>0</v>
      </c>
      <c r="H187" s="5">
        <v>32716666666.666668</v>
      </c>
      <c r="I187" s="5">
        <v>39490000000</v>
      </c>
      <c r="J187" s="5">
        <v>39490000000</v>
      </c>
      <c r="K187" s="5">
        <v>-7.0523514458214159E-11</v>
      </c>
      <c r="L187" s="5">
        <v>-7.0523514458214159E-11</v>
      </c>
      <c r="M187" s="5">
        <v>0</v>
      </c>
      <c r="N187" s="5">
        <v>2.0000000000000001E-4</v>
      </c>
      <c r="O187" s="5">
        <v>-16.151515151515149</v>
      </c>
      <c r="P187" s="5">
        <v>-16.151515151515149</v>
      </c>
      <c r="Q187" s="5">
        <v>1.3005557407407409E-8</v>
      </c>
      <c r="R187" s="5">
        <v>0</v>
      </c>
      <c r="S187" s="5">
        <v>-9.4833333333333312E-6</v>
      </c>
      <c r="T187" s="5">
        <v>1.2701666666666666E-5</v>
      </c>
      <c r="U187" s="5">
        <v>1.2701666666666666E-5</v>
      </c>
      <c r="V187" s="5">
        <v>0</v>
      </c>
      <c r="W187" s="5">
        <v>0</v>
      </c>
      <c r="X187" s="5">
        <v>2.5350000000000001</v>
      </c>
      <c r="Y187" s="5">
        <v>4505</v>
      </c>
      <c r="Z187" s="5">
        <f t="shared" ref="Z187:AA187" si="47">Z186+0.0002</f>
        <v>-5.9999999999999984E-4</v>
      </c>
      <c r="AA187" s="5">
        <f t="shared" si="47"/>
        <v>-4.0000000000000007E-4</v>
      </c>
      <c r="AB187" s="4">
        <v>2</v>
      </c>
    </row>
    <row r="188" spans="1:28" x14ac:dyDescent="0.25">
      <c r="C188" s="4">
        <v>5</v>
      </c>
      <c r="D188" s="5">
        <v>75696000547.613037</v>
      </c>
      <c r="E188" s="5">
        <v>75696000547.613037</v>
      </c>
      <c r="F188" s="5">
        <v>0.20584695955722096</v>
      </c>
      <c r="G188" s="5">
        <v>0</v>
      </c>
      <c r="H188" s="5">
        <v>29350000000</v>
      </c>
      <c r="I188" s="5">
        <v>36030000000</v>
      </c>
      <c r="J188" s="5">
        <v>36030000000</v>
      </c>
      <c r="K188" s="5">
        <v>-6.7862249761677768E-11</v>
      </c>
      <c r="L188" s="5">
        <v>-6.7862249761677768E-11</v>
      </c>
      <c r="M188" s="5">
        <v>0</v>
      </c>
      <c r="N188" s="5">
        <v>2.0000000000000001E-4</v>
      </c>
      <c r="O188" s="5">
        <v>-20.766233766233764</v>
      </c>
      <c r="P188" s="5">
        <v>-20.766233766233764</v>
      </c>
      <c r="Q188" s="5">
        <v>1.2511272222222223E-8</v>
      </c>
      <c r="R188" s="5">
        <v>0</v>
      </c>
      <c r="S188" s="5">
        <v>-1.505E-5</v>
      </c>
      <c r="T188" s="5">
        <v>1.1844999999999999E-5</v>
      </c>
      <c r="U188" s="5">
        <v>1.1844999999999999E-5</v>
      </c>
      <c r="V188" s="5">
        <v>0</v>
      </c>
      <c r="W188" s="5">
        <v>0</v>
      </c>
      <c r="X188" s="5">
        <v>2.3450000000000002</v>
      </c>
      <c r="Y188" s="5">
        <v>4135</v>
      </c>
      <c r="Z188" s="5">
        <f t="shared" ref="Z188:AA188" si="48">Z187+0.0002</f>
        <v>-3.9999999999999986E-4</v>
      </c>
      <c r="AA188" s="5">
        <f t="shared" si="48"/>
        <v>-2.0000000000000006E-4</v>
      </c>
      <c r="AB188" s="4">
        <v>2</v>
      </c>
    </row>
    <row r="189" spans="1:28" x14ac:dyDescent="0.25">
      <c r="C189" s="4">
        <v>6</v>
      </c>
      <c r="D189" s="5">
        <v>66665930696.217552</v>
      </c>
      <c r="E189" s="5">
        <v>66665930696.217552</v>
      </c>
      <c r="F189" s="5">
        <v>0.18334774487981753</v>
      </c>
      <c r="G189" s="5">
        <v>0</v>
      </c>
      <c r="H189" s="5">
        <v>25983333333.333336</v>
      </c>
      <c r="I189" s="5">
        <v>32570000000</v>
      </c>
      <c r="J189" s="5">
        <v>32570000000</v>
      </c>
      <c r="K189" s="5">
        <v>-6.5200985065141389E-11</v>
      </c>
      <c r="L189" s="5">
        <v>-6.5200985065141389E-11</v>
      </c>
      <c r="M189" s="5">
        <v>0</v>
      </c>
      <c r="N189" s="5">
        <v>2.0000000000000001E-4</v>
      </c>
      <c r="O189" s="5">
        <v>-25.380952380952376</v>
      </c>
      <c r="P189" s="5">
        <v>-25.380952380952376</v>
      </c>
      <c r="Q189" s="5">
        <v>1.2016987037037039E-8</v>
      </c>
      <c r="R189" s="5">
        <v>0</v>
      </c>
      <c r="S189" s="5">
        <v>-2.0616666666666662E-5</v>
      </c>
      <c r="T189" s="5">
        <v>1.0988333333333331E-5</v>
      </c>
      <c r="U189" s="5">
        <v>1.0988333333333331E-5</v>
      </c>
      <c r="V189" s="5">
        <v>0</v>
      </c>
      <c r="W189" s="5">
        <v>0</v>
      </c>
      <c r="X189" s="5">
        <v>2.1550000000000002</v>
      </c>
      <c r="Y189" s="5">
        <v>3765</v>
      </c>
      <c r="Z189" s="5">
        <f t="shared" ref="Z189:AA189" si="49">Z188+0.0002</f>
        <v>-1.9999999999999985E-4</v>
      </c>
      <c r="AA189" s="5">
        <f t="shared" si="49"/>
        <v>0</v>
      </c>
      <c r="AB189" s="4">
        <v>2</v>
      </c>
    </row>
    <row r="190" spans="1:28" x14ac:dyDescent="0.25">
      <c r="C190" s="4">
        <v>7</v>
      </c>
      <c r="D190" s="5">
        <v>66665930696.217552</v>
      </c>
      <c r="E190" s="5">
        <v>66665930696.217552</v>
      </c>
      <c r="F190" s="5">
        <v>0.18334774487981753</v>
      </c>
      <c r="G190" s="5">
        <v>0</v>
      </c>
      <c r="H190" s="5">
        <v>25983333333.333336</v>
      </c>
      <c r="I190" s="5">
        <v>32570000000</v>
      </c>
      <c r="J190" s="5">
        <v>32570000000</v>
      </c>
      <c r="K190" s="5">
        <v>-6.5200985065141389E-11</v>
      </c>
      <c r="L190" s="5">
        <v>-6.5200985065141389E-11</v>
      </c>
      <c r="M190" s="5">
        <v>0</v>
      </c>
      <c r="N190" s="5">
        <v>2.0000000000000001E-4</v>
      </c>
      <c r="O190" s="5">
        <v>-25.380952380952376</v>
      </c>
      <c r="P190" s="5">
        <v>-25.380952380952376</v>
      </c>
      <c r="Q190" s="5">
        <v>1.2016987037037039E-8</v>
      </c>
      <c r="R190" s="5">
        <v>0</v>
      </c>
      <c r="S190" s="5">
        <v>-2.0616666666666662E-5</v>
      </c>
      <c r="T190" s="5">
        <v>1.0988333333333331E-5</v>
      </c>
      <c r="U190" s="5">
        <v>1.0988333333333331E-5</v>
      </c>
      <c r="V190" s="5">
        <v>0</v>
      </c>
      <c r="W190" s="5">
        <v>0</v>
      </c>
      <c r="X190" s="5">
        <v>2.1550000000000002</v>
      </c>
      <c r="Y190" s="5">
        <v>3765</v>
      </c>
      <c r="Z190" s="5">
        <f t="shared" ref="Z190:AA190" si="50">Z189+0.0002</f>
        <v>0</v>
      </c>
      <c r="AA190" s="5">
        <f t="shared" si="50"/>
        <v>2.0000000000000001E-4</v>
      </c>
      <c r="AB190" s="4">
        <v>2</v>
      </c>
    </row>
    <row r="191" spans="1:28" x14ac:dyDescent="0.25">
      <c r="C191" s="4">
        <v>8</v>
      </c>
      <c r="D191" s="5">
        <v>75696000547.613037</v>
      </c>
      <c r="E191" s="5">
        <v>75696000547.613037</v>
      </c>
      <c r="F191" s="5">
        <v>0.20584695955722096</v>
      </c>
      <c r="G191" s="5">
        <v>0</v>
      </c>
      <c r="H191" s="5">
        <v>29350000000</v>
      </c>
      <c r="I191" s="5">
        <v>36030000000</v>
      </c>
      <c r="J191" s="5">
        <v>36030000000</v>
      </c>
      <c r="K191" s="5">
        <v>-6.7862249761677768E-11</v>
      </c>
      <c r="L191" s="5">
        <v>-6.7862249761677768E-11</v>
      </c>
      <c r="M191" s="5">
        <v>0</v>
      </c>
      <c r="N191" s="5">
        <v>2.0000000000000001E-4</v>
      </c>
      <c r="O191" s="5">
        <v>-20.766233766233764</v>
      </c>
      <c r="P191" s="5">
        <v>-20.766233766233764</v>
      </c>
      <c r="Q191" s="5">
        <v>1.2511272222222223E-8</v>
      </c>
      <c r="R191" s="5">
        <v>0</v>
      </c>
      <c r="S191" s="5">
        <v>-1.505E-5</v>
      </c>
      <c r="T191" s="5">
        <v>1.1844999999999999E-5</v>
      </c>
      <c r="U191" s="5">
        <v>1.1844999999999999E-5</v>
      </c>
      <c r="V191" s="5">
        <v>0</v>
      </c>
      <c r="W191" s="5">
        <v>0</v>
      </c>
      <c r="X191" s="5">
        <v>2.3450000000000002</v>
      </c>
      <c r="Y191" s="5">
        <v>4135</v>
      </c>
      <c r="Z191" s="5">
        <f t="shared" ref="Z191:AA191" si="51">Z190+0.0002</f>
        <v>2.0000000000000001E-4</v>
      </c>
      <c r="AA191" s="5">
        <f t="shared" si="51"/>
        <v>4.0000000000000002E-4</v>
      </c>
      <c r="AB191" s="4">
        <v>2</v>
      </c>
    </row>
    <row r="192" spans="1:28" x14ac:dyDescent="0.25">
      <c r="C192" s="4">
        <v>9</v>
      </c>
      <c r="D192" s="5">
        <v>84726070399.00853</v>
      </c>
      <c r="E192" s="5">
        <v>84726070399.00853</v>
      </c>
      <c r="F192" s="5">
        <v>0.22834617423462439</v>
      </c>
      <c r="G192" s="5">
        <v>0</v>
      </c>
      <c r="H192" s="5">
        <v>32716666666.666668</v>
      </c>
      <c r="I192" s="5">
        <v>39490000000</v>
      </c>
      <c r="J192" s="5">
        <v>39490000000</v>
      </c>
      <c r="K192" s="5">
        <v>-7.0523514458214159E-11</v>
      </c>
      <c r="L192" s="5">
        <v>-7.0523514458214159E-11</v>
      </c>
      <c r="M192" s="5">
        <v>0</v>
      </c>
      <c r="N192" s="5">
        <v>2.0000000000000001E-4</v>
      </c>
      <c r="O192" s="5">
        <v>-16.151515151515149</v>
      </c>
      <c r="P192" s="5">
        <v>-16.151515151515149</v>
      </c>
      <c r="Q192" s="5">
        <v>1.3005557407407409E-8</v>
      </c>
      <c r="R192" s="5">
        <v>0</v>
      </c>
      <c r="S192" s="5">
        <v>-9.4833333333333312E-6</v>
      </c>
      <c r="T192" s="5">
        <v>1.2701666666666666E-5</v>
      </c>
      <c r="U192" s="5">
        <v>1.2701666666666666E-5</v>
      </c>
      <c r="V192" s="5">
        <v>0</v>
      </c>
      <c r="W192" s="5">
        <v>0</v>
      </c>
      <c r="X192" s="5">
        <v>2.5350000000000001</v>
      </c>
      <c r="Y192" s="5">
        <v>4505</v>
      </c>
      <c r="Z192" s="5">
        <f t="shared" ref="Z192:AA192" si="52">Z191+0.0002</f>
        <v>4.0000000000000002E-4</v>
      </c>
      <c r="AA192" s="5">
        <f t="shared" si="52"/>
        <v>6.0000000000000006E-4</v>
      </c>
      <c r="AB192" s="4">
        <v>2</v>
      </c>
    </row>
    <row r="193" spans="1:28" x14ac:dyDescent="0.25">
      <c r="C193" s="4">
        <v>10</v>
      </c>
      <c r="D193" s="5">
        <v>93756140250.404022</v>
      </c>
      <c r="E193" s="5">
        <v>93756140250.404022</v>
      </c>
      <c r="F193" s="5">
        <v>0.25084538891202779</v>
      </c>
      <c r="G193" s="5">
        <v>0</v>
      </c>
      <c r="H193" s="5">
        <v>36083333333.333336</v>
      </c>
      <c r="I193" s="5">
        <v>42950000000</v>
      </c>
      <c r="J193" s="5">
        <v>42950000000</v>
      </c>
      <c r="K193" s="5">
        <v>-7.3184779154750538E-11</v>
      </c>
      <c r="L193" s="5">
        <v>-7.3184779154750538E-11</v>
      </c>
      <c r="M193" s="5">
        <v>0</v>
      </c>
      <c r="N193" s="5">
        <v>2.0000000000000001E-4</v>
      </c>
      <c r="O193" s="5">
        <v>-11.536796536796535</v>
      </c>
      <c r="P193" s="5">
        <v>-11.536796536796535</v>
      </c>
      <c r="Q193" s="5">
        <v>1.3499842592592594E-8</v>
      </c>
      <c r="R193" s="5">
        <v>0</v>
      </c>
      <c r="S193" s="5">
        <v>-3.9166666666666659E-6</v>
      </c>
      <c r="T193" s="5">
        <v>1.3558333333333332E-5</v>
      </c>
      <c r="U193" s="5">
        <v>1.3558333333333332E-5</v>
      </c>
      <c r="V193" s="5">
        <v>0</v>
      </c>
      <c r="W193" s="5">
        <v>0</v>
      </c>
      <c r="X193" s="5">
        <v>2.7250000000000001</v>
      </c>
      <c r="Y193" s="5">
        <v>4875</v>
      </c>
      <c r="Z193" s="5">
        <f t="shared" ref="Z193:AA193" si="53">Z192+0.0002</f>
        <v>6.0000000000000006E-4</v>
      </c>
      <c r="AA193" s="5">
        <f t="shared" si="53"/>
        <v>8.0000000000000004E-4</v>
      </c>
      <c r="AB193" s="4">
        <v>2</v>
      </c>
    </row>
    <row r="194" spans="1:28" x14ac:dyDescent="0.25">
      <c r="C194" s="4">
        <v>11</v>
      </c>
      <c r="D194" s="5">
        <v>102786210101.79951</v>
      </c>
      <c r="E194" s="5">
        <v>102786210101.79951</v>
      </c>
      <c r="F194" s="5">
        <v>0.27334460358943119</v>
      </c>
      <c r="G194" s="5">
        <v>0</v>
      </c>
      <c r="H194" s="5">
        <v>39450000000</v>
      </c>
      <c r="I194" s="5">
        <v>46410000000</v>
      </c>
      <c r="J194" s="5">
        <v>46410000000</v>
      </c>
      <c r="K194" s="5">
        <v>-7.5846043851286916E-11</v>
      </c>
      <c r="L194" s="5">
        <v>-7.5846043851286916E-11</v>
      </c>
      <c r="M194" s="5">
        <v>0</v>
      </c>
      <c r="N194" s="5">
        <v>2.0000000000000001E-4</v>
      </c>
      <c r="O194" s="5">
        <v>-6.9220779220779214</v>
      </c>
      <c r="P194" s="5">
        <v>-6.9220779220779214</v>
      </c>
      <c r="Q194" s="5">
        <v>1.3994127777777778E-8</v>
      </c>
      <c r="R194" s="5">
        <v>0</v>
      </c>
      <c r="S194" s="5">
        <v>1.6499999999999994E-6</v>
      </c>
      <c r="T194" s="5">
        <v>1.4414999999999998E-5</v>
      </c>
      <c r="U194" s="5">
        <v>1.4414999999999998E-5</v>
      </c>
      <c r="V194" s="5">
        <v>0</v>
      </c>
      <c r="W194" s="5">
        <v>0</v>
      </c>
      <c r="X194" s="5">
        <v>2.915</v>
      </c>
      <c r="Y194" s="5">
        <v>5245</v>
      </c>
      <c r="Z194" s="5">
        <f t="shared" ref="Z194:AA194" si="54">Z193+0.0002</f>
        <v>8.0000000000000004E-4</v>
      </c>
      <c r="AA194" s="5">
        <f t="shared" si="54"/>
        <v>1E-3</v>
      </c>
      <c r="AB194" s="4">
        <v>2</v>
      </c>
    </row>
    <row r="195" spans="1:28" x14ac:dyDescent="0.25">
      <c r="B195" t="s">
        <v>14</v>
      </c>
      <c r="C195" s="11">
        <v>12</v>
      </c>
      <c r="D195" s="5">
        <v>111816279953.19501</v>
      </c>
      <c r="E195" s="5">
        <v>111816279953.19501</v>
      </c>
      <c r="F195" s="5">
        <v>0.29584381826683465</v>
      </c>
      <c r="G195" s="5">
        <v>0</v>
      </c>
      <c r="H195" s="5">
        <v>42816666666.666672</v>
      </c>
      <c r="I195" s="5">
        <v>49870000000</v>
      </c>
      <c r="J195" s="5">
        <v>49870000000</v>
      </c>
      <c r="K195" s="5">
        <v>-7.8507308547823308E-11</v>
      </c>
      <c r="L195" s="5">
        <v>-7.8507308547823308E-11</v>
      </c>
      <c r="M195" s="5">
        <v>0</v>
      </c>
      <c r="N195" s="5">
        <v>2.0000000000000001E-4</v>
      </c>
      <c r="O195" s="5">
        <v>-2.3073593073593019</v>
      </c>
      <c r="P195" s="5">
        <v>-2.3073593073593019</v>
      </c>
      <c r="Q195" s="5">
        <v>1.4488412962962965E-8</v>
      </c>
      <c r="R195" s="5">
        <v>0</v>
      </c>
      <c r="S195" s="5">
        <v>7.2166666666666715E-6</v>
      </c>
      <c r="T195" s="5">
        <v>1.5271666666666665E-5</v>
      </c>
      <c r="U195" s="5">
        <v>1.5271666666666665E-5</v>
      </c>
      <c r="V195" s="5">
        <v>0</v>
      </c>
      <c r="W195" s="5">
        <v>0</v>
      </c>
      <c r="X195" s="5">
        <v>3.1050000000000004</v>
      </c>
      <c r="Y195" s="5">
        <v>5615</v>
      </c>
      <c r="Z195" s="5">
        <f t="shared" ref="Z195:AA195" si="55">Z194+0.0002</f>
        <v>1E-3</v>
      </c>
      <c r="AA195" s="5">
        <f t="shared" si="55"/>
        <v>1.2000000000000001E-3</v>
      </c>
      <c r="AB195" s="4">
        <v>2</v>
      </c>
    </row>
    <row r="196" spans="1:28" x14ac:dyDescent="0.25">
      <c r="C196" s="11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4"/>
    </row>
    <row r="197" spans="1:28" x14ac:dyDescent="0.25">
      <c r="C197" s="11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4"/>
    </row>
    <row r="198" spans="1:28" x14ac:dyDescent="0.25">
      <c r="C198" s="11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4"/>
    </row>
    <row r="199" spans="1:28" x14ac:dyDescent="0.25">
      <c r="A199" s="15" t="s">
        <v>235</v>
      </c>
      <c r="C199" s="10" t="s">
        <v>27</v>
      </c>
      <c r="D199" s="10" t="s">
        <v>28</v>
      </c>
      <c r="E199" s="10" t="s">
        <v>29</v>
      </c>
      <c r="F199" s="10" t="s">
        <v>30</v>
      </c>
      <c r="G199" s="10" t="s">
        <v>31</v>
      </c>
      <c r="H199" s="10" t="s">
        <v>47</v>
      </c>
      <c r="I199" s="10" t="s">
        <v>32</v>
      </c>
      <c r="J199" s="10" t="s">
        <v>33</v>
      </c>
      <c r="K199" s="10" t="s">
        <v>34</v>
      </c>
      <c r="L199" s="10" t="s">
        <v>35</v>
      </c>
      <c r="M199" s="10" t="s">
        <v>36</v>
      </c>
      <c r="N199" s="10" t="s">
        <v>37</v>
      </c>
      <c r="O199" s="10" t="s">
        <v>38</v>
      </c>
      <c r="P199" s="10" t="s">
        <v>39</v>
      </c>
      <c r="Q199" s="10" t="s">
        <v>40</v>
      </c>
      <c r="R199" s="10" t="s">
        <v>41</v>
      </c>
      <c r="S199" s="10" t="s">
        <v>42</v>
      </c>
      <c r="T199" s="10" t="s">
        <v>48</v>
      </c>
      <c r="U199" s="10" t="s">
        <v>77</v>
      </c>
      <c r="V199" s="10" t="s">
        <v>78</v>
      </c>
      <c r="W199" s="10" t="s">
        <v>79</v>
      </c>
      <c r="X199" s="10" t="s">
        <v>49</v>
      </c>
      <c r="Y199" s="10" t="s">
        <v>43</v>
      </c>
      <c r="Z199" s="10" t="s">
        <v>44</v>
      </c>
      <c r="AA199" s="10" t="s">
        <v>45</v>
      </c>
      <c r="AB199" s="10" t="s">
        <v>46</v>
      </c>
    </row>
    <row r="200" spans="1:28" x14ac:dyDescent="0.25">
      <c r="A200" s="12" t="s">
        <v>236</v>
      </c>
      <c r="B200" t="s">
        <v>183</v>
      </c>
      <c r="C200" s="11">
        <v>1</v>
      </c>
      <c r="D200" s="5">
        <v>150055745737.27423</v>
      </c>
      <c r="E200" s="5">
        <v>150055745737.27423</v>
      </c>
      <c r="F200" s="5">
        <v>0.35663340737786436</v>
      </c>
      <c r="G200" s="5">
        <v>0</v>
      </c>
      <c r="H200" s="5">
        <v>54816666666.666672</v>
      </c>
      <c r="I200" s="5">
        <v>50470000000</v>
      </c>
      <c r="J200" s="5">
        <v>50470000000</v>
      </c>
      <c r="K200" s="5">
        <v>1.3306323482681886E-12</v>
      </c>
      <c r="L200" s="5">
        <v>1.3306323482681886E-12</v>
      </c>
      <c r="M200" s="5">
        <v>0</v>
      </c>
      <c r="N200" s="5">
        <v>2.0000000000000001E-4</v>
      </c>
      <c r="O200" s="5">
        <v>136.13419913419912</v>
      </c>
      <c r="P200" s="5">
        <v>136.13419913419912</v>
      </c>
      <c r="Q200" s="5">
        <v>-1.5414259259259208E-10</v>
      </c>
      <c r="R200" s="5">
        <v>0</v>
      </c>
      <c r="S200" s="5">
        <v>1.5421666666666666E-4</v>
      </c>
      <c r="T200" s="5">
        <v>9.5716666666666685E-6</v>
      </c>
      <c r="U200" s="5">
        <v>9.5716666666666685E-6</v>
      </c>
      <c r="V200" s="5">
        <v>0</v>
      </c>
      <c r="W200" s="5">
        <v>0</v>
      </c>
      <c r="X200" s="5">
        <v>2.4050000000000002</v>
      </c>
      <c r="Y200" s="5">
        <v>5115</v>
      </c>
      <c r="Z200" s="5">
        <v>-1.1999999999999999E-3</v>
      </c>
      <c r="AA200" s="5">
        <v>-1E-3</v>
      </c>
      <c r="AB200" s="4">
        <v>2</v>
      </c>
    </row>
    <row r="201" spans="1:28" x14ac:dyDescent="0.25">
      <c r="C201" s="4">
        <v>2</v>
      </c>
      <c r="D201" s="5">
        <v>141025675885.87872</v>
      </c>
      <c r="E201" s="5">
        <v>141025675885.87872</v>
      </c>
      <c r="F201" s="5">
        <v>0.33413419270046091</v>
      </c>
      <c r="G201" s="5">
        <v>0</v>
      </c>
      <c r="H201" s="5">
        <v>51450000000</v>
      </c>
      <c r="I201" s="5">
        <v>47010000000</v>
      </c>
      <c r="J201" s="5">
        <v>47010000000</v>
      </c>
      <c r="K201" s="5">
        <v>3.991897044804575E-12</v>
      </c>
      <c r="L201" s="5">
        <v>3.991897044804575E-12</v>
      </c>
      <c r="M201" s="5">
        <v>0</v>
      </c>
      <c r="N201" s="5">
        <v>2.0000000000000001E-4</v>
      </c>
      <c r="O201" s="5">
        <v>131.51948051948048</v>
      </c>
      <c r="P201" s="5">
        <v>131.51948051948048</v>
      </c>
      <c r="Q201" s="5">
        <v>-6.4842777777777788E-10</v>
      </c>
      <c r="R201" s="5">
        <v>0</v>
      </c>
      <c r="S201" s="5">
        <v>1.4865000000000001E-4</v>
      </c>
      <c r="T201" s="5">
        <v>8.7150000000000004E-6</v>
      </c>
      <c r="U201" s="5">
        <v>8.7150000000000004E-6</v>
      </c>
      <c r="V201" s="5">
        <v>0</v>
      </c>
      <c r="W201" s="5">
        <v>0</v>
      </c>
      <c r="X201" s="5">
        <v>2.2149999999999999</v>
      </c>
      <c r="Y201" s="5">
        <v>4745</v>
      </c>
      <c r="Z201" s="5">
        <f t="shared" ref="Z201:AA201" si="56">Z200+0.0002</f>
        <v>-9.999999999999998E-4</v>
      </c>
      <c r="AA201" s="5">
        <f t="shared" si="56"/>
        <v>-8.0000000000000004E-4</v>
      </c>
      <c r="AB201" s="4">
        <v>2</v>
      </c>
    </row>
    <row r="202" spans="1:28" x14ac:dyDescent="0.25">
      <c r="C202" s="4">
        <v>3</v>
      </c>
      <c r="D202" s="5">
        <v>131995606034.48323</v>
      </c>
      <c r="E202" s="5">
        <v>131995606034.48323</v>
      </c>
      <c r="F202" s="5">
        <v>0.31163497802305751</v>
      </c>
      <c r="G202" s="5">
        <v>0</v>
      </c>
      <c r="H202" s="5">
        <v>48083333333.333336</v>
      </c>
      <c r="I202" s="5">
        <v>43550000000</v>
      </c>
      <c r="J202" s="5">
        <v>43550000000</v>
      </c>
      <c r="K202" s="5">
        <v>6.6531617413409575E-12</v>
      </c>
      <c r="L202" s="5">
        <v>6.6531617413409575E-12</v>
      </c>
      <c r="M202" s="5">
        <v>0</v>
      </c>
      <c r="N202" s="5">
        <v>2.0000000000000001E-4</v>
      </c>
      <c r="O202" s="5">
        <v>126.90476190476188</v>
      </c>
      <c r="P202" s="5">
        <v>126.90476190476188</v>
      </c>
      <c r="Q202" s="5">
        <v>-1.1427129629629631E-9</v>
      </c>
      <c r="R202" s="5">
        <v>0</v>
      </c>
      <c r="S202" s="5">
        <v>1.4308333333333333E-4</v>
      </c>
      <c r="T202" s="5">
        <v>7.858333333333334E-6</v>
      </c>
      <c r="U202" s="5">
        <v>7.858333333333334E-6</v>
      </c>
      <c r="V202" s="5">
        <v>0</v>
      </c>
      <c r="W202" s="5">
        <v>0</v>
      </c>
      <c r="X202" s="5">
        <v>2.0249999999999999</v>
      </c>
      <c r="Y202" s="5">
        <v>4375</v>
      </c>
      <c r="Z202" s="5">
        <f t="shared" ref="Z202:AA202" si="57">Z201+0.0002</f>
        <v>-7.9999999999999982E-4</v>
      </c>
      <c r="AA202" s="5">
        <f t="shared" si="57"/>
        <v>-6.0000000000000006E-4</v>
      </c>
      <c r="AB202" s="4">
        <v>2</v>
      </c>
    </row>
    <row r="203" spans="1:28" x14ac:dyDescent="0.25">
      <c r="C203" s="4">
        <v>4</v>
      </c>
      <c r="D203" s="5">
        <v>122965536183.08774</v>
      </c>
      <c r="E203" s="5">
        <v>122965536183.08774</v>
      </c>
      <c r="F203" s="5">
        <v>0.28913576334565411</v>
      </c>
      <c r="G203" s="5">
        <v>0</v>
      </c>
      <c r="H203" s="5">
        <v>44716666666.666672</v>
      </c>
      <c r="I203" s="5">
        <v>40090000000</v>
      </c>
      <c r="J203" s="5">
        <v>40090000000</v>
      </c>
      <c r="K203" s="5">
        <v>9.3144264378773409E-12</v>
      </c>
      <c r="L203" s="5">
        <v>9.3144264378773409E-12</v>
      </c>
      <c r="M203" s="5">
        <v>0</v>
      </c>
      <c r="N203" s="5">
        <v>2.0000000000000001E-4</v>
      </c>
      <c r="O203" s="5">
        <v>122.29004329004326</v>
      </c>
      <c r="P203" s="5">
        <v>122.29004329004326</v>
      </c>
      <c r="Q203" s="5">
        <v>-1.6369981481481482E-9</v>
      </c>
      <c r="R203" s="5">
        <v>0</v>
      </c>
      <c r="S203" s="5">
        <v>1.3751666666666666E-4</v>
      </c>
      <c r="T203" s="5">
        <v>7.0016666666666677E-6</v>
      </c>
      <c r="U203" s="5">
        <v>7.0016666666666677E-6</v>
      </c>
      <c r="V203" s="5">
        <v>0</v>
      </c>
      <c r="W203" s="5">
        <v>0</v>
      </c>
      <c r="X203" s="5">
        <v>1.835</v>
      </c>
      <c r="Y203" s="5">
        <v>4005</v>
      </c>
      <c r="Z203" s="5">
        <f t="shared" ref="Z203:AA203" si="58">Z202+0.0002</f>
        <v>-5.9999999999999984E-4</v>
      </c>
      <c r="AA203" s="5">
        <f t="shared" si="58"/>
        <v>-4.0000000000000007E-4</v>
      </c>
      <c r="AB203" s="4">
        <v>2</v>
      </c>
    </row>
    <row r="204" spans="1:28" x14ac:dyDescent="0.25">
      <c r="C204" s="4">
        <v>5</v>
      </c>
      <c r="D204" s="5">
        <v>113935466331.69225</v>
      </c>
      <c r="E204" s="5">
        <v>113935466331.69225</v>
      </c>
      <c r="F204" s="5">
        <v>0.26663654866825071</v>
      </c>
      <c r="G204" s="5">
        <v>0</v>
      </c>
      <c r="H204" s="5">
        <v>41350000000</v>
      </c>
      <c r="I204" s="5">
        <v>36630000000</v>
      </c>
      <c r="J204" s="5">
        <v>36630000000</v>
      </c>
      <c r="K204" s="5">
        <v>1.1975691134413726E-11</v>
      </c>
      <c r="L204" s="5">
        <v>1.1975691134413726E-11</v>
      </c>
      <c r="M204" s="5">
        <v>0</v>
      </c>
      <c r="N204" s="5">
        <v>2.0000000000000001E-4</v>
      </c>
      <c r="O204" s="5">
        <v>117.67532467532465</v>
      </c>
      <c r="P204" s="5">
        <v>117.67532467532465</v>
      </c>
      <c r="Q204" s="5">
        <v>-2.1312833333333338E-9</v>
      </c>
      <c r="R204" s="5">
        <v>0</v>
      </c>
      <c r="S204" s="5">
        <v>1.3194999999999998E-4</v>
      </c>
      <c r="T204" s="5">
        <v>6.1450000000000005E-6</v>
      </c>
      <c r="U204" s="5">
        <v>6.1450000000000005E-6</v>
      </c>
      <c r="V204" s="5">
        <v>0</v>
      </c>
      <c r="W204" s="5">
        <v>0</v>
      </c>
      <c r="X204" s="5">
        <v>1.645</v>
      </c>
      <c r="Y204" s="5">
        <v>3635</v>
      </c>
      <c r="Z204" s="5">
        <f t="shared" ref="Z204:AA204" si="59">Z203+0.0002</f>
        <v>-3.9999999999999986E-4</v>
      </c>
      <c r="AA204" s="5">
        <f t="shared" si="59"/>
        <v>-2.0000000000000006E-4</v>
      </c>
      <c r="AB204" s="4">
        <v>2</v>
      </c>
    </row>
    <row r="205" spans="1:28" x14ac:dyDescent="0.25">
      <c r="C205" s="4">
        <v>6</v>
      </c>
      <c r="D205" s="5">
        <v>104905396480.29675</v>
      </c>
      <c r="E205" s="5">
        <v>104905396480.29675</v>
      </c>
      <c r="F205" s="5">
        <v>0.24413733399084725</v>
      </c>
      <c r="G205" s="5">
        <v>0</v>
      </c>
      <c r="H205" s="5">
        <v>37983333333.333336</v>
      </c>
      <c r="I205" s="5">
        <v>33170000000</v>
      </c>
      <c r="J205" s="5">
        <v>33170000000</v>
      </c>
      <c r="K205" s="5">
        <v>1.4636955830950108E-11</v>
      </c>
      <c r="L205" s="5">
        <v>1.4636955830950108E-11</v>
      </c>
      <c r="M205" s="5">
        <v>0</v>
      </c>
      <c r="N205" s="5">
        <v>2.0000000000000001E-4</v>
      </c>
      <c r="O205" s="5">
        <v>113.06060606060603</v>
      </c>
      <c r="P205" s="5">
        <v>113.06060606060603</v>
      </c>
      <c r="Q205" s="5">
        <v>-2.6255685185185188E-9</v>
      </c>
      <c r="R205" s="5">
        <v>0</v>
      </c>
      <c r="S205" s="5">
        <v>1.2638333333333333E-4</v>
      </c>
      <c r="T205" s="5">
        <v>5.2883333333333332E-6</v>
      </c>
      <c r="U205" s="5">
        <v>5.2883333333333332E-6</v>
      </c>
      <c r="V205" s="5">
        <v>0</v>
      </c>
      <c r="W205" s="5">
        <v>0</v>
      </c>
      <c r="X205" s="5">
        <v>1.4549999999999998</v>
      </c>
      <c r="Y205" s="5">
        <v>3265</v>
      </c>
      <c r="Z205" s="5">
        <f t="shared" ref="Z205:AA205" si="60">Z204+0.0002</f>
        <v>-1.9999999999999985E-4</v>
      </c>
      <c r="AA205" s="5">
        <f t="shared" si="60"/>
        <v>0</v>
      </c>
      <c r="AB205" s="4">
        <v>2</v>
      </c>
    </row>
    <row r="206" spans="1:28" x14ac:dyDescent="0.25">
      <c r="C206" s="4">
        <v>7</v>
      </c>
      <c r="D206" s="5">
        <v>104905396480.29675</v>
      </c>
      <c r="E206" s="5">
        <v>104905396480.29675</v>
      </c>
      <c r="F206" s="5">
        <v>0.24413733399084725</v>
      </c>
      <c r="G206" s="5">
        <v>0</v>
      </c>
      <c r="H206" s="5">
        <v>37983333333.333336</v>
      </c>
      <c r="I206" s="5">
        <v>33170000000</v>
      </c>
      <c r="J206" s="5">
        <v>33170000000</v>
      </c>
      <c r="K206" s="5">
        <v>1.4636955830950108E-11</v>
      </c>
      <c r="L206" s="5">
        <v>1.4636955830950108E-11</v>
      </c>
      <c r="M206" s="5">
        <v>0</v>
      </c>
      <c r="N206" s="5">
        <v>2.0000000000000001E-4</v>
      </c>
      <c r="O206" s="5">
        <v>113.06060606060603</v>
      </c>
      <c r="P206" s="5">
        <v>113.06060606060603</v>
      </c>
      <c r="Q206" s="5">
        <v>-2.6255685185185188E-9</v>
      </c>
      <c r="R206" s="5">
        <v>0</v>
      </c>
      <c r="S206" s="5">
        <v>1.2638333333333333E-4</v>
      </c>
      <c r="T206" s="5">
        <v>5.2883333333333332E-6</v>
      </c>
      <c r="U206" s="5">
        <v>5.2883333333333332E-6</v>
      </c>
      <c r="V206" s="5">
        <v>0</v>
      </c>
      <c r="W206" s="5">
        <v>0</v>
      </c>
      <c r="X206" s="5">
        <v>1.4549999999999998</v>
      </c>
      <c r="Y206" s="5">
        <v>3265</v>
      </c>
      <c r="Z206" s="5">
        <f t="shared" ref="Z206:AA206" si="61">Z205+0.0002</f>
        <v>0</v>
      </c>
      <c r="AA206" s="5">
        <f t="shared" si="61"/>
        <v>2.0000000000000001E-4</v>
      </c>
      <c r="AB206" s="4">
        <v>2</v>
      </c>
    </row>
    <row r="207" spans="1:28" x14ac:dyDescent="0.25">
      <c r="C207" s="4">
        <v>8</v>
      </c>
      <c r="D207" s="5">
        <v>113935466331.69225</v>
      </c>
      <c r="E207" s="5">
        <v>113935466331.69225</v>
      </c>
      <c r="F207" s="5">
        <v>0.26663654866825071</v>
      </c>
      <c r="G207" s="5">
        <v>0</v>
      </c>
      <c r="H207" s="5">
        <v>41350000000</v>
      </c>
      <c r="I207" s="5">
        <v>36630000000</v>
      </c>
      <c r="J207" s="5">
        <v>36630000000</v>
      </c>
      <c r="K207" s="5">
        <v>1.1975691134413726E-11</v>
      </c>
      <c r="L207" s="5">
        <v>1.1975691134413726E-11</v>
      </c>
      <c r="M207" s="5">
        <v>0</v>
      </c>
      <c r="N207" s="5">
        <v>2.0000000000000001E-4</v>
      </c>
      <c r="O207" s="5">
        <v>117.67532467532465</v>
      </c>
      <c r="P207" s="5">
        <v>117.67532467532465</v>
      </c>
      <c r="Q207" s="5">
        <v>-2.1312833333333338E-9</v>
      </c>
      <c r="R207" s="5">
        <v>0</v>
      </c>
      <c r="S207" s="5">
        <v>1.3194999999999998E-4</v>
      </c>
      <c r="T207" s="5">
        <v>6.1450000000000005E-6</v>
      </c>
      <c r="U207" s="5">
        <v>6.1450000000000005E-6</v>
      </c>
      <c r="V207" s="5">
        <v>0</v>
      </c>
      <c r="W207" s="5">
        <v>0</v>
      </c>
      <c r="X207" s="5">
        <v>1.645</v>
      </c>
      <c r="Y207" s="5">
        <v>3635</v>
      </c>
      <c r="Z207" s="5">
        <f t="shared" ref="Z207:AA207" si="62">Z206+0.0002</f>
        <v>2.0000000000000001E-4</v>
      </c>
      <c r="AA207" s="5">
        <f t="shared" si="62"/>
        <v>4.0000000000000002E-4</v>
      </c>
      <c r="AB207" s="4">
        <v>2</v>
      </c>
    </row>
    <row r="208" spans="1:28" x14ac:dyDescent="0.25">
      <c r="C208" s="4">
        <v>9</v>
      </c>
      <c r="D208" s="5">
        <v>122965536183.08774</v>
      </c>
      <c r="E208" s="5">
        <v>122965536183.08774</v>
      </c>
      <c r="F208" s="5">
        <v>0.28913576334565411</v>
      </c>
      <c r="G208" s="5">
        <v>0</v>
      </c>
      <c r="H208" s="5">
        <v>44716666666.666672</v>
      </c>
      <c r="I208" s="5">
        <v>40090000000</v>
      </c>
      <c r="J208" s="5">
        <v>40090000000</v>
      </c>
      <c r="K208" s="5">
        <v>9.3144264378773409E-12</v>
      </c>
      <c r="L208" s="5">
        <v>9.3144264378773409E-12</v>
      </c>
      <c r="M208" s="5">
        <v>0</v>
      </c>
      <c r="N208" s="5">
        <v>2.0000000000000001E-4</v>
      </c>
      <c r="O208" s="5">
        <v>122.29004329004326</v>
      </c>
      <c r="P208" s="5">
        <v>122.29004329004326</v>
      </c>
      <c r="Q208" s="5">
        <v>-1.6369981481481482E-9</v>
      </c>
      <c r="R208" s="5">
        <v>0</v>
      </c>
      <c r="S208" s="5">
        <v>1.3751666666666666E-4</v>
      </c>
      <c r="T208" s="5">
        <v>7.0016666666666677E-6</v>
      </c>
      <c r="U208" s="5">
        <v>7.0016666666666677E-6</v>
      </c>
      <c r="V208" s="5">
        <v>0</v>
      </c>
      <c r="W208" s="5">
        <v>0</v>
      </c>
      <c r="X208" s="5">
        <v>1.835</v>
      </c>
      <c r="Y208" s="5">
        <v>4005</v>
      </c>
      <c r="Z208" s="5">
        <f t="shared" ref="Z208:AA208" si="63">Z207+0.0002</f>
        <v>4.0000000000000002E-4</v>
      </c>
      <c r="AA208" s="5">
        <f t="shared" si="63"/>
        <v>6.0000000000000006E-4</v>
      </c>
      <c r="AB208" s="4">
        <v>2</v>
      </c>
    </row>
    <row r="209" spans="1:28" x14ac:dyDescent="0.25">
      <c r="C209" s="4">
        <v>10</v>
      </c>
      <c r="D209" s="5">
        <v>131995606034.48323</v>
      </c>
      <c r="E209" s="5">
        <v>131995606034.48323</v>
      </c>
      <c r="F209" s="5">
        <v>0.31163497802305751</v>
      </c>
      <c r="G209" s="5">
        <v>0</v>
      </c>
      <c r="H209" s="5">
        <v>48083333333.333336</v>
      </c>
      <c r="I209" s="5">
        <v>43550000000</v>
      </c>
      <c r="J209" s="5">
        <v>43550000000</v>
      </c>
      <c r="K209" s="5">
        <v>6.6531617413409575E-12</v>
      </c>
      <c r="L209" s="5">
        <v>6.6531617413409575E-12</v>
      </c>
      <c r="M209" s="5">
        <v>0</v>
      </c>
      <c r="N209" s="5">
        <v>2.0000000000000001E-4</v>
      </c>
      <c r="O209" s="5">
        <v>126.90476190476188</v>
      </c>
      <c r="P209" s="5">
        <v>126.90476190476188</v>
      </c>
      <c r="Q209" s="5">
        <v>-1.1427129629629631E-9</v>
      </c>
      <c r="R209" s="5">
        <v>0</v>
      </c>
      <c r="S209" s="5">
        <v>1.4308333333333333E-4</v>
      </c>
      <c r="T209" s="5">
        <v>7.858333333333334E-6</v>
      </c>
      <c r="U209" s="5">
        <v>7.858333333333334E-6</v>
      </c>
      <c r="V209" s="5">
        <v>0</v>
      </c>
      <c r="W209" s="5">
        <v>0</v>
      </c>
      <c r="X209" s="5">
        <v>2.0249999999999999</v>
      </c>
      <c r="Y209" s="5">
        <v>4375</v>
      </c>
      <c r="Z209" s="5">
        <f t="shared" ref="Z209:AA209" si="64">Z208+0.0002</f>
        <v>6.0000000000000006E-4</v>
      </c>
      <c r="AA209" s="5">
        <f t="shared" si="64"/>
        <v>8.0000000000000004E-4</v>
      </c>
      <c r="AB209" s="4">
        <v>2</v>
      </c>
    </row>
    <row r="210" spans="1:28" x14ac:dyDescent="0.25">
      <c r="C210" s="4">
        <v>11</v>
      </c>
      <c r="D210" s="5">
        <v>141025675885.87872</v>
      </c>
      <c r="E210" s="5">
        <v>141025675885.87872</v>
      </c>
      <c r="F210" s="5">
        <v>0.33413419270046091</v>
      </c>
      <c r="G210" s="5">
        <v>0</v>
      </c>
      <c r="H210" s="5">
        <v>51450000000</v>
      </c>
      <c r="I210" s="5">
        <v>47010000000</v>
      </c>
      <c r="J210" s="5">
        <v>47010000000</v>
      </c>
      <c r="K210" s="5">
        <v>3.991897044804575E-12</v>
      </c>
      <c r="L210" s="5">
        <v>3.991897044804575E-12</v>
      </c>
      <c r="M210" s="5">
        <v>0</v>
      </c>
      <c r="N210" s="5">
        <v>2.0000000000000001E-4</v>
      </c>
      <c r="O210" s="5">
        <v>131.51948051948048</v>
      </c>
      <c r="P210" s="5">
        <v>131.51948051948048</v>
      </c>
      <c r="Q210" s="5">
        <v>-6.4842777777777788E-10</v>
      </c>
      <c r="R210" s="5">
        <v>0</v>
      </c>
      <c r="S210" s="5">
        <v>1.4865000000000001E-4</v>
      </c>
      <c r="T210" s="5">
        <v>8.7150000000000004E-6</v>
      </c>
      <c r="U210" s="5">
        <v>8.7150000000000004E-6</v>
      </c>
      <c r="V210" s="5">
        <v>0</v>
      </c>
      <c r="W210" s="5">
        <v>0</v>
      </c>
      <c r="X210" s="5">
        <v>2.2149999999999999</v>
      </c>
      <c r="Y210" s="5">
        <v>4745</v>
      </c>
      <c r="Z210" s="5">
        <f t="shared" ref="Z210:AA210" si="65">Z209+0.0002</f>
        <v>8.0000000000000004E-4</v>
      </c>
      <c r="AA210" s="5">
        <f t="shared" si="65"/>
        <v>1E-3</v>
      </c>
      <c r="AB210" s="4">
        <v>2</v>
      </c>
    </row>
    <row r="211" spans="1:28" x14ac:dyDescent="0.25">
      <c r="B211" t="s">
        <v>14</v>
      </c>
      <c r="C211" s="11">
        <v>12</v>
      </c>
      <c r="D211" s="5">
        <v>150055745737.27426</v>
      </c>
      <c r="E211" s="5">
        <v>150055745737.27426</v>
      </c>
      <c r="F211" s="5">
        <v>0.35663340737786436</v>
      </c>
      <c r="G211" s="5">
        <v>0</v>
      </c>
      <c r="H211" s="5">
        <v>54816666666.666672</v>
      </c>
      <c r="I211" s="5">
        <v>50470000000</v>
      </c>
      <c r="J211" s="5">
        <v>50470000000</v>
      </c>
      <c r="K211" s="5">
        <v>1.3306323482681886E-12</v>
      </c>
      <c r="L211" s="5">
        <v>1.3306323482681886E-12</v>
      </c>
      <c r="M211" s="5">
        <v>0</v>
      </c>
      <c r="N211" s="5">
        <v>2.0000000000000001E-4</v>
      </c>
      <c r="O211" s="5">
        <v>136.13419913419912</v>
      </c>
      <c r="P211" s="5">
        <v>136.13419913419912</v>
      </c>
      <c r="Q211" s="5">
        <v>-1.5414259259259208E-10</v>
      </c>
      <c r="R211" s="5">
        <v>0</v>
      </c>
      <c r="S211" s="5">
        <v>1.5421666666666666E-4</v>
      </c>
      <c r="T211" s="5">
        <v>9.5716666666666685E-6</v>
      </c>
      <c r="U211" s="5">
        <v>9.5716666666666685E-6</v>
      </c>
      <c r="V211" s="5">
        <v>0</v>
      </c>
      <c r="W211" s="5">
        <v>0</v>
      </c>
      <c r="X211" s="5">
        <v>2.4050000000000002</v>
      </c>
      <c r="Y211" s="5">
        <v>5115</v>
      </c>
      <c r="Z211" s="5">
        <f t="shared" ref="Z211:AA211" si="66">Z210+0.0002</f>
        <v>1E-3</v>
      </c>
      <c r="AA211" s="5">
        <f t="shared" si="66"/>
        <v>1.2000000000000001E-3</v>
      </c>
      <c r="AB211" s="4">
        <v>2</v>
      </c>
    </row>
    <row r="212" spans="1:28" x14ac:dyDescent="0.25">
      <c r="A212" t="s">
        <v>254</v>
      </c>
      <c r="G212" t="s">
        <v>254</v>
      </c>
      <c r="J212" s="1"/>
      <c r="N212" t="s">
        <v>254</v>
      </c>
      <c r="U212" t="s">
        <v>254</v>
      </c>
      <c r="AB212" s="4"/>
    </row>
    <row r="213" spans="1:28" x14ac:dyDescent="0.25">
      <c r="A213" s="15" t="s">
        <v>166</v>
      </c>
      <c r="C213" s="10" t="s">
        <v>27</v>
      </c>
      <c r="D213" s="10" t="s">
        <v>28</v>
      </c>
      <c r="E213" s="10" t="s">
        <v>29</v>
      </c>
      <c r="F213" s="10" t="s">
        <v>30</v>
      </c>
      <c r="G213" s="10" t="s">
        <v>31</v>
      </c>
      <c r="H213" s="10" t="s">
        <v>47</v>
      </c>
      <c r="I213" s="10" t="s">
        <v>32</v>
      </c>
      <c r="J213" s="10" t="s">
        <v>33</v>
      </c>
      <c r="K213" s="10" t="s">
        <v>34</v>
      </c>
      <c r="L213" s="10" t="s">
        <v>35</v>
      </c>
      <c r="M213" s="10" t="s">
        <v>36</v>
      </c>
      <c r="N213" s="10" t="s">
        <v>37</v>
      </c>
      <c r="O213" s="10" t="s">
        <v>38</v>
      </c>
      <c r="P213" s="10" t="s">
        <v>39</v>
      </c>
      <c r="Q213" s="10" t="s">
        <v>40</v>
      </c>
      <c r="R213" s="10" t="s">
        <v>41</v>
      </c>
      <c r="S213" s="10" t="s">
        <v>42</v>
      </c>
      <c r="T213" s="10" t="s">
        <v>48</v>
      </c>
      <c r="U213" s="10" t="s">
        <v>77</v>
      </c>
      <c r="V213" s="10" t="s">
        <v>78</v>
      </c>
      <c r="W213" s="10" t="s">
        <v>79</v>
      </c>
      <c r="X213" s="10" t="s">
        <v>49</v>
      </c>
      <c r="Y213" s="10" t="s">
        <v>43</v>
      </c>
      <c r="Z213" s="10" t="s">
        <v>44</v>
      </c>
      <c r="AA213" s="10" t="s">
        <v>45</v>
      </c>
      <c r="AB213" s="10" t="s">
        <v>46</v>
      </c>
    </row>
    <row r="214" spans="1:28" x14ac:dyDescent="0.25">
      <c r="A214" s="12" t="s">
        <v>167</v>
      </c>
      <c r="B214" t="s">
        <v>190</v>
      </c>
      <c r="C214" s="11">
        <v>1</v>
      </c>
      <c r="D214" s="5">
        <v>134318703749.23846</v>
      </c>
      <c r="E214" s="5">
        <v>134318703749.23846</v>
      </c>
      <c r="F214" s="5">
        <v>0.33568812367958406</v>
      </c>
      <c r="G214" s="5">
        <v>0</v>
      </c>
      <c r="H214" s="5">
        <v>50144656953.70713</v>
      </c>
      <c r="I214" s="5">
        <v>51882232847.685356</v>
      </c>
      <c r="J214" s="5">
        <v>51882232847.685356</v>
      </c>
      <c r="K214" s="5">
        <v>-4.2283125208693025E-11</v>
      </c>
      <c r="L214" s="5">
        <v>-4.2283125208693025E-11</v>
      </c>
      <c r="M214" s="5">
        <v>0</v>
      </c>
      <c r="N214" s="5">
        <v>2.0000000000000001E-4</v>
      </c>
      <c r="O214" s="5">
        <v>65.121258794932885</v>
      </c>
      <c r="P214" s="5">
        <v>65.121258794932885</v>
      </c>
      <c r="Q214" s="5">
        <v>7.8478719691630864E-9</v>
      </c>
      <c r="R214" s="5">
        <v>0</v>
      </c>
      <c r="S214" s="5">
        <v>7.914704768291234E-5</v>
      </c>
      <c r="T214" s="5">
        <v>1.3018787946989112E-5</v>
      </c>
      <c r="U214" s="5">
        <v>1.3018787946989112E-5</v>
      </c>
      <c r="V214" s="5">
        <v>0</v>
      </c>
      <c r="W214" s="5">
        <v>0</v>
      </c>
      <c r="X214" s="5">
        <v>2.8707283443670844</v>
      </c>
      <c r="Y214" s="5">
        <v>5564.8059602622034</v>
      </c>
      <c r="Z214" s="5">
        <v>-1.1999999999999999E-3</v>
      </c>
      <c r="AA214" s="5">
        <v>-1E-3</v>
      </c>
      <c r="AB214" s="4">
        <v>2</v>
      </c>
    </row>
    <row r="215" spans="1:28" x14ac:dyDescent="0.25">
      <c r="C215" s="4">
        <v>2</v>
      </c>
      <c r="D215" s="5">
        <v>129342141860.06099</v>
      </c>
      <c r="E215" s="5">
        <v>129342141860.06099</v>
      </c>
      <c r="F215" s="5">
        <v>0.3277768428542473</v>
      </c>
      <c r="G215" s="5">
        <v>0</v>
      </c>
      <c r="H215" s="5">
        <v>48582952535.362633</v>
      </c>
      <c r="I215" s="5">
        <v>51804147626.768135</v>
      </c>
      <c r="J215" s="5">
        <v>51804147626.768135</v>
      </c>
      <c r="K215" s="5">
        <v>-5.2673397296105747E-11</v>
      </c>
      <c r="L215" s="5">
        <v>-5.2673397296105747E-11</v>
      </c>
      <c r="M215" s="5">
        <v>0</v>
      </c>
      <c r="N215" s="5">
        <v>2.0000000000000001E-4</v>
      </c>
      <c r="O215" s="5">
        <v>47.104192669876269</v>
      </c>
      <c r="P215" s="5">
        <v>47.104192669876269</v>
      </c>
      <c r="Q215" s="5">
        <v>9.7534839447435742E-9</v>
      </c>
      <c r="R215" s="5">
        <v>0</v>
      </c>
      <c r="S215" s="5">
        <v>6.0016168558192268E-5</v>
      </c>
      <c r="T215" s="5">
        <v>1.3760597545702748E-5</v>
      </c>
      <c r="U215" s="5">
        <v>1.3760597545702748E-5</v>
      </c>
      <c r="V215" s="5">
        <v>0</v>
      </c>
      <c r="W215" s="5">
        <v>0</v>
      </c>
      <c r="X215" s="5">
        <v>2.961827768770513</v>
      </c>
      <c r="Y215" s="5">
        <v>5629.8769776932231</v>
      </c>
      <c r="Z215" s="5">
        <f t="shared" ref="Z215:AA215" si="67">Z214+0.0002</f>
        <v>-9.999999999999998E-4</v>
      </c>
      <c r="AA215" s="5">
        <f t="shared" si="67"/>
        <v>-8.0000000000000004E-4</v>
      </c>
      <c r="AB215" s="4">
        <v>2</v>
      </c>
    </row>
    <row r="216" spans="1:28" x14ac:dyDescent="0.25">
      <c r="C216" s="4">
        <v>3</v>
      </c>
      <c r="D216" s="5">
        <v>126628389438.89993</v>
      </c>
      <c r="E216" s="5">
        <v>126628389438.89993</v>
      </c>
      <c r="F216" s="5">
        <v>0.32346276860533019</v>
      </c>
      <c r="G216" s="5">
        <v>0</v>
      </c>
      <c r="H216" s="5">
        <v>47731344690.268448</v>
      </c>
      <c r="I216" s="5">
        <v>51761567234.51342</v>
      </c>
      <c r="J216" s="5">
        <v>51761567234.51342</v>
      </c>
      <c r="K216" s="5">
        <v>-5.8339282029712213E-11</v>
      </c>
      <c r="L216" s="5">
        <v>-5.8339282029712213E-11</v>
      </c>
      <c r="M216" s="5">
        <v>0</v>
      </c>
      <c r="N216" s="5">
        <v>2.0000000000000001E-4</v>
      </c>
      <c r="O216" s="5">
        <v>37.279366231884893</v>
      </c>
      <c r="P216" s="5">
        <v>37.279366231884893</v>
      </c>
      <c r="Q216" s="5">
        <v>1.0792626876688457E-8</v>
      </c>
      <c r="R216" s="5">
        <v>0</v>
      </c>
      <c r="S216" s="5">
        <v>4.9583972455788478E-5</v>
      </c>
      <c r="T216" s="5">
        <v>1.4165111272122486E-5</v>
      </c>
      <c r="U216" s="5">
        <v>1.4165111272122486E-5</v>
      </c>
      <c r="V216" s="5">
        <v>0</v>
      </c>
      <c r="W216" s="5">
        <v>0</v>
      </c>
      <c r="X216" s="5">
        <v>3.011504893067674</v>
      </c>
      <c r="Y216" s="5">
        <v>5665.3606379054818</v>
      </c>
      <c r="Z216" s="5">
        <f t="shared" ref="Z216:AA216" si="68">Z215+0.0002</f>
        <v>-7.9999999999999982E-4</v>
      </c>
      <c r="AA216" s="5">
        <f t="shared" si="68"/>
        <v>-6.0000000000000006E-4</v>
      </c>
      <c r="AB216" s="4">
        <v>2</v>
      </c>
    </row>
    <row r="217" spans="1:28" x14ac:dyDescent="0.25">
      <c r="C217" s="4">
        <v>4</v>
      </c>
      <c r="D217" s="5">
        <v>124683309087.13542</v>
      </c>
      <c r="E217" s="5">
        <v>124683309087.13542</v>
      </c>
      <c r="F217" s="5">
        <v>0.32037065858372704</v>
      </c>
      <c r="G217" s="5">
        <v>0</v>
      </c>
      <c r="H217" s="5">
        <v>47120955299.554413</v>
      </c>
      <c r="I217" s="5">
        <v>51731047764.977722</v>
      </c>
      <c r="J217" s="5">
        <v>51731047764.977722</v>
      </c>
      <c r="K217" s="5">
        <v>-6.2400301371331224E-11</v>
      </c>
      <c r="L217" s="5">
        <v>-6.2400301371331224E-11</v>
      </c>
      <c r="M217" s="5">
        <v>0</v>
      </c>
      <c r="N217" s="5">
        <v>2.0000000000000001E-4</v>
      </c>
      <c r="O217" s="5">
        <v>30.237428022997904</v>
      </c>
      <c r="P217" s="5">
        <v>30.237428022997904</v>
      </c>
      <c r="Q217" s="5">
        <v>1.1537431923692783E-8</v>
      </c>
      <c r="R217" s="5">
        <v>0</v>
      </c>
      <c r="S217" s="5">
        <v>4.2106702419541592E-5</v>
      </c>
      <c r="T217" s="5">
        <v>1.4455046232711652E-5</v>
      </c>
      <c r="U217" s="5">
        <v>1.4455046232711652E-5</v>
      </c>
      <c r="V217" s="5">
        <v>0</v>
      </c>
      <c r="W217" s="5">
        <v>0</v>
      </c>
      <c r="X217" s="5">
        <v>3.047110940859326</v>
      </c>
      <c r="Y217" s="5">
        <v>5690.7935291852327</v>
      </c>
      <c r="Z217" s="5">
        <f t="shared" ref="Z217:AA217" si="69">Z216+0.0002</f>
        <v>-5.9999999999999984E-4</v>
      </c>
      <c r="AA217" s="5">
        <f t="shared" si="69"/>
        <v>-4.0000000000000007E-4</v>
      </c>
      <c r="AB217" s="4">
        <v>2</v>
      </c>
    </row>
    <row r="218" spans="1:28" x14ac:dyDescent="0.25">
      <c r="C218" s="4">
        <v>5</v>
      </c>
      <c r="D218" s="5">
        <v>123142684741.80118</v>
      </c>
      <c r="E218" s="5">
        <v>123142684741.80118</v>
      </c>
      <c r="F218" s="5">
        <v>0.3179215155581383</v>
      </c>
      <c r="G218" s="5">
        <v>0</v>
      </c>
      <c r="H218" s="5">
        <v>46637489022.896645</v>
      </c>
      <c r="I218" s="5">
        <v>51706874451.144829</v>
      </c>
      <c r="J218" s="5">
        <v>51706874451.144829</v>
      </c>
      <c r="K218" s="5">
        <v>-6.5616880706419272E-11</v>
      </c>
      <c r="L218" s="5">
        <v>-6.5616880706419272E-11</v>
      </c>
      <c r="M218" s="5">
        <v>0</v>
      </c>
      <c r="N218" s="5">
        <v>2.0000000000000001E-4</v>
      </c>
      <c r="O218" s="5">
        <v>24.659775956794633</v>
      </c>
      <c r="P218" s="5">
        <v>24.659775956794633</v>
      </c>
      <c r="Q218" s="5">
        <v>1.2127363741626033E-8</v>
      </c>
      <c r="R218" s="5">
        <v>0</v>
      </c>
      <c r="S218" s="5">
        <v>3.6184240530483908E-5</v>
      </c>
      <c r="T218" s="5">
        <v>1.4684692714124093E-5</v>
      </c>
      <c r="U218" s="5">
        <v>1.4684692714124093E-5</v>
      </c>
      <c r="V218" s="5">
        <v>0</v>
      </c>
      <c r="W218" s="5">
        <v>0</v>
      </c>
      <c r="X218" s="5">
        <v>3.075313140331029</v>
      </c>
      <c r="Y218" s="5">
        <v>5710.9379573793067</v>
      </c>
      <c r="Z218" s="5">
        <f t="shared" ref="Z218:AA218" si="70">Z217+0.0002</f>
        <v>-3.9999999999999986E-4</v>
      </c>
      <c r="AA218" s="5">
        <f t="shared" si="70"/>
        <v>-2.0000000000000006E-4</v>
      </c>
      <c r="AB218" s="4">
        <v>2</v>
      </c>
    </row>
    <row r="219" spans="1:28" x14ac:dyDescent="0.25">
      <c r="C219" s="4">
        <v>6</v>
      </c>
      <c r="D219" s="5">
        <v>121855691737.84134</v>
      </c>
      <c r="E219" s="5">
        <v>121855691737.84134</v>
      </c>
      <c r="F219" s="5">
        <v>0.31587557233442148</v>
      </c>
      <c r="G219" s="5">
        <v>0</v>
      </c>
      <c r="H219" s="5">
        <v>46233615283.270607</v>
      </c>
      <c r="I219" s="5">
        <v>51686680764.163528</v>
      </c>
      <c r="J219" s="5">
        <v>51686680764.163528</v>
      </c>
      <c r="K219" s="5">
        <v>-6.8303918019231522E-11</v>
      </c>
      <c r="L219" s="5">
        <v>-6.8303918019231522E-11</v>
      </c>
      <c r="M219" s="5">
        <v>0</v>
      </c>
      <c r="N219" s="5">
        <v>2.0000000000000001E-4</v>
      </c>
      <c r="O219" s="5">
        <v>20.000366796173907</v>
      </c>
      <c r="P219" s="5">
        <v>20.000366796173907</v>
      </c>
      <c r="Q219" s="5">
        <v>1.262017571411805E-8</v>
      </c>
      <c r="R219" s="5">
        <v>0</v>
      </c>
      <c r="S219" s="5">
        <v>3.1236787220064957E-5</v>
      </c>
      <c r="T219" s="5">
        <v>1.487653274044646E-5</v>
      </c>
      <c r="U219" s="5">
        <v>1.487653274044646E-5</v>
      </c>
      <c r="V219" s="5">
        <v>0</v>
      </c>
      <c r="W219" s="5">
        <v>0</v>
      </c>
      <c r="X219" s="5">
        <v>3.0988724418092146</v>
      </c>
      <c r="Y219" s="5">
        <v>5727.7660298637247</v>
      </c>
      <c r="Z219" s="5">
        <f t="shared" ref="Z219:AA219" si="71">Z218+0.0002</f>
        <v>-1.9999999999999985E-4</v>
      </c>
      <c r="AA219" s="5">
        <f t="shared" si="71"/>
        <v>0</v>
      </c>
      <c r="AB219" s="4">
        <v>2</v>
      </c>
    </row>
    <row r="220" spans="1:28" x14ac:dyDescent="0.25">
      <c r="C220" s="4">
        <v>7</v>
      </c>
      <c r="D220" s="5">
        <v>120744189180.59714</v>
      </c>
      <c r="E220" s="5">
        <v>120744189180.59714</v>
      </c>
      <c r="F220" s="5">
        <v>0.31410860769814075</v>
      </c>
      <c r="G220" s="5">
        <v>0</v>
      </c>
      <c r="H220" s="5">
        <v>45884812536.855576</v>
      </c>
      <c r="I220" s="5">
        <v>51669240626.842781</v>
      </c>
      <c r="J220" s="5">
        <v>51669240626.842781</v>
      </c>
      <c r="K220" s="5">
        <v>-7.0624559106954659E-11</v>
      </c>
      <c r="L220" s="5">
        <v>-7.0624559106954659E-11</v>
      </c>
      <c r="M220" s="5">
        <v>0</v>
      </c>
      <c r="N220" s="5">
        <v>2.0000000000000001E-4</v>
      </c>
      <c r="O220" s="5">
        <v>15.976300479307838</v>
      </c>
      <c r="P220" s="5">
        <v>15.976300479307838</v>
      </c>
      <c r="Q220" s="5">
        <v>1.3045789346810755E-8</v>
      </c>
      <c r="R220" s="5">
        <v>0</v>
      </c>
      <c r="S220" s="5">
        <v>2.6963953576480818E-5</v>
      </c>
      <c r="T220" s="5">
        <v>1.5042214044993599E-5</v>
      </c>
      <c r="U220" s="5">
        <v>1.5042214044993599E-5</v>
      </c>
      <c r="V220" s="5">
        <v>0</v>
      </c>
      <c r="W220" s="5">
        <v>0</v>
      </c>
      <c r="X220" s="5">
        <v>3.119219268683425</v>
      </c>
      <c r="Y220" s="5">
        <v>5742.2994776310179</v>
      </c>
      <c r="Z220" s="5">
        <f t="shared" ref="Z220:AA220" si="72">Z219+0.0002</f>
        <v>0</v>
      </c>
      <c r="AA220" s="5">
        <f t="shared" si="72"/>
        <v>2.0000000000000001E-4</v>
      </c>
      <c r="AB220" s="4">
        <v>2</v>
      </c>
    </row>
    <row r="221" spans="1:28" x14ac:dyDescent="0.25">
      <c r="C221" s="4">
        <v>8</v>
      </c>
      <c r="D221" s="5">
        <v>119762079388.30434</v>
      </c>
      <c r="E221" s="5">
        <v>119762079388.30434</v>
      </c>
      <c r="F221" s="5">
        <v>0.31254733979046367</v>
      </c>
      <c r="G221" s="5">
        <v>0</v>
      </c>
      <c r="H221" s="5">
        <v>45576614781.843521</v>
      </c>
      <c r="I221" s="5">
        <v>51653830739.092178</v>
      </c>
      <c r="J221" s="5">
        <v>51653830739.092178</v>
      </c>
      <c r="K221" s="5">
        <v>-7.2675048619368052E-11</v>
      </c>
      <c r="L221" s="5">
        <v>-7.2675048619368052E-11</v>
      </c>
      <c r="M221" s="5">
        <v>0</v>
      </c>
      <c r="N221" s="5">
        <v>2.0000000000000001E-4</v>
      </c>
      <c r="O221" s="5">
        <v>12.420685686636261</v>
      </c>
      <c r="P221" s="5">
        <v>12.420685686636261</v>
      </c>
      <c r="Q221" s="5">
        <v>1.3421856242632553E-8</v>
      </c>
      <c r="R221" s="5">
        <v>0</v>
      </c>
      <c r="S221" s="5">
        <v>2.318853107758311E-5</v>
      </c>
      <c r="T221" s="5">
        <v>1.5188607978624328E-5</v>
      </c>
      <c r="U221" s="5">
        <v>1.5188607978624328E-5</v>
      </c>
      <c r="V221" s="5">
        <v>0</v>
      </c>
      <c r="W221" s="5">
        <v>0</v>
      </c>
      <c r="X221" s="5">
        <v>3.1371974710591282</v>
      </c>
      <c r="Y221" s="5">
        <v>5755.1410507565197</v>
      </c>
      <c r="Z221" s="5">
        <f t="shared" ref="Z221:AA221" si="73">Z220+0.0002</f>
        <v>2.0000000000000001E-4</v>
      </c>
      <c r="AA221" s="5">
        <f t="shared" si="73"/>
        <v>4.0000000000000002E-4</v>
      </c>
      <c r="AB221" s="4">
        <v>2</v>
      </c>
    </row>
    <row r="222" spans="1:28" x14ac:dyDescent="0.25">
      <c r="C222" s="4">
        <v>9</v>
      </c>
      <c r="D222" s="5">
        <v>118879728390.496</v>
      </c>
      <c r="E222" s="5">
        <v>118879728390.496</v>
      </c>
      <c r="F222" s="5">
        <v>0.3111446592480277</v>
      </c>
      <c r="G222" s="5">
        <v>0</v>
      </c>
      <c r="H222" s="5">
        <v>45299722525.202522</v>
      </c>
      <c r="I222" s="5">
        <v>51639986126.260124</v>
      </c>
      <c r="J222" s="5">
        <v>51639986126.260124</v>
      </c>
      <c r="K222" s="5">
        <v>-7.4517257587725517E-11</v>
      </c>
      <c r="L222" s="5">
        <v>-7.4517257587725517E-11</v>
      </c>
      <c r="M222" s="5">
        <v>0</v>
      </c>
      <c r="N222" s="5">
        <v>2.0000000000000001E-4</v>
      </c>
      <c r="O222" s="5">
        <v>9.2262360591546155</v>
      </c>
      <c r="P222" s="5">
        <v>9.2262360591546155</v>
      </c>
      <c r="Q222" s="5">
        <v>1.3759723763529968E-8</v>
      </c>
      <c r="R222" s="5">
        <v>0</v>
      </c>
      <c r="S222" s="5">
        <v>1.9796600933730875E-5</v>
      </c>
      <c r="T222" s="5">
        <v>1.5320131800528803E-5</v>
      </c>
      <c r="U222" s="5">
        <v>1.5320131800528803E-5</v>
      </c>
      <c r="V222" s="5">
        <v>0</v>
      </c>
      <c r="W222" s="5">
        <v>0</v>
      </c>
      <c r="X222" s="5">
        <v>3.1533495193631866</v>
      </c>
      <c r="Y222" s="5">
        <v>5766.6782281165615</v>
      </c>
      <c r="Z222" s="5">
        <f t="shared" ref="Z222:AA222" si="74">Z221+0.0002</f>
        <v>4.0000000000000002E-4</v>
      </c>
      <c r="AA222" s="5">
        <f t="shared" si="74"/>
        <v>6.0000000000000006E-4</v>
      </c>
      <c r="AB222" s="4">
        <v>2</v>
      </c>
    </row>
    <row r="223" spans="1:28" x14ac:dyDescent="0.25">
      <c r="C223" s="4">
        <v>10</v>
      </c>
      <c r="D223" s="5">
        <v>118076879771.29515</v>
      </c>
      <c r="E223" s="5">
        <v>118076879771.29515</v>
      </c>
      <c r="F223" s="5">
        <v>0.30986836428211062</v>
      </c>
      <c r="G223" s="5">
        <v>0</v>
      </c>
      <c r="H223" s="5">
        <v>45047779062.267914</v>
      </c>
      <c r="I223" s="5">
        <v>51627388953.113396</v>
      </c>
      <c r="J223" s="5">
        <v>51627388953.113396</v>
      </c>
      <c r="K223" s="5">
        <v>-7.6193478196302989E-11</v>
      </c>
      <c r="L223" s="5">
        <v>-7.6193478196302989E-11</v>
      </c>
      <c r="M223" s="5">
        <v>0</v>
      </c>
      <c r="N223" s="5">
        <v>2.0000000000000001E-4</v>
      </c>
      <c r="O223" s="5">
        <v>6.3196155885021312</v>
      </c>
      <c r="P223" s="5">
        <v>6.3196155885021312</v>
      </c>
      <c r="Q223" s="5">
        <v>1.4067148442936552E-8</v>
      </c>
      <c r="R223" s="5">
        <v>0</v>
      </c>
      <c r="S223" s="5">
        <v>1.6710293512781944E-5</v>
      </c>
      <c r="T223" s="5">
        <v>1.5439804945422741E-5</v>
      </c>
      <c r="U223" s="5">
        <v>1.5439804945422741E-5</v>
      </c>
      <c r="V223" s="5">
        <v>0</v>
      </c>
      <c r="W223" s="5">
        <v>0</v>
      </c>
      <c r="X223" s="5">
        <v>3.168046221367705</v>
      </c>
      <c r="Y223" s="5">
        <v>5777.1758724055035</v>
      </c>
      <c r="Z223" s="5">
        <f t="shared" ref="Z223:AA223" si="75">Z222+0.0002</f>
        <v>6.0000000000000006E-4</v>
      </c>
      <c r="AA223" s="5">
        <f t="shared" si="75"/>
        <v>8.0000000000000004E-4</v>
      </c>
      <c r="AB223" s="4">
        <v>2</v>
      </c>
    </row>
    <row r="224" spans="1:28" x14ac:dyDescent="0.25">
      <c r="C224" s="4">
        <v>11</v>
      </c>
      <c r="D224" s="5">
        <v>117339032614.07304</v>
      </c>
      <c r="E224" s="5">
        <v>117339032614.07304</v>
      </c>
      <c r="F224" s="5">
        <v>0.30869540266785744</v>
      </c>
      <c r="G224" s="5">
        <v>0</v>
      </c>
      <c r="H224" s="5">
        <v>44816233832.617981</v>
      </c>
      <c r="I224" s="5">
        <v>51615811691.630898</v>
      </c>
      <c r="J224" s="5">
        <v>51615811691.630898</v>
      </c>
      <c r="K224" s="5">
        <v>-7.7733986059599914E-11</v>
      </c>
      <c r="L224" s="5">
        <v>-7.7733986059599914E-11</v>
      </c>
      <c r="M224" s="5">
        <v>0</v>
      </c>
      <c r="N224" s="5">
        <v>2.0000000000000001E-4</v>
      </c>
      <c r="O224" s="5">
        <v>3.6483253849650339</v>
      </c>
      <c r="P224" s="5">
        <v>3.6483253849650339</v>
      </c>
      <c r="Q224" s="5">
        <v>1.4349682933667635E-8</v>
      </c>
      <c r="R224" s="5">
        <v>0</v>
      </c>
      <c r="S224" s="5">
        <v>1.3873864449570297E-5</v>
      </c>
      <c r="T224" s="5">
        <v>1.5549788929506457E-5</v>
      </c>
      <c r="U224" s="5">
        <v>1.5549788929506457E-5</v>
      </c>
      <c r="V224" s="5">
        <v>0</v>
      </c>
      <c r="W224" s="5">
        <v>0</v>
      </c>
      <c r="X224" s="5">
        <v>3.1815530264306178</v>
      </c>
      <c r="Y224" s="5">
        <v>5786.8235903075838</v>
      </c>
      <c r="Z224" s="5">
        <f t="shared" ref="Z224:AA224" si="76">Z223+0.0002</f>
        <v>8.0000000000000004E-4</v>
      </c>
      <c r="AA224" s="5">
        <f t="shared" si="76"/>
        <v>1E-3</v>
      </c>
      <c r="AB224" s="4">
        <v>2</v>
      </c>
    </row>
    <row r="225" spans="1:28" x14ac:dyDescent="0.25">
      <c r="B225" t="s">
        <v>191</v>
      </c>
      <c r="C225" s="11">
        <v>12</v>
      </c>
      <c r="D225" s="5">
        <v>116655424906.09589</v>
      </c>
      <c r="E225" s="5">
        <v>116655424906.09589</v>
      </c>
      <c r="F225" s="5">
        <v>0.30760866594627995</v>
      </c>
      <c r="G225" s="5">
        <v>0</v>
      </c>
      <c r="H225" s="5">
        <v>44601709588.423615</v>
      </c>
      <c r="I225" s="5">
        <v>51605085479.421181</v>
      </c>
      <c r="J225" s="5">
        <v>51605085479.421181</v>
      </c>
      <c r="K225" s="5">
        <v>-7.9161250553663972E-11</v>
      </c>
      <c r="L225" s="5">
        <v>-7.9161250553663972E-11</v>
      </c>
      <c r="M225" s="5">
        <v>0</v>
      </c>
      <c r="N225" s="5">
        <v>2.0000000000000001E-4</v>
      </c>
      <c r="O225" s="5">
        <v>1.1734028274845514</v>
      </c>
      <c r="P225" s="5">
        <v>1.1734028274845514</v>
      </c>
      <c r="Q225" s="5">
        <v>1.4611448197303436E-8</v>
      </c>
      <c r="R225" s="5">
        <v>0</v>
      </c>
      <c r="S225" s="5">
        <v>1.1245942458189268E-5</v>
      </c>
      <c r="T225" s="5">
        <v>1.5651687945498781E-5</v>
      </c>
      <c r="U225" s="5">
        <v>1.5651687945498781E-5</v>
      </c>
      <c r="V225" s="5">
        <v>0</v>
      </c>
      <c r="W225" s="5">
        <v>0</v>
      </c>
      <c r="X225" s="5">
        <v>3.1940669406752895</v>
      </c>
      <c r="Y225" s="5">
        <v>5795.7621004823495</v>
      </c>
      <c r="Z225" s="5">
        <f t="shared" ref="Z225:AA225" si="77">Z224+0.0002</f>
        <v>1E-3</v>
      </c>
      <c r="AA225" s="5">
        <f t="shared" si="77"/>
        <v>1.2000000000000001E-3</v>
      </c>
      <c r="AB225" s="4">
        <v>2</v>
      </c>
    </row>
    <row r="229" spans="1:28" x14ac:dyDescent="0.25">
      <c r="A229" s="15" t="s">
        <v>168</v>
      </c>
      <c r="C229" s="10" t="s">
        <v>27</v>
      </c>
      <c r="D229" s="10" t="s">
        <v>28</v>
      </c>
      <c r="E229" s="10" t="s">
        <v>29</v>
      </c>
      <c r="F229" s="10" t="s">
        <v>30</v>
      </c>
      <c r="G229" s="10" t="s">
        <v>31</v>
      </c>
      <c r="H229" s="10" t="s">
        <v>47</v>
      </c>
      <c r="I229" s="10" t="s">
        <v>32</v>
      </c>
      <c r="J229" s="10" t="s">
        <v>33</v>
      </c>
      <c r="K229" s="10" t="s">
        <v>34</v>
      </c>
      <c r="L229" s="10" t="s">
        <v>35</v>
      </c>
      <c r="M229" s="10" t="s">
        <v>36</v>
      </c>
      <c r="N229" s="10" t="s">
        <v>37</v>
      </c>
      <c r="O229" s="10" t="s">
        <v>38</v>
      </c>
      <c r="P229" s="10" t="s">
        <v>39</v>
      </c>
      <c r="Q229" s="10" t="s">
        <v>40</v>
      </c>
      <c r="R229" s="10" t="s">
        <v>41</v>
      </c>
      <c r="S229" s="10" t="s">
        <v>42</v>
      </c>
      <c r="T229" s="10" t="s">
        <v>48</v>
      </c>
      <c r="U229" s="10" t="s">
        <v>77</v>
      </c>
      <c r="V229" s="10" t="s">
        <v>78</v>
      </c>
      <c r="W229" s="10" t="s">
        <v>79</v>
      </c>
      <c r="X229" s="10" t="s">
        <v>49</v>
      </c>
      <c r="Y229" s="10" t="s">
        <v>43</v>
      </c>
      <c r="Z229" s="10" t="s">
        <v>44</v>
      </c>
      <c r="AA229" s="10" t="s">
        <v>45</v>
      </c>
      <c r="AB229" s="10" t="s">
        <v>46</v>
      </c>
    </row>
    <row r="230" spans="1:28" x14ac:dyDescent="0.25">
      <c r="A230" s="12" t="s">
        <v>167</v>
      </c>
      <c r="B230" t="s">
        <v>190</v>
      </c>
      <c r="C230" s="11">
        <v>1</v>
      </c>
      <c r="D230" s="5">
        <v>129803668823.54073</v>
      </c>
      <c r="E230" s="5">
        <v>129803668823.54073</v>
      </c>
      <c r="F230" s="5">
        <v>0.32443851634088239</v>
      </c>
      <c r="G230" s="5">
        <v>0</v>
      </c>
      <c r="H230" s="5">
        <v>48461323620.373802</v>
      </c>
      <c r="I230" s="5">
        <v>50152232847.685364</v>
      </c>
      <c r="J230" s="5">
        <v>50152232847.685364</v>
      </c>
      <c r="K230" s="5">
        <v>-4.0952492860424835E-11</v>
      </c>
      <c r="L230" s="5">
        <v>-4.0952492860424835E-11</v>
      </c>
      <c r="M230" s="5">
        <v>0</v>
      </c>
      <c r="N230" s="5">
        <v>2.0000000000000001E-4</v>
      </c>
      <c r="O230" s="5">
        <v>62.813899487573586</v>
      </c>
      <c r="P230" s="5">
        <v>62.813899487573586</v>
      </c>
      <c r="Q230" s="5">
        <v>7.6007293765704941E-9</v>
      </c>
      <c r="R230" s="5">
        <v>0</v>
      </c>
      <c r="S230" s="5">
        <v>7.6363714349579015E-5</v>
      </c>
      <c r="T230" s="5">
        <v>1.259045461365578E-5</v>
      </c>
      <c r="U230" s="5">
        <v>1.259045461365578E-5</v>
      </c>
      <c r="V230" s="5">
        <v>0</v>
      </c>
      <c r="W230" s="5">
        <v>0</v>
      </c>
      <c r="X230" s="5">
        <v>2.7757283443670846</v>
      </c>
      <c r="Y230" s="5">
        <v>5379.8059602622034</v>
      </c>
      <c r="Z230" s="5">
        <v>-1.1999999999999999E-3</v>
      </c>
      <c r="AA230" s="5">
        <v>-1E-3</v>
      </c>
      <c r="AB230" s="4">
        <v>2</v>
      </c>
    </row>
    <row r="231" spans="1:28" x14ac:dyDescent="0.25">
      <c r="C231" s="4">
        <v>2</v>
      </c>
      <c r="D231" s="5">
        <v>115797037082.96776</v>
      </c>
      <c r="E231" s="5">
        <v>115797037082.96776</v>
      </c>
      <c r="F231" s="5">
        <v>0.29402802083814217</v>
      </c>
      <c r="G231" s="5">
        <v>0</v>
      </c>
      <c r="H231" s="5">
        <v>43532952535.362633</v>
      </c>
      <c r="I231" s="5">
        <v>46614147626.768135</v>
      </c>
      <c r="J231" s="5">
        <v>46614147626.768135</v>
      </c>
      <c r="K231" s="5">
        <v>-4.8681500251301173E-11</v>
      </c>
      <c r="L231" s="5">
        <v>-4.8681500251301173E-11</v>
      </c>
      <c r="M231" s="5">
        <v>0</v>
      </c>
      <c r="N231" s="5">
        <v>2.0000000000000001E-4</v>
      </c>
      <c r="O231" s="5">
        <v>40.182114747798352</v>
      </c>
      <c r="P231" s="5">
        <v>40.182114747798352</v>
      </c>
      <c r="Q231" s="5">
        <v>9.0120561669657957E-9</v>
      </c>
      <c r="R231" s="5">
        <v>0</v>
      </c>
      <c r="S231" s="5">
        <v>5.1666168558192269E-5</v>
      </c>
      <c r="T231" s="5">
        <v>1.2475597545702748E-5</v>
      </c>
      <c r="U231" s="5">
        <v>1.2475597545702748E-5</v>
      </c>
      <c r="V231" s="5">
        <v>0</v>
      </c>
      <c r="W231" s="5">
        <v>0</v>
      </c>
      <c r="X231" s="5">
        <v>2.6768277687705129</v>
      </c>
      <c r="Y231" s="5">
        <v>5074.8769776932231</v>
      </c>
      <c r="Z231" s="5">
        <f t="shared" ref="Z231:AA231" si="78">Z230+0.0002</f>
        <v>-9.999999999999998E-4</v>
      </c>
      <c r="AA231" s="5">
        <f t="shared" si="78"/>
        <v>-8.0000000000000004E-4</v>
      </c>
      <c r="AB231" s="4">
        <v>2</v>
      </c>
    </row>
    <row r="232" spans="1:28" x14ac:dyDescent="0.25">
      <c r="C232" s="4">
        <v>3</v>
      </c>
      <c r="D232" s="5">
        <v>104053214810.41121</v>
      </c>
      <c r="E232" s="5">
        <v>104053214810.41121</v>
      </c>
      <c r="F232" s="5">
        <v>0.26721473191182166</v>
      </c>
      <c r="G232" s="5">
        <v>0</v>
      </c>
      <c r="H232" s="5">
        <v>39314678023.601784</v>
      </c>
      <c r="I232" s="5">
        <v>43111567234.51342</v>
      </c>
      <c r="J232" s="5">
        <v>43111567234.51342</v>
      </c>
      <c r="K232" s="5">
        <v>-5.1686120288371253E-11</v>
      </c>
      <c r="L232" s="5">
        <v>-5.1686120288371253E-11</v>
      </c>
      <c r="M232" s="5">
        <v>0</v>
      </c>
      <c r="N232" s="5">
        <v>2.0000000000000001E-4</v>
      </c>
      <c r="O232" s="5">
        <v>25.742569695088356</v>
      </c>
      <c r="P232" s="5">
        <v>25.742569695088356</v>
      </c>
      <c r="Q232" s="5">
        <v>9.5569139137254938E-9</v>
      </c>
      <c r="R232" s="5">
        <v>0</v>
      </c>
      <c r="S232" s="5">
        <v>3.5667305789121816E-5</v>
      </c>
      <c r="T232" s="5">
        <v>1.202344460545582E-5</v>
      </c>
      <c r="U232" s="5">
        <v>1.202344460545582E-5</v>
      </c>
      <c r="V232" s="5">
        <v>0</v>
      </c>
      <c r="W232" s="5">
        <v>0</v>
      </c>
      <c r="X232" s="5">
        <v>2.5365048930676739</v>
      </c>
      <c r="Y232" s="5">
        <v>4740.3606379054818</v>
      </c>
      <c r="Z232" s="5">
        <f t="shared" ref="Z232:AA232" si="79">Z231+0.0002</f>
        <v>-7.9999999999999982E-4</v>
      </c>
      <c r="AA232" s="5">
        <f t="shared" si="79"/>
        <v>-6.0000000000000006E-4</v>
      </c>
      <c r="AB232" s="4">
        <v>2</v>
      </c>
    </row>
    <row r="233" spans="1:28" x14ac:dyDescent="0.25">
      <c r="C233" s="4">
        <v>4</v>
      </c>
      <c r="D233" s="5">
        <v>93078064607.251205</v>
      </c>
      <c r="E233" s="5">
        <v>93078064607.251205</v>
      </c>
      <c r="F233" s="5">
        <v>0.24162340721281511</v>
      </c>
      <c r="G233" s="5">
        <v>0</v>
      </c>
      <c r="H233" s="5">
        <v>35337621966.221085</v>
      </c>
      <c r="I233" s="5">
        <v>39621047764.977722</v>
      </c>
      <c r="J233" s="5">
        <v>39621047764.977722</v>
      </c>
      <c r="K233" s="5">
        <v>-5.3085874933453886E-11</v>
      </c>
      <c r="L233" s="5">
        <v>-5.3085874933453886E-11</v>
      </c>
      <c r="M233" s="5">
        <v>0</v>
      </c>
      <c r="N233" s="5">
        <v>2.0000000000000001E-4</v>
      </c>
      <c r="O233" s="5">
        <v>14.085912871482755</v>
      </c>
      <c r="P233" s="5">
        <v>14.085912871482755</v>
      </c>
      <c r="Q233" s="5">
        <v>9.8074337755446359E-9</v>
      </c>
      <c r="R233" s="5">
        <v>0</v>
      </c>
      <c r="S233" s="5">
        <v>2.2623369086208262E-5</v>
      </c>
      <c r="T233" s="5">
        <v>1.1456712899378319E-5</v>
      </c>
      <c r="U233" s="5">
        <v>1.1456712899378319E-5</v>
      </c>
      <c r="V233" s="5">
        <v>0</v>
      </c>
      <c r="W233" s="5">
        <v>0</v>
      </c>
      <c r="X233" s="5">
        <v>2.382110940859326</v>
      </c>
      <c r="Y233" s="5">
        <v>4395.7935291852327</v>
      </c>
      <c r="Z233" s="5">
        <f t="shared" ref="Z233:AA233" si="80">Z232+0.0002</f>
        <v>-5.9999999999999984E-4</v>
      </c>
      <c r="AA233" s="5">
        <f t="shared" si="80"/>
        <v>-4.0000000000000007E-4</v>
      </c>
      <c r="AB233" s="4">
        <v>2</v>
      </c>
    </row>
    <row r="234" spans="1:28" x14ac:dyDescent="0.25">
      <c r="C234" s="4">
        <v>5</v>
      </c>
      <c r="D234" s="5">
        <v>82507370410.521469</v>
      </c>
      <c r="E234" s="5">
        <v>82507370410.521469</v>
      </c>
      <c r="F234" s="5">
        <v>0.21667504950982294</v>
      </c>
      <c r="G234" s="5">
        <v>0</v>
      </c>
      <c r="H234" s="5">
        <v>31487489022.896645</v>
      </c>
      <c r="I234" s="5">
        <v>36136874451.144829</v>
      </c>
      <c r="J234" s="5">
        <v>36136874451.144829</v>
      </c>
      <c r="K234" s="5">
        <v>-5.3641189572005542E-11</v>
      </c>
      <c r="L234" s="5">
        <v>-5.3641189572005542E-11</v>
      </c>
      <c r="M234" s="5">
        <v>0</v>
      </c>
      <c r="N234" s="5">
        <v>2.0000000000000001E-4</v>
      </c>
      <c r="O234" s="5">
        <v>3.8935421905608685</v>
      </c>
      <c r="P234" s="5">
        <v>3.8935421905608685</v>
      </c>
      <c r="Q234" s="5">
        <v>9.9030804082926993E-9</v>
      </c>
      <c r="R234" s="5">
        <v>0</v>
      </c>
      <c r="S234" s="5">
        <v>1.1134240530483909E-5</v>
      </c>
      <c r="T234" s="5">
        <v>1.0829692714124093E-5</v>
      </c>
      <c r="U234" s="5">
        <v>1.0829692714124093E-5</v>
      </c>
      <c r="V234" s="5">
        <v>0</v>
      </c>
      <c r="W234" s="5">
        <v>0</v>
      </c>
      <c r="X234" s="5">
        <v>2.220313140331029</v>
      </c>
      <c r="Y234" s="5">
        <v>4045.9379573793067</v>
      </c>
      <c r="Z234" s="5">
        <f t="shared" ref="Z234:AA234" si="81">Z233+0.0002</f>
        <v>-3.9999999999999986E-4</v>
      </c>
      <c r="AA234" s="5">
        <f t="shared" si="81"/>
        <v>-2.0000000000000006E-4</v>
      </c>
      <c r="AB234" s="4">
        <v>2</v>
      </c>
    </row>
    <row r="235" spans="1:28" x14ac:dyDescent="0.25">
      <c r="C235" s="4">
        <v>6</v>
      </c>
      <c r="D235" s="5">
        <v>72190307555.166138</v>
      </c>
      <c r="E235" s="5">
        <v>72190307555.166138</v>
      </c>
      <c r="F235" s="5">
        <v>0.1921298916087027</v>
      </c>
      <c r="G235" s="5">
        <v>0</v>
      </c>
      <c r="H235" s="5">
        <v>27716948616.603943</v>
      </c>
      <c r="I235" s="5">
        <v>32656680764.163528</v>
      </c>
      <c r="J235" s="5">
        <v>32656680764.163528</v>
      </c>
      <c r="K235" s="5">
        <v>-5.3666962188281414E-11</v>
      </c>
      <c r="L235" s="5">
        <v>-5.3666962188281414E-11</v>
      </c>
      <c r="M235" s="5">
        <v>0</v>
      </c>
      <c r="N235" s="5">
        <v>2.0000000000000001E-4</v>
      </c>
      <c r="O235" s="5">
        <v>-5.3805855847784692</v>
      </c>
      <c r="P235" s="5">
        <v>-5.3805855847784692</v>
      </c>
      <c r="Q235" s="5">
        <v>9.9016071955995319E-9</v>
      </c>
      <c r="R235" s="5">
        <v>0</v>
      </c>
      <c r="S235" s="5">
        <v>6.2012055339829577E-7</v>
      </c>
      <c r="T235" s="5">
        <v>1.0164866073779792E-5</v>
      </c>
      <c r="U235" s="5">
        <v>1.0164866073779792E-5</v>
      </c>
      <c r="V235" s="5">
        <v>0</v>
      </c>
      <c r="W235" s="5">
        <v>0</v>
      </c>
      <c r="X235" s="5">
        <v>2.0538724418092142</v>
      </c>
      <c r="Y235" s="5">
        <v>3692.7660298637247</v>
      </c>
      <c r="Z235" s="5">
        <f t="shared" ref="Z235:AA235" si="82">Z234+0.0002</f>
        <v>-1.9999999999999985E-4</v>
      </c>
      <c r="AA235" s="5">
        <f t="shared" si="82"/>
        <v>0</v>
      </c>
      <c r="AB235" s="4">
        <v>2</v>
      </c>
    </row>
    <row r="236" spans="1:28" x14ac:dyDescent="0.25">
      <c r="C236" s="4">
        <v>7</v>
      </c>
      <c r="D236" s="5">
        <v>71078804997.921936</v>
      </c>
      <c r="E236" s="5">
        <v>71078804997.921936</v>
      </c>
      <c r="F236" s="5">
        <v>0.19036292697242196</v>
      </c>
      <c r="G236" s="5">
        <v>0</v>
      </c>
      <c r="H236" s="5">
        <v>27368145870.188911</v>
      </c>
      <c r="I236" s="5">
        <v>32639240626.842781</v>
      </c>
      <c r="J236" s="5">
        <v>32639240626.842781</v>
      </c>
      <c r="K236" s="5">
        <v>-5.5987603276004552E-11</v>
      </c>
      <c r="L236" s="5">
        <v>-5.5987603276004552E-11</v>
      </c>
      <c r="M236" s="5">
        <v>0</v>
      </c>
      <c r="N236" s="5">
        <v>2.0000000000000001E-4</v>
      </c>
      <c r="O236" s="5">
        <v>-9.404651901644538</v>
      </c>
      <c r="P236" s="5">
        <v>-9.404651901644538</v>
      </c>
      <c r="Q236" s="5">
        <v>1.0327220828292237E-8</v>
      </c>
      <c r="R236" s="5">
        <v>0</v>
      </c>
      <c r="S236" s="5">
        <v>-3.6527130901858429E-6</v>
      </c>
      <c r="T236" s="5">
        <v>1.0330547378326931E-5</v>
      </c>
      <c r="U236" s="5">
        <v>1.0330547378326931E-5</v>
      </c>
      <c r="V236" s="5">
        <v>0</v>
      </c>
      <c r="W236" s="5">
        <v>0</v>
      </c>
      <c r="X236" s="5">
        <v>2.0742192686834251</v>
      </c>
      <c r="Y236" s="5">
        <v>3707.2994776310179</v>
      </c>
      <c r="Z236" s="5">
        <f t="shared" ref="Z236:AA236" si="83">Z235+0.0002</f>
        <v>0</v>
      </c>
      <c r="AA236" s="5">
        <f t="shared" si="83"/>
        <v>2.0000000000000001E-4</v>
      </c>
      <c r="AB236" s="4">
        <v>2</v>
      </c>
    </row>
    <row r="237" spans="1:28" x14ac:dyDescent="0.25">
      <c r="C237" s="4">
        <v>8</v>
      </c>
      <c r="D237" s="5">
        <v>79126765057.024628</v>
      </c>
      <c r="E237" s="5">
        <v>79126765057.024628</v>
      </c>
      <c r="F237" s="5">
        <v>0.21130087374214832</v>
      </c>
      <c r="G237" s="5">
        <v>0</v>
      </c>
      <c r="H237" s="5">
        <v>30426614781.843521</v>
      </c>
      <c r="I237" s="5">
        <v>36083830739.092178</v>
      </c>
      <c r="J237" s="5">
        <v>36083830739.092178</v>
      </c>
      <c r="K237" s="5">
        <v>-6.0699357484954323E-11</v>
      </c>
      <c r="L237" s="5">
        <v>-6.0699357484954323E-11</v>
      </c>
      <c r="M237" s="5">
        <v>0</v>
      </c>
      <c r="N237" s="5">
        <v>2.0000000000000001E-4</v>
      </c>
      <c r="O237" s="5">
        <v>-8.3455480795975028</v>
      </c>
      <c r="P237" s="5">
        <v>-8.3455480795975028</v>
      </c>
      <c r="Q237" s="5">
        <v>1.1197572909299219E-8</v>
      </c>
      <c r="R237" s="5">
        <v>0</v>
      </c>
      <c r="S237" s="5">
        <v>-1.8614689224168889E-6</v>
      </c>
      <c r="T237" s="5">
        <v>1.1333607978624329E-5</v>
      </c>
      <c r="U237" s="5">
        <v>1.1333607978624329E-5</v>
      </c>
      <c r="V237" s="5">
        <v>0</v>
      </c>
      <c r="W237" s="5">
        <v>0</v>
      </c>
      <c r="X237" s="5">
        <v>2.2821974710591282</v>
      </c>
      <c r="Y237" s="5">
        <v>4090.1410507565197</v>
      </c>
      <c r="Z237" s="5">
        <f t="shared" ref="Z237:AA237" si="84">Z236+0.0002</f>
        <v>2.0000000000000001E-4</v>
      </c>
      <c r="AA237" s="5">
        <f t="shared" si="84"/>
        <v>4.0000000000000002E-4</v>
      </c>
      <c r="AB237" s="4">
        <v>2</v>
      </c>
    </row>
    <row r="238" spans="1:28" x14ac:dyDescent="0.25">
      <c r="C238" s="4">
        <v>9</v>
      </c>
      <c r="D238" s="5">
        <v>87274483910.611786</v>
      </c>
      <c r="E238" s="5">
        <v>87274483910.611786</v>
      </c>
      <c r="F238" s="5">
        <v>0.23239740787711577</v>
      </c>
      <c r="G238" s="5">
        <v>0</v>
      </c>
      <c r="H238" s="5">
        <v>33516389191.86919</v>
      </c>
      <c r="I238" s="5">
        <v>39529986126.260124</v>
      </c>
      <c r="J238" s="5">
        <v>39529986126.260124</v>
      </c>
      <c r="K238" s="5">
        <v>-6.5202831149848179E-11</v>
      </c>
      <c r="L238" s="5">
        <v>-6.5202831149848179E-11</v>
      </c>
      <c r="M238" s="5">
        <v>0</v>
      </c>
      <c r="N238" s="5">
        <v>2.0000000000000001E-4</v>
      </c>
      <c r="O238" s="5">
        <v>-6.9252790923605332</v>
      </c>
      <c r="P238" s="5">
        <v>-6.9252790923605332</v>
      </c>
      <c r="Q238" s="5">
        <v>1.202972561538182E-8</v>
      </c>
      <c r="R238" s="5">
        <v>0</v>
      </c>
      <c r="S238" s="5">
        <v>3.1326760039754499E-7</v>
      </c>
      <c r="T238" s="5">
        <v>1.232179846719547E-5</v>
      </c>
      <c r="U238" s="5">
        <v>1.232179846719547E-5</v>
      </c>
      <c r="V238" s="5">
        <v>0</v>
      </c>
      <c r="W238" s="5">
        <v>0</v>
      </c>
      <c r="X238" s="5">
        <v>2.4883495193631866</v>
      </c>
      <c r="Y238" s="5">
        <v>4471.6782281165615</v>
      </c>
      <c r="Z238" s="5">
        <f t="shared" ref="Z238:AA238" si="85">Z237+0.0002</f>
        <v>4.0000000000000002E-4</v>
      </c>
      <c r="AA238" s="5">
        <f t="shared" si="85"/>
        <v>6.0000000000000006E-4</v>
      </c>
      <c r="AB238" s="4">
        <v>2</v>
      </c>
    </row>
    <row r="239" spans="1:28" x14ac:dyDescent="0.25">
      <c r="C239" s="4">
        <v>10</v>
      </c>
      <c r="D239" s="5">
        <v>95501705142.806427</v>
      </c>
      <c r="E239" s="5">
        <v>95501705142.806427</v>
      </c>
      <c r="F239" s="5">
        <v>0.25362032758860209</v>
      </c>
      <c r="G239" s="5">
        <v>0</v>
      </c>
      <c r="H239" s="5">
        <v>36631112395.60125</v>
      </c>
      <c r="I239" s="5">
        <v>42977388953.113396</v>
      </c>
      <c r="J239" s="5">
        <v>42977388953.113396</v>
      </c>
      <c r="K239" s="5">
        <v>-6.954031645496203E-11</v>
      </c>
      <c r="L239" s="5">
        <v>-6.954031645496203E-11</v>
      </c>
      <c r="M239" s="5">
        <v>0</v>
      </c>
      <c r="N239" s="5">
        <v>2.0000000000000001E-4</v>
      </c>
      <c r="O239" s="5">
        <v>-5.2171809482944038</v>
      </c>
      <c r="P239" s="5">
        <v>-5.2171809482944038</v>
      </c>
      <c r="Q239" s="5">
        <v>1.2831435479973589E-8</v>
      </c>
      <c r="R239" s="5">
        <v>0</v>
      </c>
      <c r="S239" s="5">
        <v>2.7936268461152795E-6</v>
      </c>
      <c r="T239" s="5">
        <v>1.3298138278756074E-5</v>
      </c>
      <c r="U239" s="5">
        <v>1.3298138278756074E-5</v>
      </c>
      <c r="V239" s="5">
        <v>0</v>
      </c>
      <c r="W239" s="5">
        <v>0</v>
      </c>
      <c r="X239" s="5">
        <v>2.6930462213677049</v>
      </c>
      <c r="Y239" s="5">
        <v>4852.1758724055035</v>
      </c>
      <c r="Z239" s="5">
        <f t="shared" ref="Z239:AA239" si="86">Z238+0.0002</f>
        <v>6.0000000000000006E-4</v>
      </c>
      <c r="AA239" s="5">
        <f t="shared" si="86"/>
        <v>8.0000000000000004E-4</v>
      </c>
      <c r="AB239" s="4">
        <v>2</v>
      </c>
    </row>
    <row r="240" spans="1:28" x14ac:dyDescent="0.25">
      <c r="C240" s="4">
        <v>11</v>
      </c>
      <c r="D240" s="5">
        <v>103793927836.97981</v>
      </c>
      <c r="E240" s="5">
        <v>103793927836.97981</v>
      </c>
      <c r="F240" s="5">
        <v>0.27494658065175231</v>
      </c>
      <c r="G240" s="5">
        <v>0</v>
      </c>
      <c r="H240" s="5">
        <v>39766233832.617981</v>
      </c>
      <c r="I240" s="5">
        <v>46425811691.630898</v>
      </c>
      <c r="J240" s="5">
        <v>46425811691.630898</v>
      </c>
      <c r="K240" s="5">
        <v>-7.3742089014795333E-11</v>
      </c>
      <c r="L240" s="5">
        <v>-7.3742089014795333E-11</v>
      </c>
      <c r="M240" s="5">
        <v>0</v>
      </c>
      <c r="N240" s="5">
        <v>2.0000000000000001E-4</v>
      </c>
      <c r="O240" s="5">
        <v>-3.2737525371128875</v>
      </c>
      <c r="P240" s="5">
        <v>-3.2737525371128875</v>
      </c>
      <c r="Q240" s="5">
        <v>1.3608255155889856E-8</v>
      </c>
      <c r="R240" s="5">
        <v>0</v>
      </c>
      <c r="S240" s="5">
        <v>5.523864449570297E-6</v>
      </c>
      <c r="T240" s="5">
        <v>1.4264788929506456E-5</v>
      </c>
      <c r="U240" s="5">
        <v>1.4264788929506456E-5</v>
      </c>
      <c r="V240" s="5">
        <v>0</v>
      </c>
      <c r="W240" s="5">
        <v>0</v>
      </c>
      <c r="X240" s="5">
        <v>2.8965530264306176</v>
      </c>
      <c r="Y240" s="5">
        <v>5231.8235903075838</v>
      </c>
      <c r="Z240" s="5">
        <f t="shared" ref="Z240:AA240" si="87">Z239+0.0002</f>
        <v>8.0000000000000004E-4</v>
      </c>
      <c r="AA240" s="5">
        <f t="shared" si="87"/>
        <v>1E-3</v>
      </c>
      <c r="AB240" s="4">
        <v>2</v>
      </c>
    </row>
    <row r="241" spans="1:28" x14ac:dyDescent="0.25">
      <c r="B241" t="s">
        <v>191</v>
      </c>
      <c r="C241" s="11">
        <v>12</v>
      </c>
      <c r="D241" s="5">
        <v>112140389980.39815</v>
      </c>
      <c r="E241" s="5">
        <v>112140389980.39815</v>
      </c>
      <c r="F241" s="5">
        <v>0.29635905860757827</v>
      </c>
      <c r="G241" s="5">
        <v>0</v>
      </c>
      <c r="H241" s="5">
        <v>42918376255.090286</v>
      </c>
      <c r="I241" s="5">
        <v>49875085479.421188</v>
      </c>
      <c r="J241" s="5">
        <v>49875085479.421188</v>
      </c>
      <c r="K241" s="5">
        <v>-7.7830618205395782E-11</v>
      </c>
      <c r="L241" s="5">
        <v>-7.7830618205395782E-11</v>
      </c>
      <c r="M241" s="5">
        <v>0</v>
      </c>
      <c r="N241" s="5">
        <v>2.0000000000000001E-4</v>
      </c>
      <c r="O241" s="5">
        <v>-1.1339564798747506</v>
      </c>
      <c r="P241" s="5">
        <v>-1.1339564798747506</v>
      </c>
      <c r="Q241" s="5">
        <v>1.4364305604710843E-8</v>
      </c>
      <c r="R241" s="5">
        <v>0</v>
      </c>
      <c r="S241" s="5">
        <v>8.4626091248559401E-6</v>
      </c>
      <c r="T241" s="5">
        <v>1.5223354612165449E-5</v>
      </c>
      <c r="U241" s="5">
        <v>1.5223354612165449E-5</v>
      </c>
      <c r="V241" s="5">
        <v>0</v>
      </c>
      <c r="W241" s="5">
        <v>0</v>
      </c>
      <c r="X241" s="5">
        <v>3.0990669406752898</v>
      </c>
      <c r="Y241" s="5">
        <v>5610.7621004823495</v>
      </c>
      <c r="Z241" s="5">
        <f t="shared" ref="Z241:AA241" si="88">Z240+0.0002</f>
        <v>1E-3</v>
      </c>
      <c r="AA241" s="5">
        <f t="shared" si="88"/>
        <v>1.2000000000000001E-3</v>
      </c>
      <c r="AB241" s="4">
        <v>2</v>
      </c>
    </row>
    <row r="245" spans="1:28" x14ac:dyDescent="0.25">
      <c r="A245" s="15" t="s">
        <v>255</v>
      </c>
      <c r="C245" s="10" t="s">
        <v>27</v>
      </c>
      <c r="D245" s="10" t="s">
        <v>28</v>
      </c>
      <c r="E245" s="10" t="s">
        <v>29</v>
      </c>
      <c r="F245" s="10" t="s">
        <v>30</v>
      </c>
      <c r="G245" s="10" t="s">
        <v>31</v>
      </c>
      <c r="H245" s="10" t="s">
        <v>47</v>
      </c>
      <c r="I245" s="10" t="s">
        <v>32</v>
      </c>
      <c r="J245" s="10" t="s">
        <v>33</v>
      </c>
      <c r="K245" s="10" t="s">
        <v>34</v>
      </c>
      <c r="L245" s="10" t="s">
        <v>35</v>
      </c>
      <c r="M245" s="10" t="s">
        <v>36</v>
      </c>
      <c r="N245" s="10" t="s">
        <v>37</v>
      </c>
      <c r="O245" s="10" t="s">
        <v>38</v>
      </c>
      <c r="P245" s="10" t="s">
        <v>39</v>
      </c>
      <c r="Q245" s="10" t="s">
        <v>40</v>
      </c>
      <c r="R245" s="10" t="s">
        <v>41</v>
      </c>
      <c r="S245" s="10" t="s">
        <v>42</v>
      </c>
      <c r="T245" s="10" t="s">
        <v>48</v>
      </c>
      <c r="U245" s="10" t="s">
        <v>77</v>
      </c>
      <c r="V245" s="10" t="s">
        <v>78</v>
      </c>
      <c r="W245" s="10" t="s">
        <v>79</v>
      </c>
      <c r="X245" s="10" t="s">
        <v>49</v>
      </c>
      <c r="Y245" s="10" t="s">
        <v>43</v>
      </c>
      <c r="Z245" s="10" t="s">
        <v>44</v>
      </c>
      <c r="AA245" s="10" t="s">
        <v>45</v>
      </c>
      <c r="AB245" s="10" t="s">
        <v>46</v>
      </c>
    </row>
    <row r="246" spans="1:28" x14ac:dyDescent="0.25">
      <c r="A246" s="12" t="s">
        <v>167</v>
      </c>
      <c r="B246" t="s">
        <v>190</v>
      </c>
      <c r="C246" s="11">
        <v>1</v>
      </c>
      <c r="D246" s="5">
        <v>127546151360.69186</v>
      </c>
      <c r="E246" s="5">
        <v>127546151360.69186</v>
      </c>
      <c r="F246" s="5">
        <v>0.31881371267153152</v>
      </c>
      <c r="G246" s="5">
        <v>0</v>
      </c>
      <c r="H246" s="5">
        <v>47619656953.707138</v>
      </c>
      <c r="I246" s="5">
        <v>49287232847.685364</v>
      </c>
      <c r="J246" s="5">
        <v>49287232847.685364</v>
      </c>
      <c r="K246" s="5">
        <v>-4.0287176686290741E-11</v>
      </c>
      <c r="L246" s="5">
        <v>-4.0287176686290741E-11</v>
      </c>
      <c r="M246" s="5">
        <v>0</v>
      </c>
      <c r="N246" s="5">
        <v>2.0000000000000001E-4</v>
      </c>
      <c r="O246" s="5">
        <v>61.660219833893933</v>
      </c>
      <c r="P246" s="5">
        <v>61.660219833893933</v>
      </c>
      <c r="Q246" s="5">
        <v>7.4771580802741979E-9</v>
      </c>
      <c r="R246" s="5">
        <v>0</v>
      </c>
      <c r="S246" s="5">
        <v>7.4972047682912347E-5</v>
      </c>
      <c r="T246" s="5">
        <v>1.2376287946989113E-5</v>
      </c>
      <c r="U246" s="5">
        <v>1.2376287946989113E-5</v>
      </c>
      <c r="V246" s="5">
        <v>0</v>
      </c>
      <c r="W246" s="5">
        <v>0</v>
      </c>
      <c r="X246" s="5">
        <v>2.7282283443670847</v>
      </c>
      <c r="Y246" s="5">
        <v>5287.3059602622043</v>
      </c>
      <c r="Z246" s="5">
        <v>-1.1999999999999999E-3</v>
      </c>
      <c r="AA246" s="5">
        <v>-1E-3</v>
      </c>
      <c r="AB246" s="4">
        <v>2</v>
      </c>
    </row>
    <row r="247" spans="1:28" x14ac:dyDescent="0.25">
      <c r="C247" s="4">
        <v>2</v>
      </c>
      <c r="D247" s="5">
        <v>109024484694.42114</v>
      </c>
      <c r="E247" s="5">
        <v>109024484694.42114</v>
      </c>
      <c r="F247" s="5">
        <v>0.27715360983008963</v>
      </c>
      <c r="G247" s="5">
        <v>0</v>
      </c>
      <c r="H247" s="5">
        <v>41007952535.362633</v>
      </c>
      <c r="I247" s="5">
        <v>44019147626.768135</v>
      </c>
      <c r="J247" s="5">
        <v>44019147626.768135</v>
      </c>
      <c r="K247" s="5">
        <v>-4.6685551728898883E-11</v>
      </c>
      <c r="L247" s="5">
        <v>-4.6685551728898883E-11</v>
      </c>
      <c r="M247" s="5">
        <v>0</v>
      </c>
      <c r="N247" s="5">
        <v>2.0000000000000001E-4</v>
      </c>
      <c r="O247" s="5">
        <v>36.721075786759386</v>
      </c>
      <c r="P247" s="5">
        <v>36.721075786759386</v>
      </c>
      <c r="Q247" s="5">
        <v>8.6413422780769073E-9</v>
      </c>
      <c r="R247" s="5">
        <v>0</v>
      </c>
      <c r="S247" s="5">
        <v>4.7491168558192269E-5</v>
      </c>
      <c r="T247" s="5">
        <v>1.1833097545702749E-5</v>
      </c>
      <c r="U247" s="5">
        <v>1.1833097545702749E-5</v>
      </c>
      <c r="V247" s="5">
        <v>0</v>
      </c>
      <c r="W247" s="5">
        <v>0</v>
      </c>
      <c r="X247" s="5">
        <v>2.5343277687705132</v>
      </c>
      <c r="Y247" s="5">
        <v>4797.3769776932231</v>
      </c>
      <c r="Z247" s="5">
        <f t="shared" ref="Z247:AA247" si="89">Z246+0.0002</f>
        <v>-9.999999999999998E-4</v>
      </c>
      <c r="AA247" s="5">
        <f t="shared" si="89"/>
        <v>-8.0000000000000004E-4</v>
      </c>
      <c r="AB247" s="4">
        <v>2</v>
      </c>
    </row>
    <row r="248" spans="1:28" x14ac:dyDescent="0.25">
      <c r="C248" s="4">
        <v>3</v>
      </c>
      <c r="D248" s="5">
        <v>92765627496.166855</v>
      </c>
      <c r="E248" s="5">
        <v>92765627496.166855</v>
      </c>
      <c r="F248" s="5">
        <v>0.23909071356506739</v>
      </c>
      <c r="G248" s="5">
        <v>0</v>
      </c>
      <c r="H248" s="5">
        <v>35106344690.268448</v>
      </c>
      <c r="I248" s="5">
        <v>38786567234.51342</v>
      </c>
      <c r="J248" s="5">
        <v>38786567234.51342</v>
      </c>
      <c r="K248" s="5">
        <v>-4.8359539417700774E-11</v>
      </c>
      <c r="L248" s="5">
        <v>-4.8359539417700774E-11</v>
      </c>
      <c r="M248" s="5">
        <v>0</v>
      </c>
      <c r="N248" s="5">
        <v>2.0000000000000001E-4</v>
      </c>
      <c r="O248" s="5">
        <v>19.974171426690095</v>
      </c>
      <c r="P248" s="5">
        <v>19.974171426690095</v>
      </c>
      <c r="Q248" s="5">
        <v>8.9390574322440131E-9</v>
      </c>
      <c r="R248" s="5">
        <v>0</v>
      </c>
      <c r="S248" s="5">
        <v>2.8708972455788482E-5</v>
      </c>
      <c r="T248" s="5">
        <v>1.0952611272122486E-5</v>
      </c>
      <c r="U248" s="5">
        <v>1.0952611272122486E-5</v>
      </c>
      <c r="V248" s="5">
        <v>0</v>
      </c>
      <c r="W248" s="5">
        <v>0</v>
      </c>
      <c r="X248" s="5">
        <v>2.2990048930676741</v>
      </c>
      <c r="Y248" s="5">
        <v>4277.8606379054818</v>
      </c>
      <c r="Z248" s="5">
        <f t="shared" ref="Z248:AA248" si="90">Z247+0.0002</f>
        <v>-7.9999999999999982E-4</v>
      </c>
      <c r="AA248" s="5">
        <f t="shared" si="90"/>
        <v>-6.0000000000000006E-4</v>
      </c>
      <c r="AB248" s="4">
        <v>2</v>
      </c>
    </row>
    <row r="249" spans="1:28" x14ac:dyDescent="0.25">
      <c r="C249" s="4">
        <v>4</v>
      </c>
      <c r="D249" s="5">
        <v>77275442367.309113</v>
      </c>
      <c r="E249" s="5">
        <v>77275442367.309113</v>
      </c>
      <c r="F249" s="5">
        <v>0.20224978152735917</v>
      </c>
      <c r="G249" s="5">
        <v>0</v>
      </c>
      <c r="H249" s="5">
        <v>29445955299.554417</v>
      </c>
      <c r="I249" s="5">
        <v>33566047764.977726</v>
      </c>
      <c r="J249" s="5">
        <v>33566047764.977726</v>
      </c>
      <c r="K249" s="5">
        <v>-4.8428661714515217E-11</v>
      </c>
      <c r="L249" s="5">
        <v>-4.8428661714515217E-11</v>
      </c>
      <c r="M249" s="5">
        <v>0</v>
      </c>
      <c r="N249" s="5">
        <v>2.0000000000000001E-4</v>
      </c>
      <c r="O249" s="5">
        <v>6.0101552957251876</v>
      </c>
      <c r="P249" s="5">
        <v>6.0101552957251876</v>
      </c>
      <c r="Q249" s="5">
        <v>8.9424347014705612E-9</v>
      </c>
      <c r="R249" s="5">
        <v>0</v>
      </c>
      <c r="S249" s="5">
        <v>1.2881702419541597E-5</v>
      </c>
      <c r="T249" s="5">
        <v>9.9575462327116533E-6</v>
      </c>
      <c r="U249" s="5">
        <v>9.9575462327116533E-6</v>
      </c>
      <c r="V249" s="5">
        <v>0</v>
      </c>
      <c r="W249" s="5">
        <v>0</v>
      </c>
      <c r="X249" s="5">
        <v>2.0496109408593259</v>
      </c>
      <c r="Y249" s="5">
        <v>3748.2935291852327</v>
      </c>
      <c r="Z249" s="5">
        <f t="shared" ref="Z249:AA249" si="91">Z248+0.0002</f>
        <v>-5.9999999999999984E-4</v>
      </c>
      <c r="AA249" s="5">
        <f t="shared" si="91"/>
        <v>-4.0000000000000007E-4</v>
      </c>
      <c r="AB249" s="4">
        <v>2</v>
      </c>
    </row>
    <row r="250" spans="1:28" x14ac:dyDescent="0.25">
      <c r="C250" s="4">
        <v>5</v>
      </c>
      <c r="D250" s="5">
        <v>62189713244.881622</v>
      </c>
      <c r="E250" s="5">
        <v>62189713244.881622</v>
      </c>
      <c r="F250" s="5">
        <v>0.16605181648566528</v>
      </c>
      <c r="G250" s="5">
        <v>0</v>
      </c>
      <c r="H250" s="5">
        <v>23912489022.896645</v>
      </c>
      <c r="I250" s="5">
        <v>28351874451.144829</v>
      </c>
      <c r="J250" s="5">
        <v>28351874451.144829</v>
      </c>
      <c r="K250" s="5">
        <v>-4.7653344004798684E-11</v>
      </c>
      <c r="L250" s="5">
        <v>-4.7653344004798684E-11</v>
      </c>
      <c r="M250" s="5">
        <v>0</v>
      </c>
      <c r="N250" s="5">
        <v>2.0000000000000001E-4</v>
      </c>
      <c r="O250" s="5">
        <v>-6.4895746925560083</v>
      </c>
      <c r="P250" s="5">
        <v>-6.4895746925560083</v>
      </c>
      <c r="Q250" s="5">
        <v>8.7909387416260324E-9</v>
      </c>
      <c r="R250" s="5">
        <v>0</v>
      </c>
      <c r="S250" s="5">
        <v>-1.3907594695160901E-6</v>
      </c>
      <c r="T250" s="5">
        <v>8.9021927141240917E-6</v>
      </c>
      <c r="U250" s="5">
        <v>8.9021927141240917E-6</v>
      </c>
      <c r="V250" s="5">
        <v>0</v>
      </c>
      <c r="W250" s="5">
        <v>0</v>
      </c>
      <c r="X250" s="5">
        <v>1.792813140331029</v>
      </c>
      <c r="Y250" s="5">
        <v>3213.4379573793067</v>
      </c>
      <c r="Z250" s="5">
        <f t="shared" ref="Z250:AA250" si="92">Z249+0.0002</f>
        <v>-3.9999999999999986E-4</v>
      </c>
      <c r="AA250" s="5">
        <f t="shared" si="92"/>
        <v>-2.0000000000000006E-4</v>
      </c>
      <c r="AB250" s="4">
        <v>2</v>
      </c>
    </row>
    <row r="251" spans="1:28" x14ac:dyDescent="0.25">
      <c r="C251" s="4">
        <v>6</v>
      </c>
      <c r="D251" s="5">
        <v>47357615463.828552</v>
      </c>
      <c r="E251" s="5">
        <v>47357615463.828552</v>
      </c>
      <c r="F251" s="5">
        <v>0.13025705124584336</v>
      </c>
      <c r="G251" s="5">
        <v>0</v>
      </c>
      <c r="H251" s="5">
        <v>18458615283.270607</v>
      </c>
      <c r="I251" s="5">
        <v>23141680764.163528</v>
      </c>
      <c r="J251" s="5">
        <v>23141680764.163528</v>
      </c>
      <c r="K251" s="5">
        <v>-4.6348484272806361E-11</v>
      </c>
      <c r="L251" s="5">
        <v>-4.6348484272806361E-11</v>
      </c>
      <c r="M251" s="5">
        <v>0</v>
      </c>
      <c r="N251" s="5">
        <v>2.0000000000000001E-4</v>
      </c>
      <c r="O251" s="5">
        <v>-18.071061775254655</v>
      </c>
      <c r="P251" s="5">
        <v>-18.071061775254655</v>
      </c>
      <c r="Q251" s="5">
        <v>8.5423229363402728E-9</v>
      </c>
      <c r="R251" s="5">
        <v>0</v>
      </c>
      <c r="S251" s="5">
        <v>-1.4688212779935041E-5</v>
      </c>
      <c r="T251" s="5">
        <v>7.8090327404464582E-6</v>
      </c>
      <c r="U251" s="5">
        <v>7.8090327404464582E-6</v>
      </c>
      <c r="V251" s="5">
        <v>0</v>
      </c>
      <c r="W251" s="5">
        <v>0</v>
      </c>
      <c r="X251" s="5">
        <v>1.5313724418092147</v>
      </c>
      <c r="Y251" s="5">
        <v>2675.2660298637247</v>
      </c>
      <c r="Z251" s="5">
        <f t="shared" ref="Z251:AA251" si="93">Z250+0.0002</f>
        <v>-1.9999999999999985E-4</v>
      </c>
      <c r="AA251" s="5">
        <f t="shared" si="93"/>
        <v>0</v>
      </c>
      <c r="AB251" s="4">
        <v>2</v>
      </c>
    </row>
    <row r="252" spans="1:28" x14ac:dyDescent="0.25">
      <c r="C252" s="4">
        <v>7</v>
      </c>
      <c r="D252" s="5">
        <v>46246112906.584351</v>
      </c>
      <c r="E252" s="5">
        <v>46246112906.584351</v>
      </c>
      <c r="F252" s="5">
        <v>0.12849008660956263</v>
      </c>
      <c r="G252" s="5">
        <v>0</v>
      </c>
      <c r="H252" s="5">
        <v>18109812536.855576</v>
      </c>
      <c r="I252" s="5">
        <v>23124240626.842781</v>
      </c>
      <c r="J252" s="5">
        <v>23124240626.842781</v>
      </c>
      <c r="K252" s="5">
        <v>-4.8669125360529498E-11</v>
      </c>
      <c r="L252" s="5">
        <v>-4.8669125360529498E-11</v>
      </c>
      <c r="M252" s="5">
        <v>0</v>
      </c>
      <c r="N252" s="5">
        <v>2.0000000000000001E-4</v>
      </c>
      <c r="O252" s="5">
        <v>-22.095128092120724</v>
      </c>
      <c r="P252" s="5">
        <v>-22.095128092120724</v>
      </c>
      <c r="Q252" s="5">
        <v>8.9679365690329777E-9</v>
      </c>
      <c r="R252" s="5">
        <v>0</v>
      </c>
      <c r="S252" s="5">
        <v>-1.896104642351918E-5</v>
      </c>
      <c r="T252" s="5">
        <v>7.9747140449935991E-6</v>
      </c>
      <c r="U252" s="5">
        <v>7.9747140449935991E-6</v>
      </c>
      <c r="V252" s="5">
        <v>0</v>
      </c>
      <c r="W252" s="5">
        <v>0</v>
      </c>
      <c r="X252" s="5">
        <v>1.5517192686834251</v>
      </c>
      <c r="Y252" s="5">
        <v>2689.7994776310179</v>
      </c>
      <c r="Z252" s="5">
        <f t="shared" ref="Z252:AA252" si="94">Z251+0.0002</f>
        <v>0</v>
      </c>
      <c r="AA252" s="5">
        <f t="shared" si="94"/>
        <v>2.0000000000000001E-4</v>
      </c>
      <c r="AB252" s="4">
        <v>2</v>
      </c>
    </row>
    <row r="253" spans="1:28" x14ac:dyDescent="0.25">
      <c r="C253" s="4">
        <v>8</v>
      </c>
      <c r="D253" s="5">
        <v>58809107891.384781</v>
      </c>
      <c r="E253" s="5">
        <v>58809107891.384781</v>
      </c>
      <c r="F253" s="5">
        <v>0.16067764071799065</v>
      </c>
      <c r="G253" s="5">
        <v>0</v>
      </c>
      <c r="H253" s="5">
        <v>22851614781.843521</v>
      </c>
      <c r="I253" s="5">
        <v>28298830739.092178</v>
      </c>
      <c r="J253" s="5">
        <v>28298830739.092178</v>
      </c>
      <c r="K253" s="5">
        <v>-5.4711511917747465E-11</v>
      </c>
      <c r="L253" s="5">
        <v>-5.4711511917747465E-11</v>
      </c>
      <c r="M253" s="5">
        <v>0</v>
      </c>
      <c r="N253" s="5">
        <v>2.0000000000000001E-4</v>
      </c>
      <c r="O253" s="5">
        <v>-18.72866496271438</v>
      </c>
      <c r="P253" s="5">
        <v>-18.72866496271438</v>
      </c>
      <c r="Q253" s="5">
        <v>1.0085431242632554E-8</v>
      </c>
      <c r="R253" s="5">
        <v>0</v>
      </c>
      <c r="S253" s="5">
        <v>-1.4386468922416888E-5</v>
      </c>
      <c r="T253" s="5">
        <v>9.4061079786243272E-6</v>
      </c>
      <c r="U253" s="5">
        <v>9.4061079786243272E-6</v>
      </c>
      <c r="V253" s="5">
        <v>0</v>
      </c>
      <c r="W253" s="5">
        <v>0</v>
      </c>
      <c r="X253" s="5">
        <v>1.8546974710591282</v>
      </c>
      <c r="Y253" s="5">
        <v>3257.6410507565197</v>
      </c>
      <c r="Z253" s="5">
        <f t="shared" ref="Z253:AA253" si="95">Z252+0.0002</f>
        <v>2.0000000000000001E-4</v>
      </c>
      <c r="AA253" s="5">
        <f t="shared" si="95"/>
        <v>4.0000000000000002E-4</v>
      </c>
      <c r="AB253" s="4">
        <v>2</v>
      </c>
    </row>
    <row r="254" spans="1:28" x14ac:dyDescent="0.25">
      <c r="C254" s="4">
        <v>9</v>
      </c>
      <c r="D254" s="5">
        <v>71471861670.669693</v>
      </c>
      <c r="E254" s="5">
        <v>71471861670.669693</v>
      </c>
      <c r="F254" s="5">
        <v>0.19302378219165983</v>
      </c>
      <c r="G254" s="5">
        <v>0</v>
      </c>
      <c r="H254" s="5">
        <v>27624722525.202526</v>
      </c>
      <c r="I254" s="5">
        <v>33474986126.260128</v>
      </c>
      <c r="J254" s="5">
        <v>33474986126.260128</v>
      </c>
      <c r="K254" s="5">
        <v>-6.0545617930909511E-11</v>
      </c>
      <c r="L254" s="5">
        <v>-6.0545617930909511E-11</v>
      </c>
      <c r="M254" s="5">
        <v>0</v>
      </c>
      <c r="N254" s="5">
        <v>2.0000000000000001E-4</v>
      </c>
      <c r="O254" s="5">
        <v>-15.0010366681181</v>
      </c>
      <c r="P254" s="5">
        <v>-15.0010366681181</v>
      </c>
      <c r="Q254" s="5">
        <v>1.1164726541307745E-8</v>
      </c>
      <c r="R254" s="5">
        <v>0</v>
      </c>
      <c r="S254" s="5">
        <v>-9.4283990662691202E-6</v>
      </c>
      <c r="T254" s="5">
        <v>1.0822631800528804E-5</v>
      </c>
      <c r="U254" s="5">
        <v>1.0822631800528804E-5</v>
      </c>
      <c r="V254" s="5">
        <v>0</v>
      </c>
      <c r="W254" s="5">
        <v>0</v>
      </c>
      <c r="X254" s="5">
        <v>2.155849519363187</v>
      </c>
      <c r="Y254" s="5">
        <v>3824.1782281165615</v>
      </c>
      <c r="Z254" s="5">
        <f t="shared" ref="Z254:AA254" si="96">Z253+0.0002</f>
        <v>4.0000000000000002E-4</v>
      </c>
      <c r="AA254" s="5">
        <f t="shared" si="96"/>
        <v>6.0000000000000006E-4</v>
      </c>
      <c r="AB254" s="4">
        <v>2</v>
      </c>
    </row>
    <row r="255" spans="1:28" x14ac:dyDescent="0.25">
      <c r="C255" s="4">
        <v>10</v>
      </c>
      <c r="D255" s="5">
        <v>84214117828.562073</v>
      </c>
      <c r="E255" s="5">
        <v>84214117828.562073</v>
      </c>
      <c r="F255" s="5">
        <v>0.22549630924184783</v>
      </c>
      <c r="G255" s="5">
        <v>0</v>
      </c>
      <c r="H255" s="5">
        <v>32422779062.267914</v>
      </c>
      <c r="I255" s="5">
        <v>38652388953.113396</v>
      </c>
      <c r="J255" s="5">
        <v>38652388953.113396</v>
      </c>
      <c r="K255" s="5">
        <v>-6.6213735584291551E-11</v>
      </c>
      <c r="L255" s="5">
        <v>-6.6213735584291551E-11</v>
      </c>
      <c r="M255" s="5">
        <v>0</v>
      </c>
      <c r="N255" s="5">
        <v>2.0000000000000001E-4</v>
      </c>
      <c r="O255" s="5">
        <v>-10.985579216692667</v>
      </c>
      <c r="P255" s="5">
        <v>-10.985579216692667</v>
      </c>
      <c r="Q255" s="5">
        <v>1.2213578998492108E-8</v>
      </c>
      <c r="R255" s="5">
        <v>0</v>
      </c>
      <c r="S255" s="5">
        <v>-4.1647064872180513E-6</v>
      </c>
      <c r="T255" s="5">
        <v>1.2227304945422741E-5</v>
      </c>
      <c r="U255" s="5">
        <v>1.2227304945422741E-5</v>
      </c>
      <c r="V255" s="5">
        <v>0</v>
      </c>
      <c r="W255" s="5">
        <v>0</v>
      </c>
      <c r="X255" s="5">
        <v>2.4555462213677051</v>
      </c>
      <c r="Y255" s="5">
        <v>4389.6758724055035</v>
      </c>
      <c r="Z255" s="5">
        <f t="shared" ref="Z255:AA255" si="97">Z254+0.0002</f>
        <v>6.0000000000000006E-4</v>
      </c>
      <c r="AA255" s="5">
        <f t="shared" si="97"/>
        <v>8.0000000000000004E-4</v>
      </c>
      <c r="AB255" s="4">
        <v>2</v>
      </c>
    </row>
    <row r="256" spans="1:28" x14ac:dyDescent="0.25">
      <c r="C256" s="4">
        <v>11</v>
      </c>
      <c r="D256" s="5">
        <v>97021375448.433197</v>
      </c>
      <c r="E256" s="5">
        <v>97021375448.433197</v>
      </c>
      <c r="F256" s="5">
        <v>0.25807216964369978</v>
      </c>
      <c r="G256" s="5">
        <v>0</v>
      </c>
      <c r="H256" s="5">
        <v>37241233832.617981</v>
      </c>
      <c r="I256" s="5">
        <v>43830811691.630898</v>
      </c>
      <c r="J256" s="5">
        <v>43830811691.630898</v>
      </c>
      <c r="K256" s="5">
        <v>-7.1746140492393056E-11</v>
      </c>
      <c r="L256" s="5">
        <v>-7.1746140492393056E-11</v>
      </c>
      <c r="M256" s="5">
        <v>0</v>
      </c>
      <c r="N256" s="5">
        <v>2.0000000000000001E-4</v>
      </c>
      <c r="O256" s="5">
        <v>-6.7347914981518464</v>
      </c>
      <c r="P256" s="5">
        <v>-6.7347914981518464</v>
      </c>
      <c r="Q256" s="5">
        <v>1.3237541267000968E-8</v>
      </c>
      <c r="R256" s="5">
        <v>0</v>
      </c>
      <c r="S256" s="5">
        <v>1.3488644495702971E-6</v>
      </c>
      <c r="T256" s="5">
        <v>1.3622288929506457E-5</v>
      </c>
      <c r="U256" s="5">
        <v>1.3622288929506457E-5</v>
      </c>
      <c r="V256" s="5">
        <v>0</v>
      </c>
      <c r="W256" s="5">
        <v>0</v>
      </c>
      <c r="X256" s="5">
        <v>2.7540530264306176</v>
      </c>
      <c r="Y256" s="5">
        <v>4954.3235903075838</v>
      </c>
      <c r="Z256" s="5">
        <f t="shared" ref="Z256:AA256" si="98">Z255+0.0002</f>
        <v>8.0000000000000004E-4</v>
      </c>
      <c r="AA256" s="5">
        <f t="shared" si="98"/>
        <v>1E-3</v>
      </c>
      <c r="AB256" s="4">
        <v>2</v>
      </c>
    </row>
    <row r="257" spans="1:28" x14ac:dyDescent="0.25">
      <c r="B257" t="s">
        <v>191</v>
      </c>
      <c r="C257" s="11">
        <v>12</v>
      </c>
      <c r="D257" s="5">
        <v>109882872517.54929</v>
      </c>
      <c r="E257" s="5">
        <v>109882872517.54929</v>
      </c>
      <c r="F257" s="5">
        <v>0.29073425493822741</v>
      </c>
      <c r="G257" s="5">
        <v>0</v>
      </c>
      <c r="H257" s="5">
        <v>42076709588.423622</v>
      </c>
      <c r="I257" s="5">
        <v>49010085479.421188</v>
      </c>
      <c r="J257" s="5">
        <v>49010085479.421188</v>
      </c>
      <c r="K257" s="5">
        <v>-7.7165302031261694E-11</v>
      </c>
      <c r="L257" s="5">
        <v>-7.7165302031261694E-11</v>
      </c>
      <c r="M257" s="5">
        <v>0</v>
      </c>
      <c r="N257" s="5">
        <v>2.0000000000000001E-4</v>
      </c>
      <c r="O257" s="5">
        <v>-2.2876361335544009</v>
      </c>
      <c r="P257" s="5">
        <v>-2.2876361335544009</v>
      </c>
      <c r="Q257" s="5">
        <v>1.4240734308414547E-8</v>
      </c>
      <c r="R257" s="5">
        <v>0</v>
      </c>
      <c r="S257" s="5">
        <v>7.0709424581892771E-6</v>
      </c>
      <c r="T257" s="5">
        <v>1.5009187945498782E-5</v>
      </c>
      <c r="U257" s="5">
        <v>1.5009187945498782E-5</v>
      </c>
      <c r="V257" s="5">
        <v>0</v>
      </c>
      <c r="W257" s="5">
        <v>0</v>
      </c>
      <c r="X257" s="5">
        <v>3.0515669406752899</v>
      </c>
      <c r="Y257" s="5">
        <v>5518.2621004823504</v>
      </c>
      <c r="Z257" s="5">
        <f t="shared" ref="Z257:AA257" si="99">Z256+0.0002</f>
        <v>1E-3</v>
      </c>
      <c r="AA257" s="5">
        <f t="shared" si="99"/>
        <v>1.2000000000000001E-3</v>
      </c>
      <c r="AB257" s="4">
        <v>2</v>
      </c>
    </row>
    <row r="260" spans="1:28" x14ac:dyDescent="0.25">
      <c r="A260" s="15" t="s">
        <v>256</v>
      </c>
      <c r="C260" s="10" t="s">
        <v>27</v>
      </c>
      <c r="D260" s="10" t="s">
        <v>28</v>
      </c>
      <c r="E260" s="10" t="s">
        <v>29</v>
      </c>
      <c r="F260" s="10" t="s">
        <v>30</v>
      </c>
      <c r="G260" s="10" t="s">
        <v>31</v>
      </c>
      <c r="H260" s="10" t="s">
        <v>47</v>
      </c>
      <c r="I260" s="10" t="s">
        <v>32</v>
      </c>
      <c r="J260" s="10" t="s">
        <v>33</v>
      </c>
      <c r="K260" s="10" t="s">
        <v>34</v>
      </c>
      <c r="L260" s="10" t="s">
        <v>35</v>
      </c>
      <c r="M260" s="10" t="s">
        <v>36</v>
      </c>
      <c r="N260" s="10" t="s">
        <v>37</v>
      </c>
      <c r="O260" s="10" t="s">
        <v>38</v>
      </c>
      <c r="P260" s="10" t="s">
        <v>39</v>
      </c>
      <c r="Q260" s="10" t="s">
        <v>40</v>
      </c>
      <c r="R260" s="10" t="s">
        <v>41</v>
      </c>
      <c r="S260" s="10" t="s">
        <v>42</v>
      </c>
      <c r="T260" s="10" t="s">
        <v>48</v>
      </c>
      <c r="U260" s="10" t="s">
        <v>77</v>
      </c>
      <c r="V260" s="10" t="s">
        <v>78</v>
      </c>
      <c r="W260" s="10" t="s">
        <v>79</v>
      </c>
      <c r="X260" s="10" t="s">
        <v>49</v>
      </c>
      <c r="Y260" s="10" t="s">
        <v>43</v>
      </c>
      <c r="Z260" s="10" t="s">
        <v>44</v>
      </c>
      <c r="AA260" s="10" t="s">
        <v>45</v>
      </c>
      <c r="AB260" s="10" t="s">
        <v>46</v>
      </c>
    </row>
    <row r="261" spans="1:28" x14ac:dyDescent="0.25">
      <c r="A261" s="12" t="s">
        <v>167</v>
      </c>
      <c r="B261" t="s">
        <v>190</v>
      </c>
      <c r="C261" s="11">
        <v>1</v>
      </c>
      <c r="D261" s="5">
        <v>125288633897.84299</v>
      </c>
      <c r="E261" s="5">
        <v>125288633897.84299</v>
      </c>
      <c r="F261" s="5">
        <v>0.31318890900218072</v>
      </c>
      <c r="G261" s="5">
        <v>0</v>
      </c>
      <c r="H261" s="5">
        <v>46777990287.040474</v>
      </c>
      <c r="I261" s="5">
        <v>48422232847.685364</v>
      </c>
      <c r="J261" s="5">
        <v>48422232847.685364</v>
      </c>
      <c r="K261" s="5">
        <v>-3.9621860512156646E-11</v>
      </c>
      <c r="L261" s="5">
        <v>-3.9621860512156646E-11</v>
      </c>
      <c r="M261" s="5">
        <v>0</v>
      </c>
      <c r="N261" s="5">
        <v>2.0000000000000001E-4</v>
      </c>
      <c r="O261" s="5">
        <v>60.50654018021428</v>
      </c>
      <c r="P261" s="5">
        <v>60.50654018021428</v>
      </c>
      <c r="Q261" s="5">
        <v>7.3535867839779018E-9</v>
      </c>
      <c r="R261" s="5">
        <v>0</v>
      </c>
      <c r="S261" s="5">
        <v>7.3580381016245691E-5</v>
      </c>
      <c r="T261" s="5">
        <v>1.2162121280322448E-5</v>
      </c>
      <c r="U261" s="5">
        <v>1.2162121280322448E-5</v>
      </c>
      <c r="V261" s="5">
        <v>0</v>
      </c>
      <c r="W261" s="5">
        <v>0</v>
      </c>
      <c r="X261" s="5">
        <v>2.6807283443670848</v>
      </c>
      <c r="Y261" s="5">
        <v>5194.8059602622043</v>
      </c>
      <c r="Z261" s="5">
        <v>-1.1999999999999999E-3</v>
      </c>
      <c r="AA261" s="5">
        <v>-1E-3</v>
      </c>
      <c r="AB261" s="4">
        <v>2</v>
      </c>
    </row>
    <row r="262" spans="1:28" x14ac:dyDescent="0.25">
      <c r="C262" s="4">
        <v>2</v>
      </c>
      <c r="D262" s="5">
        <v>102251932305.87451</v>
      </c>
      <c r="E262" s="5">
        <v>102251932305.87451</v>
      </c>
      <c r="F262" s="5">
        <v>0.26027919882203704</v>
      </c>
      <c r="G262" s="5">
        <v>0</v>
      </c>
      <c r="H262" s="5">
        <v>38482952535.362633</v>
      </c>
      <c r="I262" s="5">
        <v>41424147626.768135</v>
      </c>
      <c r="J262" s="5">
        <v>41424147626.768135</v>
      </c>
      <c r="K262" s="5">
        <v>-4.4689603206496599E-11</v>
      </c>
      <c r="L262" s="5">
        <v>-4.4689603206496599E-11</v>
      </c>
      <c r="M262" s="5">
        <v>0</v>
      </c>
      <c r="N262" s="5">
        <v>2.0000000000000001E-4</v>
      </c>
      <c r="O262" s="5">
        <v>33.260036825720427</v>
      </c>
      <c r="P262" s="5">
        <v>33.260036825720427</v>
      </c>
      <c r="Q262" s="5">
        <v>8.2706283891880189E-9</v>
      </c>
      <c r="R262" s="5">
        <v>0</v>
      </c>
      <c r="S262" s="5">
        <v>4.3316168558192269E-5</v>
      </c>
      <c r="T262" s="5">
        <v>1.1190597545702748E-5</v>
      </c>
      <c r="U262" s="5">
        <v>1.1190597545702748E-5</v>
      </c>
      <c r="V262" s="5">
        <v>0</v>
      </c>
      <c r="W262" s="5">
        <v>0</v>
      </c>
      <c r="X262" s="5">
        <v>2.3918277687705132</v>
      </c>
      <c r="Y262" s="5">
        <v>4519.8769776932231</v>
      </c>
      <c r="Z262" s="5">
        <f t="shared" ref="Z262:AA262" si="100">Z261+0.0002</f>
        <v>-9.999999999999998E-4</v>
      </c>
      <c r="AA262" s="5">
        <f t="shared" si="100"/>
        <v>-8.0000000000000004E-4</v>
      </c>
      <c r="AB262" s="4">
        <v>2</v>
      </c>
    </row>
    <row r="263" spans="1:28" x14ac:dyDescent="0.25">
      <c r="C263" s="4">
        <v>3</v>
      </c>
      <c r="D263" s="5">
        <v>81478040181.922485</v>
      </c>
      <c r="E263" s="5">
        <v>81478040181.922485</v>
      </c>
      <c r="F263" s="5">
        <v>0.21096669521831313</v>
      </c>
      <c r="G263" s="5">
        <v>0</v>
      </c>
      <c r="H263" s="5">
        <v>30898011356.935116</v>
      </c>
      <c r="I263" s="5">
        <v>34461567234.51342</v>
      </c>
      <c r="J263" s="5">
        <v>34461567234.51342</v>
      </c>
      <c r="K263" s="5">
        <v>-4.5032958547030294E-11</v>
      </c>
      <c r="L263" s="5">
        <v>-4.5032958547030294E-11</v>
      </c>
      <c r="M263" s="5">
        <v>0</v>
      </c>
      <c r="N263" s="5">
        <v>2.0000000000000001E-4</v>
      </c>
      <c r="O263" s="5">
        <v>14.205773158291823</v>
      </c>
      <c r="P263" s="5">
        <v>14.205773158291823</v>
      </c>
      <c r="Q263" s="5">
        <v>8.3212009507625307E-9</v>
      </c>
      <c r="R263" s="5">
        <v>0</v>
      </c>
      <c r="S263" s="5">
        <v>2.1750639122455148E-5</v>
      </c>
      <c r="T263" s="5">
        <v>9.8817779387891529E-6</v>
      </c>
      <c r="U263" s="5">
        <v>9.8817779387891529E-6</v>
      </c>
      <c r="V263" s="5">
        <v>0</v>
      </c>
      <c r="W263" s="5">
        <v>0</v>
      </c>
      <c r="X263" s="5">
        <v>2.0615048930676738</v>
      </c>
      <c r="Y263" s="5">
        <v>3815.3606379054818</v>
      </c>
      <c r="Z263" s="5">
        <f t="shared" ref="Z263:AA263" si="101">Z262+0.0002</f>
        <v>-7.9999999999999982E-4</v>
      </c>
      <c r="AA263" s="5">
        <f t="shared" si="101"/>
        <v>-6.0000000000000006E-4</v>
      </c>
      <c r="AB263" s="4">
        <v>2</v>
      </c>
    </row>
    <row r="264" spans="1:28" x14ac:dyDescent="0.25">
      <c r="C264" s="4">
        <v>4</v>
      </c>
      <c r="D264" s="5">
        <v>61472820127.366997</v>
      </c>
      <c r="E264" s="5">
        <v>61472820127.366997</v>
      </c>
      <c r="F264" s="5">
        <v>0.16287615584190315</v>
      </c>
      <c r="G264" s="5">
        <v>0</v>
      </c>
      <c r="H264" s="5">
        <v>23554288632.887749</v>
      </c>
      <c r="I264" s="5">
        <v>27511047764.977726</v>
      </c>
      <c r="J264" s="5">
        <v>27511047764.977726</v>
      </c>
      <c r="K264" s="5">
        <v>-4.3771448495576542E-11</v>
      </c>
      <c r="L264" s="5">
        <v>-4.3771448495576542E-11</v>
      </c>
      <c r="M264" s="5">
        <v>0</v>
      </c>
      <c r="N264" s="5">
        <v>2.0000000000000001E-4</v>
      </c>
      <c r="O264" s="5">
        <v>-2.0656022800323939</v>
      </c>
      <c r="P264" s="5">
        <v>-2.0656022800323939</v>
      </c>
      <c r="Q264" s="5">
        <v>8.0774356273964866E-9</v>
      </c>
      <c r="R264" s="5">
        <v>0</v>
      </c>
      <c r="S264" s="5">
        <v>3.1400357528749313E-6</v>
      </c>
      <c r="T264" s="5">
        <v>8.4583795660449859E-6</v>
      </c>
      <c r="U264" s="5">
        <v>8.4583795660449859E-6</v>
      </c>
      <c r="V264" s="5">
        <v>0</v>
      </c>
      <c r="W264" s="5">
        <v>0</v>
      </c>
      <c r="X264" s="5">
        <v>1.7171109408593259</v>
      </c>
      <c r="Y264" s="5">
        <v>3100.7935291852332</v>
      </c>
      <c r="Z264" s="5">
        <f t="shared" ref="Z264:AA264" si="102">Z263+0.0002</f>
        <v>-5.9999999999999984E-4</v>
      </c>
      <c r="AA264" s="5">
        <f t="shared" si="102"/>
        <v>-4.0000000000000007E-4</v>
      </c>
      <c r="AB264" s="4">
        <v>2</v>
      </c>
    </row>
    <row r="265" spans="1:28" x14ac:dyDescent="0.25">
      <c r="C265" s="4">
        <v>5</v>
      </c>
      <c r="D265" s="5">
        <v>41872056079.24176</v>
      </c>
      <c r="E265" s="5">
        <v>41872056079.24176</v>
      </c>
      <c r="F265" s="5">
        <v>0.11542858346150758</v>
      </c>
      <c r="G265" s="5">
        <v>0</v>
      </c>
      <c r="H265" s="5">
        <v>16337489022.896645</v>
      </c>
      <c r="I265" s="5">
        <v>20566874451.144829</v>
      </c>
      <c r="J265" s="5">
        <v>20566874451.144829</v>
      </c>
      <c r="K265" s="5">
        <v>-4.166549843759182E-11</v>
      </c>
      <c r="L265" s="5">
        <v>-4.166549843759182E-11</v>
      </c>
      <c r="M265" s="5">
        <v>0</v>
      </c>
      <c r="N265" s="5">
        <v>2.0000000000000001E-4</v>
      </c>
      <c r="O265" s="5">
        <v>-16.872691575672896</v>
      </c>
      <c r="P265" s="5">
        <v>-16.872691575672896</v>
      </c>
      <c r="Q265" s="5">
        <v>7.6787970749593655E-9</v>
      </c>
      <c r="R265" s="5">
        <v>0</v>
      </c>
      <c r="S265" s="5">
        <v>-1.391575946951609E-5</v>
      </c>
      <c r="T265" s="5">
        <v>6.974692714124092E-6</v>
      </c>
      <c r="U265" s="5">
        <v>6.974692714124092E-6</v>
      </c>
      <c r="V265" s="5">
        <v>0</v>
      </c>
      <c r="W265" s="5">
        <v>0</v>
      </c>
      <c r="X265" s="5">
        <v>1.3653131403310288</v>
      </c>
      <c r="Y265" s="5">
        <v>2380.9379573793067</v>
      </c>
      <c r="Z265" s="5">
        <f t="shared" ref="Z265:AA265" si="103">Z264+0.0002</f>
        <v>-3.9999999999999986E-4</v>
      </c>
      <c r="AA265" s="5">
        <f t="shared" si="103"/>
        <v>-2.0000000000000006E-4</v>
      </c>
      <c r="AB265" s="4">
        <v>2</v>
      </c>
    </row>
    <row r="266" spans="1:28" x14ac:dyDescent="0.25">
      <c r="C266" s="4">
        <v>6</v>
      </c>
      <c r="D266" s="5">
        <v>22524923372.490952</v>
      </c>
      <c r="E266" s="5">
        <v>22524923372.490952</v>
      </c>
      <c r="F266" s="5">
        <v>6.8384210882983937E-2</v>
      </c>
      <c r="G266" s="5">
        <v>0</v>
      </c>
      <c r="H266" s="5">
        <v>9200281949.9372787</v>
      </c>
      <c r="I266" s="5">
        <v>13626680764.163528</v>
      </c>
      <c r="J266" s="5">
        <v>13626680764.163528</v>
      </c>
      <c r="K266" s="5">
        <v>-3.9030006357331307E-11</v>
      </c>
      <c r="L266" s="5">
        <v>-3.9030006357331307E-11</v>
      </c>
      <c r="M266" s="5">
        <v>0</v>
      </c>
      <c r="N266" s="5">
        <v>2.0000000000000001E-4</v>
      </c>
      <c r="O266" s="5">
        <v>-30.761537965730845</v>
      </c>
      <c r="P266" s="5">
        <v>-30.761537965730845</v>
      </c>
      <c r="Q266" s="5">
        <v>7.1830386770810127E-9</v>
      </c>
      <c r="R266" s="5">
        <v>0</v>
      </c>
      <c r="S266" s="5">
        <v>-2.9996546113268365E-5</v>
      </c>
      <c r="T266" s="5">
        <v>5.4531994071131244E-6</v>
      </c>
      <c r="U266" s="5">
        <v>5.4531994071131244E-6</v>
      </c>
      <c r="V266" s="5">
        <v>0</v>
      </c>
      <c r="W266" s="5">
        <v>0</v>
      </c>
      <c r="X266" s="5">
        <v>1.0088724418092143</v>
      </c>
      <c r="Y266" s="5">
        <v>1657.7660298637247</v>
      </c>
      <c r="Z266" s="5">
        <f t="shared" ref="Z266:AA266" si="104">Z265+0.0002</f>
        <v>-1.9999999999999985E-4</v>
      </c>
      <c r="AA266" s="5">
        <f t="shared" si="104"/>
        <v>0</v>
      </c>
      <c r="AB266" s="4">
        <v>2</v>
      </c>
    </row>
    <row r="267" spans="1:28" x14ac:dyDescent="0.25">
      <c r="C267" s="4">
        <v>7</v>
      </c>
      <c r="D267" s="5">
        <v>21413420815.24675</v>
      </c>
      <c r="E267" s="5">
        <v>21413420815.24675</v>
      </c>
      <c r="F267" s="5">
        <v>6.6617246246703204E-2</v>
      </c>
      <c r="G267" s="5">
        <v>0</v>
      </c>
      <c r="H267" s="5">
        <v>8851479203.5222473</v>
      </c>
      <c r="I267" s="5">
        <v>13609240626.842781</v>
      </c>
      <c r="J267" s="5">
        <v>13609240626.842781</v>
      </c>
      <c r="K267" s="5">
        <v>-4.1350647445054444E-11</v>
      </c>
      <c r="L267" s="5">
        <v>-4.1350647445054444E-11</v>
      </c>
      <c r="M267" s="5">
        <v>0</v>
      </c>
      <c r="N267" s="5">
        <v>2.0000000000000001E-4</v>
      </c>
      <c r="O267" s="5">
        <v>-34.785604282596914</v>
      </c>
      <c r="P267" s="5">
        <v>-34.785604282596914</v>
      </c>
      <c r="Q267" s="5">
        <v>7.6086523097737168E-9</v>
      </c>
      <c r="R267" s="5">
        <v>0</v>
      </c>
      <c r="S267" s="5">
        <v>-3.4269379756852504E-5</v>
      </c>
      <c r="T267" s="5">
        <v>5.6188807116602636E-6</v>
      </c>
      <c r="U267" s="5">
        <v>5.6188807116602636E-6</v>
      </c>
      <c r="V267" s="5">
        <v>0</v>
      </c>
      <c r="W267" s="5">
        <v>0</v>
      </c>
      <c r="X267" s="5">
        <v>1.0292192686834247</v>
      </c>
      <c r="Y267" s="5">
        <v>1672.2994776310179</v>
      </c>
      <c r="Z267" s="5">
        <f t="shared" ref="Z267:AA267" si="105">Z266+0.0002</f>
        <v>0</v>
      </c>
      <c r="AA267" s="5">
        <f t="shared" si="105"/>
        <v>2.0000000000000001E-4</v>
      </c>
      <c r="AB267" s="4">
        <v>2</v>
      </c>
    </row>
    <row r="268" spans="1:28" x14ac:dyDescent="0.25">
      <c r="C268" s="4">
        <v>8</v>
      </c>
      <c r="D268" s="5">
        <v>38491450725.744919</v>
      </c>
      <c r="E268" s="5">
        <v>38491450725.744919</v>
      </c>
      <c r="F268" s="5">
        <v>0.11005440769383296</v>
      </c>
      <c r="G268" s="5">
        <v>0</v>
      </c>
      <c r="H268" s="5">
        <v>15276614781.843521</v>
      </c>
      <c r="I268" s="5">
        <v>20513830739.092178</v>
      </c>
      <c r="J268" s="5">
        <v>20513830739.092178</v>
      </c>
      <c r="K268" s="5">
        <v>-4.8723666350540601E-11</v>
      </c>
      <c r="L268" s="5">
        <v>-4.8723666350540601E-11</v>
      </c>
      <c r="M268" s="5">
        <v>0</v>
      </c>
      <c r="N268" s="5">
        <v>2.0000000000000001E-4</v>
      </c>
      <c r="O268" s="5">
        <v>-29.111781845831267</v>
      </c>
      <c r="P268" s="5">
        <v>-29.111781845831267</v>
      </c>
      <c r="Q268" s="5">
        <v>8.9732895759658852E-9</v>
      </c>
      <c r="R268" s="5">
        <v>0</v>
      </c>
      <c r="S268" s="5">
        <v>-2.6911468922416888E-5</v>
      </c>
      <c r="T268" s="5">
        <v>7.4786079786243274E-6</v>
      </c>
      <c r="U268" s="5">
        <v>7.4786079786243274E-6</v>
      </c>
      <c r="V268" s="5">
        <v>0</v>
      </c>
      <c r="W268" s="5">
        <v>0</v>
      </c>
      <c r="X268" s="5">
        <v>1.427197471059128</v>
      </c>
      <c r="Y268" s="5">
        <v>2425.1410507565197</v>
      </c>
      <c r="Z268" s="5">
        <f t="shared" ref="Z268:AA268" si="106">Z267+0.0002</f>
        <v>2.0000000000000001E-4</v>
      </c>
      <c r="AA268" s="5">
        <f t="shared" si="106"/>
        <v>4.0000000000000002E-4</v>
      </c>
      <c r="AB268" s="4">
        <v>2</v>
      </c>
    </row>
    <row r="269" spans="1:28" x14ac:dyDescent="0.25">
      <c r="C269" s="4">
        <v>9</v>
      </c>
      <c r="D269" s="5">
        <v>55669239430.727577</v>
      </c>
      <c r="E269" s="5">
        <v>55669239430.727577</v>
      </c>
      <c r="F269" s="5">
        <v>0.15365015650620381</v>
      </c>
      <c r="G269" s="5">
        <v>0</v>
      </c>
      <c r="H269" s="5">
        <v>21733055858.535858</v>
      </c>
      <c r="I269" s="5">
        <v>27419986126.260128</v>
      </c>
      <c r="J269" s="5">
        <v>27419986126.260128</v>
      </c>
      <c r="K269" s="5">
        <v>-5.5888404711970835E-11</v>
      </c>
      <c r="L269" s="5">
        <v>-5.5888404711970835E-11</v>
      </c>
      <c r="M269" s="5">
        <v>0</v>
      </c>
      <c r="N269" s="5">
        <v>2.0000000000000001E-4</v>
      </c>
      <c r="O269" s="5">
        <v>-23.076794243875682</v>
      </c>
      <c r="P269" s="5">
        <v>-23.076794243875682</v>
      </c>
      <c r="Q269" s="5">
        <v>1.0299727467233671E-8</v>
      </c>
      <c r="R269" s="5">
        <v>0</v>
      </c>
      <c r="S269" s="5">
        <v>-1.9170065732935785E-5</v>
      </c>
      <c r="T269" s="5">
        <v>9.3234651338621366E-6</v>
      </c>
      <c r="U269" s="5">
        <v>9.3234651338621366E-6</v>
      </c>
      <c r="V269" s="5">
        <v>0</v>
      </c>
      <c r="W269" s="5">
        <v>0</v>
      </c>
      <c r="X269" s="5">
        <v>1.8233495193631866</v>
      </c>
      <c r="Y269" s="5">
        <v>3176.678228116562</v>
      </c>
      <c r="Z269" s="5">
        <f t="shared" ref="Z269:AA269" si="107">Z268+0.0002</f>
        <v>4.0000000000000002E-4</v>
      </c>
      <c r="AA269" s="5">
        <f t="shared" si="107"/>
        <v>6.0000000000000006E-4</v>
      </c>
      <c r="AB269" s="4">
        <v>2</v>
      </c>
    </row>
    <row r="270" spans="1:28" x14ac:dyDescent="0.25">
      <c r="C270" s="4">
        <v>10</v>
      </c>
      <c r="D270" s="5">
        <v>72926530514.317703</v>
      </c>
      <c r="E270" s="5">
        <v>72926530514.317703</v>
      </c>
      <c r="F270" s="5">
        <v>0.19737229089509356</v>
      </c>
      <c r="G270" s="5">
        <v>0</v>
      </c>
      <c r="H270" s="5">
        <v>28214445728.934582</v>
      </c>
      <c r="I270" s="5">
        <v>34327388953.113396</v>
      </c>
      <c r="J270" s="5">
        <v>34327388953.113396</v>
      </c>
      <c r="K270" s="5">
        <v>-6.2887154713621071E-11</v>
      </c>
      <c r="L270" s="5">
        <v>-6.2887154713621071E-11</v>
      </c>
      <c r="M270" s="5">
        <v>0</v>
      </c>
      <c r="N270" s="5">
        <v>2.0000000000000001E-4</v>
      </c>
      <c r="O270" s="5">
        <v>-16.753977485090939</v>
      </c>
      <c r="P270" s="5">
        <v>-16.753977485090939</v>
      </c>
      <c r="Q270" s="5">
        <v>1.1595722517010626E-8</v>
      </c>
      <c r="R270" s="5">
        <v>0</v>
      </c>
      <c r="S270" s="5">
        <v>-1.1123039820551386E-5</v>
      </c>
      <c r="T270" s="5">
        <v>1.1156471612089407E-5</v>
      </c>
      <c r="U270" s="5">
        <v>1.1156471612089407E-5</v>
      </c>
      <c r="V270" s="5">
        <v>0</v>
      </c>
      <c r="W270" s="5">
        <v>0</v>
      </c>
      <c r="X270" s="5">
        <v>2.2180462213677048</v>
      </c>
      <c r="Y270" s="5">
        <v>3927.1758724055035</v>
      </c>
      <c r="Z270" s="5">
        <f t="shared" ref="Z270:AA270" si="108">Z269+0.0002</f>
        <v>6.0000000000000006E-4</v>
      </c>
      <c r="AA270" s="5">
        <f t="shared" si="108"/>
        <v>8.0000000000000004E-4</v>
      </c>
      <c r="AB270" s="4">
        <v>2</v>
      </c>
    </row>
    <row r="271" spans="1:28" x14ac:dyDescent="0.25">
      <c r="C271" s="4">
        <v>11</v>
      </c>
      <c r="D271" s="5">
        <v>90248823059.886566</v>
      </c>
      <c r="E271" s="5">
        <v>90248823059.886566</v>
      </c>
      <c r="F271" s="5">
        <v>0.24119775863564719</v>
      </c>
      <c r="G271" s="5">
        <v>0</v>
      </c>
      <c r="H271" s="5">
        <v>34716233832.617981</v>
      </c>
      <c r="I271" s="5">
        <v>41235811691.630898</v>
      </c>
      <c r="J271" s="5">
        <v>41235811691.630898</v>
      </c>
      <c r="K271" s="5">
        <v>-6.9750191969990765E-11</v>
      </c>
      <c r="L271" s="5">
        <v>-6.9750191969990765E-11</v>
      </c>
      <c r="M271" s="5">
        <v>0</v>
      </c>
      <c r="N271" s="5">
        <v>2.0000000000000001E-4</v>
      </c>
      <c r="O271" s="5">
        <v>-10.195830459190809</v>
      </c>
      <c r="P271" s="5">
        <v>-10.195830459190809</v>
      </c>
      <c r="Q271" s="5">
        <v>1.286682737811208E-8</v>
      </c>
      <c r="R271" s="5">
        <v>0</v>
      </c>
      <c r="S271" s="5">
        <v>-2.8261355504297027E-6</v>
      </c>
      <c r="T271" s="5">
        <v>1.2979788929506456E-5</v>
      </c>
      <c r="U271" s="5">
        <v>1.2979788929506456E-5</v>
      </c>
      <c r="V271" s="5">
        <v>0</v>
      </c>
      <c r="W271" s="5">
        <v>0</v>
      </c>
      <c r="X271" s="5">
        <v>2.6115530264306175</v>
      </c>
      <c r="Y271" s="5">
        <v>4676.8235903075838</v>
      </c>
      <c r="Z271" s="5">
        <f t="shared" ref="Z271:AA271" si="109">Z270+0.0002</f>
        <v>8.0000000000000004E-4</v>
      </c>
      <c r="AA271" s="5">
        <f t="shared" si="109"/>
        <v>1E-3</v>
      </c>
      <c r="AB271" s="4">
        <v>2</v>
      </c>
    </row>
    <row r="272" spans="1:28" x14ac:dyDescent="0.25">
      <c r="B272" t="s">
        <v>191</v>
      </c>
      <c r="C272" s="11">
        <v>12</v>
      </c>
      <c r="D272" s="5">
        <v>107625355054.70041</v>
      </c>
      <c r="E272" s="5">
        <v>107625355054.70041</v>
      </c>
      <c r="F272" s="5">
        <v>0.2851094512688766</v>
      </c>
      <c r="G272" s="5">
        <v>0</v>
      </c>
      <c r="H272" s="5">
        <v>41235042921.756958</v>
      </c>
      <c r="I272" s="5">
        <v>48145085479.421188</v>
      </c>
      <c r="J272" s="5">
        <v>48145085479.421188</v>
      </c>
      <c r="K272" s="5">
        <v>-7.6499985857127593E-11</v>
      </c>
      <c r="L272" s="5">
        <v>-7.6499985857127593E-11</v>
      </c>
      <c r="M272" s="5">
        <v>0</v>
      </c>
      <c r="N272" s="5">
        <v>2.0000000000000001E-4</v>
      </c>
      <c r="O272" s="5">
        <v>-3.4413157872340525</v>
      </c>
      <c r="P272" s="5">
        <v>-3.4413157872340525</v>
      </c>
      <c r="Q272" s="5">
        <v>1.4117163012118251E-8</v>
      </c>
      <c r="R272" s="5">
        <v>0</v>
      </c>
      <c r="S272" s="5">
        <v>5.6792757915226133E-6</v>
      </c>
      <c r="T272" s="5">
        <v>1.4795021278832117E-5</v>
      </c>
      <c r="U272" s="5">
        <v>1.4795021278832117E-5</v>
      </c>
      <c r="V272" s="5">
        <v>0</v>
      </c>
      <c r="W272" s="5">
        <v>0</v>
      </c>
      <c r="X272" s="5">
        <v>3.00406694067529</v>
      </c>
      <c r="Y272" s="5">
        <v>5425.7621004823504</v>
      </c>
      <c r="Z272" s="5">
        <f t="shared" ref="Z272:AA272" si="110">Z271+0.0002</f>
        <v>1E-3</v>
      </c>
      <c r="AA272" s="5">
        <f t="shared" si="110"/>
        <v>1.2000000000000001E-3</v>
      </c>
      <c r="AB272" s="4">
        <v>2</v>
      </c>
    </row>
    <row r="274" spans="1:28" x14ac:dyDescent="0.25">
      <c r="A274" t="s">
        <v>169</v>
      </c>
    </row>
    <row r="275" spans="1:28" x14ac:dyDescent="0.25">
      <c r="A275" t="s">
        <v>169</v>
      </c>
    </row>
    <row r="276" spans="1:28" x14ac:dyDescent="0.25">
      <c r="A276" t="s">
        <v>169</v>
      </c>
    </row>
    <row r="278" spans="1:28" x14ac:dyDescent="0.25">
      <c r="A278" s="15" t="s">
        <v>166</v>
      </c>
      <c r="C278" s="10" t="s">
        <v>27</v>
      </c>
      <c r="D278" s="10" t="s">
        <v>28</v>
      </c>
      <c r="E278" s="10" t="s">
        <v>29</v>
      </c>
      <c r="F278" s="10" t="s">
        <v>30</v>
      </c>
      <c r="G278" s="10" t="s">
        <v>31</v>
      </c>
      <c r="H278" s="10" t="s">
        <v>47</v>
      </c>
      <c r="I278" s="10" t="s">
        <v>32</v>
      </c>
      <c r="J278" s="10" t="s">
        <v>33</v>
      </c>
      <c r="K278" s="10" t="s">
        <v>34</v>
      </c>
      <c r="L278" s="10" t="s">
        <v>35</v>
      </c>
      <c r="M278" s="10" t="s">
        <v>36</v>
      </c>
      <c r="N278" s="10" t="s">
        <v>37</v>
      </c>
      <c r="O278" s="10" t="s">
        <v>38</v>
      </c>
      <c r="P278" s="10" t="s">
        <v>39</v>
      </c>
      <c r="Q278" s="10" t="s">
        <v>40</v>
      </c>
      <c r="R278" s="10" t="s">
        <v>41</v>
      </c>
      <c r="S278" s="10" t="s">
        <v>42</v>
      </c>
      <c r="T278" s="10" t="s">
        <v>48</v>
      </c>
      <c r="U278" s="10" t="s">
        <v>77</v>
      </c>
      <c r="V278" s="10" t="s">
        <v>78</v>
      </c>
      <c r="W278" s="10" t="s">
        <v>79</v>
      </c>
      <c r="X278" s="10" t="s">
        <v>49</v>
      </c>
      <c r="Y278" s="10" t="s">
        <v>43</v>
      </c>
      <c r="Z278" s="10" t="s">
        <v>44</v>
      </c>
      <c r="AA278" s="10" t="s">
        <v>45</v>
      </c>
      <c r="AB278" s="10" t="s">
        <v>46</v>
      </c>
    </row>
    <row r="279" spans="1:28" x14ac:dyDescent="0.25">
      <c r="A279" s="12" t="s">
        <v>170</v>
      </c>
      <c r="B279" t="s">
        <v>190</v>
      </c>
      <c r="C279" s="11">
        <v>1</v>
      </c>
      <c r="D279" s="5">
        <v>146765182395.67111</v>
      </c>
      <c r="E279" s="5">
        <v>146765182395.67111</v>
      </c>
      <c r="F279" s="5">
        <v>0.35547439180027679</v>
      </c>
      <c r="G279" s="5">
        <v>0</v>
      </c>
      <c r="H279" s="5">
        <v>54050510257.216827</v>
      </c>
      <c r="I279" s="5">
        <v>52077525512.86084</v>
      </c>
      <c r="J279" s="5">
        <v>52077525512.86084</v>
      </c>
      <c r="K279" s="5">
        <v>-1.6296851442492125E-11</v>
      </c>
      <c r="L279" s="5">
        <v>-1.6296851442492125E-11</v>
      </c>
      <c r="M279" s="5">
        <v>0</v>
      </c>
      <c r="N279" s="5">
        <v>2.0000000000000001E-4</v>
      </c>
      <c r="O279" s="5">
        <v>110.18229366009885</v>
      </c>
      <c r="P279" s="5">
        <v>110.18229366009885</v>
      </c>
      <c r="Q279" s="5">
        <v>3.0818991367888449E-9</v>
      </c>
      <c r="R279" s="5">
        <v>0</v>
      </c>
      <c r="S279" s="5">
        <v>1.2699375065090609E-4</v>
      </c>
      <c r="T279" s="5">
        <v>1.1163507627822008E-5</v>
      </c>
      <c r="U279" s="5">
        <v>1.1163507627822008E-5</v>
      </c>
      <c r="V279" s="5">
        <v>0</v>
      </c>
      <c r="W279" s="5">
        <v>0</v>
      </c>
      <c r="X279" s="5">
        <v>2.6428869016623517</v>
      </c>
      <c r="Y279" s="5">
        <v>5402.0620726159659</v>
      </c>
      <c r="Z279" s="5">
        <v>-1.1999999999999999E-3</v>
      </c>
      <c r="AA279" s="5">
        <v>-1E-3</v>
      </c>
      <c r="AB279" s="4">
        <v>2</v>
      </c>
    </row>
    <row r="280" spans="1:28" x14ac:dyDescent="0.25">
      <c r="C280" s="4">
        <v>2</v>
      </c>
      <c r="D280" s="5">
        <v>141051087880.53528</v>
      </c>
      <c r="E280" s="5">
        <v>141051087880.53528</v>
      </c>
      <c r="F280" s="5">
        <v>0.34639064937358954</v>
      </c>
      <c r="G280" s="5">
        <v>0</v>
      </c>
      <c r="H280" s="5">
        <v>52257359312.880714</v>
      </c>
      <c r="I280" s="5">
        <v>51987867965.644035</v>
      </c>
      <c r="J280" s="5">
        <v>51987867965.644035</v>
      </c>
      <c r="K280" s="5">
        <v>-2.8226974701798543E-11</v>
      </c>
      <c r="L280" s="5">
        <v>-2.8226974701798543E-11</v>
      </c>
      <c r="M280" s="5">
        <v>0</v>
      </c>
      <c r="N280" s="5">
        <v>2.0000000000000001E-4</v>
      </c>
      <c r="O280" s="5">
        <v>89.495076055528571</v>
      </c>
      <c r="P280" s="5">
        <v>89.495076055528571</v>
      </c>
      <c r="Q280" s="5">
        <v>5.2699251636170451E-9</v>
      </c>
      <c r="R280" s="5">
        <v>0</v>
      </c>
      <c r="S280" s="5">
        <v>1.0502765158278875E-4</v>
      </c>
      <c r="T280" s="5">
        <v>1.201525432638166E-5</v>
      </c>
      <c r="U280" s="5">
        <v>1.201525432638166E-5</v>
      </c>
      <c r="V280" s="5">
        <v>0</v>
      </c>
      <c r="W280" s="5">
        <v>0</v>
      </c>
      <c r="X280" s="5">
        <v>2.7474873734152916</v>
      </c>
      <c r="Y280" s="5">
        <v>5476.7766952966367</v>
      </c>
      <c r="Z280" s="5">
        <f t="shared" ref="Z280:AA280" si="111">Z279+0.0002</f>
        <v>-9.999999999999998E-4</v>
      </c>
      <c r="AA280" s="5">
        <f t="shared" si="111"/>
        <v>-8.0000000000000004E-4</v>
      </c>
      <c r="AB280" s="4">
        <v>2</v>
      </c>
    </row>
    <row r="281" spans="1:28" x14ac:dyDescent="0.25">
      <c r="C281" s="4">
        <v>3</v>
      </c>
      <c r="D281" s="5">
        <v>137116932332.23267</v>
      </c>
      <c r="E281" s="5">
        <v>137116932332.23267</v>
      </c>
      <c r="F281" s="5">
        <v>0.34013649036858157</v>
      </c>
      <c r="G281" s="5">
        <v>0</v>
      </c>
      <c r="H281" s="5">
        <v>51022774424.948341</v>
      </c>
      <c r="I281" s="5">
        <v>51926138721.247414</v>
      </c>
      <c r="J281" s="5">
        <v>51926138721.247414</v>
      </c>
      <c r="K281" s="5">
        <v>-3.6440867644627941E-11</v>
      </c>
      <c r="L281" s="5">
        <v>-3.6440867644627941E-11</v>
      </c>
      <c r="M281" s="5">
        <v>0</v>
      </c>
      <c r="N281" s="5">
        <v>2.0000000000000001E-4</v>
      </c>
      <c r="O281" s="5">
        <v>75.251921396048999</v>
      </c>
      <c r="P281" s="5">
        <v>75.251921396048999</v>
      </c>
      <c r="Q281" s="5">
        <v>6.7763816477503068E-9</v>
      </c>
      <c r="R281" s="5">
        <v>0</v>
      </c>
      <c r="S281" s="5">
        <v>8.9903986705617151E-5</v>
      </c>
      <c r="T281" s="5">
        <v>1.2601682148149538E-5</v>
      </c>
      <c r="U281" s="5">
        <v>1.2601682148149538E-5</v>
      </c>
      <c r="V281" s="5">
        <v>0</v>
      </c>
      <c r="W281" s="5">
        <v>0</v>
      </c>
      <c r="X281" s="5">
        <v>2.819504825211347</v>
      </c>
      <c r="Y281" s="5">
        <v>5528.2177322938196</v>
      </c>
      <c r="Z281" s="5">
        <f t="shared" ref="Z281:AA281" si="112">Z280+0.0002</f>
        <v>-7.9999999999999982E-4</v>
      </c>
      <c r="AA281" s="5">
        <f t="shared" si="112"/>
        <v>-6.0000000000000006E-4</v>
      </c>
      <c r="AB281" s="4">
        <v>2</v>
      </c>
    </row>
    <row r="282" spans="1:28" x14ac:dyDescent="0.25">
      <c r="C282" s="4">
        <v>4</v>
      </c>
      <c r="D282" s="5">
        <v>133919108813.61722</v>
      </c>
      <c r="E282" s="5">
        <v>133919108813.61722</v>
      </c>
      <c r="F282" s="5">
        <v>0.33505288436728758</v>
      </c>
      <c r="G282" s="5">
        <v>0</v>
      </c>
      <c r="H282" s="5">
        <v>50019259301.59214</v>
      </c>
      <c r="I282" s="5">
        <v>51875962965.079605</v>
      </c>
      <c r="J282" s="5">
        <v>51875962965.079605</v>
      </c>
      <c r="K282" s="5">
        <v>-4.3117416070198453E-11</v>
      </c>
      <c r="L282" s="5">
        <v>-4.3117416070198453E-11</v>
      </c>
      <c r="M282" s="5">
        <v>0</v>
      </c>
      <c r="N282" s="5">
        <v>2.0000000000000001E-4</v>
      </c>
      <c r="O282" s="5">
        <v>63.674571596290264</v>
      </c>
      <c r="P282" s="5">
        <v>63.674571596290264</v>
      </c>
      <c r="Q282" s="5">
        <v>8.0008838097989165E-9</v>
      </c>
      <c r="R282" s="5">
        <v>0</v>
      </c>
      <c r="S282" s="5">
        <v>7.7610926444503724E-5</v>
      </c>
      <c r="T282" s="5">
        <v>1.3078351831743732E-5</v>
      </c>
      <c r="U282" s="5">
        <v>1.3078351831743732E-5</v>
      </c>
      <c r="V282" s="5">
        <v>0</v>
      </c>
      <c r="W282" s="5">
        <v>0</v>
      </c>
      <c r="X282" s="5">
        <v>2.8780432074071252</v>
      </c>
      <c r="Y282" s="5">
        <v>5570.0308624336612</v>
      </c>
      <c r="Z282" s="5">
        <f t="shared" ref="Z282:AA282" si="113">Z281+0.0002</f>
        <v>-5.9999999999999984E-4</v>
      </c>
      <c r="AA282" s="5">
        <f t="shared" si="113"/>
        <v>-4.0000000000000007E-4</v>
      </c>
      <c r="AB282" s="4">
        <v>2</v>
      </c>
    </row>
    <row r="283" spans="1:28" x14ac:dyDescent="0.25">
      <c r="C283" s="4">
        <v>5</v>
      </c>
      <c r="D283" s="5">
        <v>131153985861.06938</v>
      </c>
      <c r="E283" s="5">
        <v>131153985861.06938</v>
      </c>
      <c r="F283" s="5">
        <v>0.33065714596769824</v>
      </c>
      <c r="G283" s="5">
        <v>0</v>
      </c>
      <c r="H283" s="5">
        <v>49151530771.650467</v>
      </c>
      <c r="I283" s="5">
        <v>51832576538.58252</v>
      </c>
      <c r="J283" s="5">
        <v>51832576538.58252</v>
      </c>
      <c r="K283" s="5">
        <v>-4.8890554327476431E-11</v>
      </c>
      <c r="L283" s="5">
        <v>-4.8890554327476431E-11</v>
      </c>
      <c r="M283" s="5">
        <v>0</v>
      </c>
      <c r="N283" s="5">
        <v>2.0000000000000001E-4</v>
      </c>
      <c r="O283" s="5">
        <v>53.663764097179609</v>
      </c>
      <c r="P283" s="5">
        <v>53.663764097179609</v>
      </c>
      <c r="Q283" s="5">
        <v>9.0596974103665426E-9</v>
      </c>
      <c r="R283" s="5">
        <v>0</v>
      </c>
      <c r="S283" s="5">
        <v>6.6981251952718212E-5</v>
      </c>
      <c r="T283" s="5">
        <v>1.3490522883466029E-5</v>
      </c>
      <c r="U283" s="5">
        <v>1.3490522883466029E-5</v>
      </c>
      <c r="V283" s="5">
        <v>0</v>
      </c>
      <c r="W283" s="5">
        <v>0</v>
      </c>
      <c r="X283" s="5">
        <v>2.9286607049870561</v>
      </c>
      <c r="Y283" s="5">
        <v>5606.1862178478968</v>
      </c>
      <c r="Z283" s="5">
        <f t="shared" ref="Z283:AA283" si="114">Z282+0.0002</f>
        <v>-3.9999999999999986E-4</v>
      </c>
      <c r="AA283" s="5">
        <f t="shared" si="114"/>
        <v>-2.0000000000000006E-4</v>
      </c>
      <c r="AB283" s="4">
        <v>2</v>
      </c>
    </row>
    <row r="284" spans="1:28" x14ac:dyDescent="0.25">
      <c r="C284" s="4">
        <v>6</v>
      </c>
      <c r="D284" s="5">
        <v>128682539946.08676</v>
      </c>
      <c r="E284" s="5">
        <v>128682539946.08676</v>
      </c>
      <c r="F284" s="5">
        <v>0.32672826833822893</v>
      </c>
      <c r="G284" s="5">
        <v>0</v>
      </c>
      <c r="H284" s="5">
        <v>48375961595.364044</v>
      </c>
      <c r="I284" s="5">
        <v>51793798079.768204</v>
      </c>
      <c r="J284" s="5">
        <v>51793798079.768204</v>
      </c>
      <c r="K284" s="5">
        <v>-5.4050541498908602E-11</v>
      </c>
      <c r="L284" s="5">
        <v>-5.4050541498908602E-11</v>
      </c>
      <c r="M284" s="5">
        <v>0</v>
      </c>
      <c r="N284" s="5">
        <v>2.0000000000000001E-4</v>
      </c>
      <c r="O284" s="5">
        <v>44.716180310152225</v>
      </c>
      <c r="P284" s="5">
        <v>44.716180310152225</v>
      </c>
      <c r="Q284" s="5">
        <v>1.0006056972945748E-8</v>
      </c>
      <c r="R284" s="5">
        <v>0</v>
      </c>
      <c r="S284" s="5">
        <v>5.7480529543209492E-5</v>
      </c>
      <c r="T284" s="5">
        <v>1.3858918242202081E-5</v>
      </c>
      <c r="U284" s="5">
        <v>1.3858918242202081E-5</v>
      </c>
      <c r="V284" s="5">
        <v>0</v>
      </c>
      <c r="W284" s="5">
        <v>0</v>
      </c>
      <c r="X284" s="5">
        <v>2.9739022402704309</v>
      </c>
      <c r="Y284" s="5">
        <v>5638.5016001931654</v>
      </c>
      <c r="Z284" s="5">
        <f t="shared" ref="Z284:AA284" si="115">Z283+0.0002</f>
        <v>-1.9999999999999985E-4</v>
      </c>
      <c r="AA284" s="5">
        <f t="shared" si="115"/>
        <v>0</v>
      </c>
      <c r="AB284" s="4">
        <v>2</v>
      </c>
    </row>
    <row r="285" spans="1:28" x14ac:dyDescent="0.25">
      <c r="C285" s="4">
        <v>7</v>
      </c>
      <c r="D285" s="5">
        <v>126427295874.54584</v>
      </c>
      <c r="E285" s="5">
        <v>126427295874.54584</v>
      </c>
      <c r="F285" s="5">
        <v>0.32314308853398754</v>
      </c>
      <c r="G285" s="5">
        <v>0</v>
      </c>
      <c r="H285" s="5">
        <v>47668239133.67215</v>
      </c>
      <c r="I285" s="5">
        <v>51758411956.683609</v>
      </c>
      <c r="J285" s="5">
        <v>51758411956.683609</v>
      </c>
      <c r="K285" s="5">
        <v>-5.8759133504524697E-11</v>
      </c>
      <c r="L285" s="5">
        <v>-5.8759133504524697E-11</v>
      </c>
      <c r="M285" s="5">
        <v>0</v>
      </c>
      <c r="N285" s="5">
        <v>2.0000000000000001E-4</v>
      </c>
      <c r="O285" s="5">
        <v>36.551330265092147</v>
      </c>
      <c r="P285" s="5">
        <v>36.551330265092147</v>
      </c>
      <c r="Q285" s="5">
        <v>1.0869629094882247E-8</v>
      </c>
      <c r="R285" s="5">
        <v>0</v>
      </c>
      <c r="S285" s="5">
        <v>4.8810929387483885E-5</v>
      </c>
      <c r="T285" s="5">
        <v>1.4195086411505727E-5</v>
      </c>
      <c r="U285" s="5">
        <v>1.4195086411505727E-5</v>
      </c>
      <c r="V285" s="5">
        <v>0</v>
      </c>
      <c r="W285" s="5">
        <v>0</v>
      </c>
      <c r="X285" s="5">
        <v>3.015186050535791</v>
      </c>
      <c r="Y285" s="5">
        <v>5667.9900360969932</v>
      </c>
      <c r="Z285" s="5">
        <f t="shared" ref="Z285:AA285" si="116">Z284+0.0002</f>
        <v>0</v>
      </c>
      <c r="AA285" s="5">
        <f t="shared" si="116"/>
        <v>2.0000000000000001E-4</v>
      </c>
      <c r="AB285" s="4">
        <v>2</v>
      </c>
    </row>
    <row r="286" spans="1:28" x14ac:dyDescent="0.25">
      <c r="C286" s="4">
        <v>8</v>
      </c>
      <c r="D286" s="5">
        <v>124339828566.53026</v>
      </c>
      <c r="E286" s="5">
        <v>124339828566.53026</v>
      </c>
      <c r="F286" s="5">
        <v>0.31982462481240997</v>
      </c>
      <c r="G286" s="5">
        <v>0</v>
      </c>
      <c r="H286" s="5">
        <v>47013167019.494858</v>
      </c>
      <c r="I286" s="5">
        <v>51725658350.974747</v>
      </c>
      <c r="J286" s="5">
        <v>51725658350.974747</v>
      </c>
      <c r="K286" s="5">
        <v>-6.3117434232388395E-11</v>
      </c>
      <c r="L286" s="5">
        <v>-6.3117434232388395E-11</v>
      </c>
      <c r="M286" s="5">
        <v>0</v>
      </c>
      <c r="N286" s="5">
        <v>2.0000000000000001E-4</v>
      </c>
      <c r="O286" s="5">
        <v>28.993896566899579</v>
      </c>
      <c r="P286" s="5">
        <v>28.993896566899579</v>
      </c>
      <c r="Q286" s="5">
        <v>1.1668956580276933E-8</v>
      </c>
      <c r="R286" s="5">
        <v>0</v>
      </c>
      <c r="S286" s="5">
        <v>4.0786295988812045E-5</v>
      </c>
      <c r="T286" s="5">
        <v>1.4506245665739941E-5</v>
      </c>
      <c r="U286" s="5">
        <v>1.4506245665739941E-5</v>
      </c>
      <c r="V286" s="5">
        <v>0</v>
      </c>
      <c r="W286" s="5">
        <v>0</v>
      </c>
      <c r="X286" s="5">
        <v>3.0533985905294667</v>
      </c>
      <c r="Y286" s="5">
        <v>5695.2847075210475</v>
      </c>
      <c r="Z286" s="5">
        <f t="shared" ref="Z286:AA286" si="117">Z285+0.0002</f>
        <v>2.0000000000000001E-4</v>
      </c>
      <c r="AA286" s="5">
        <f t="shared" si="117"/>
        <v>4.0000000000000002E-4</v>
      </c>
      <c r="AB286" s="4">
        <v>2</v>
      </c>
    </row>
    <row r="287" spans="1:28" x14ac:dyDescent="0.25">
      <c r="C287" s="4">
        <v>9</v>
      </c>
      <c r="D287" s="5">
        <v>122387474535.75232</v>
      </c>
      <c r="E287" s="5">
        <v>122387474535.75232</v>
      </c>
      <c r="F287" s="5">
        <v>0.31672095176424553</v>
      </c>
      <c r="G287" s="5">
        <v>0</v>
      </c>
      <c r="H287" s="5">
        <v>46400495061.637924</v>
      </c>
      <c r="I287" s="5">
        <v>51695024753.081894</v>
      </c>
      <c r="J287" s="5">
        <v>51695024753.081894</v>
      </c>
      <c r="K287" s="5">
        <v>-6.7193639862394651E-11</v>
      </c>
      <c r="L287" s="5">
        <v>-6.7193639862394651E-11</v>
      </c>
      <c r="M287" s="5">
        <v>0</v>
      </c>
      <c r="N287" s="5">
        <v>2.0000000000000001E-4</v>
      </c>
      <c r="O287" s="5">
        <v>21.92562484530329</v>
      </c>
      <c r="P287" s="5">
        <v>21.92562484530329</v>
      </c>
      <c r="Q287" s="5">
        <v>1.241654684529787E-8</v>
      </c>
      <c r="R287" s="5">
        <v>0</v>
      </c>
      <c r="S287" s="5">
        <v>3.3281064505064534E-5</v>
      </c>
      <c r="T287" s="5">
        <v>1.4797264845721987E-5</v>
      </c>
      <c r="U287" s="5">
        <v>1.4797264845721987E-5</v>
      </c>
      <c r="V287" s="5">
        <v>0</v>
      </c>
      <c r="W287" s="5">
        <v>0</v>
      </c>
      <c r="X287" s="5">
        <v>3.0891377880711213</v>
      </c>
      <c r="Y287" s="5">
        <v>5720.8127057650863</v>
      </c>
      <c r="Z287" s="5">
        <f t="shared" ref="Z287:AA287" si="118">Z286+0.0002</f>
        <v>4.0000000000000002E-4</v>
      </c>
      <c r="AA287" s="5">
        <f t="shared" si="118"/>
        <v>6.0000000000000006E-4</v>
      </c>
      <c r="AB287" s="4">
        <v>2</v>
      </c>
    </row>
    <row r="288" spans="1:28" x14ac:dyDescent="0.25">
      <c r="C288" s="4">
        <v>10</v>
      </c>
      <c r="D288" s="5">
        <v>120546966621.93132</v>
      </c>
      <c r="E288" s="5">
        <v>120546966621.93132</v>
      </c>
      <c r="F288" s="5">
        <v>0.31379508139595813</v>
      </c>
      <c r="G288" s="5">
        <v>0</v>
      </c>
      <c r="H288" s="5">
        <v>45822921747.968689</v>
      </c>
      <c r="I288" s="5">
        <v>51666146087.398437</v>
      </c>
      <c r="J288" s="5">
        <v>51666146087.398437</v>
      </c>
      <c r="K288" s="5">
        <v>-7.103632853571831E-11</v>
      </c>
      <c r="L288" s="5">
        <v>-7.103632853571831E-11</v>
      </c>
      <c r="M288" s="5">
        <v>0</v>
      </c>
      <c r="N288" s="5">
        <v>2.0000000000000001E-4</v>
      </c>
      <c r="O288" s="5">
        <v>15.26227904041798</v>
      </c>
      <c r="P288" s="5">
        <v>15.26227904041798</v>
      </c>
      <c r="Q288" s="5">
        <v>1.3121309289698541E-8</v>
      </c>
      <c r="R288" s="5">
        <v>0</v>
      </c>
      <c r="S288" s="5">
        <v>2.6205791412616441E-5</v>
      </c>
      <c r="T288" s="5">
        <v>1.5071612169714871E-5</v>
      </c>
      <c r="U288" s="5">
        <v>1.5071612169714871E-5</v>
      </c>
      <c r="V288" s="5">
        <v>0</v>
      </c>
      <c r="W288" s="5">
        <v>0</v>
      </c>
      <c r="X288" s="5">
        <v>3.1228295647018265</v>
      </c>
      <c r="Y288" s="5">
        <v>5744.8782605013048</v>
      </c>
      <c r="Z288" s="5">
        <f t="shared" ref="Z288:AA288" si="119">Z287+0.0002</f>
        <v>6.0000000000000006E-4</v>
      </c>
      <c r="AA288" s="5">
        <f t="shared" si="119"/>
        <v>8.0000000000000004E-4</v>
      </c>
      <c r="AB288" s="4">
        <v>2</v>
      </c>
    </row>
    <row r="289" spans="1:28" x14ac:dyDescent="0.25">
      <c r="C289" s="4">
        <v>11</v>
      </c>
      <c r="D289" s="5">
        <v>118801035758.64961</v>
      </c>
      <c r="E289" s="5">
        <v>118801035758.64961</v>
      </c>
      <c r="F289" s="5">
        <v>0.31101956093250677</v>
      </c>
      <c r="G289" s="5">
        <v>0</v>
      </c>
      <c r="H289" s="5">
        <v>45275027839.678177</v>
      </c>
      <c r="I289" s="5">
        <v>51638751391.98391</v>
      </c>
      <c r="J289" s="5">
        <v>51638751391.98391</v>
      </c>
      <c r="K289" s="5">
        <v>-7.4681555324670517E-11</v>
      </c>
      <c r="L289" s="5">
        <v>-7.4681555324670517E-11</v>
      </c>
      <c r="M289" s="5">
        <v>0</v>
      </c>
      <c r="N289" s="5">
        <v>2.0000000000000001E-4</v>
      </c>
      <c r="O289" s="5">
        <v>8.9413384967200784</v>
      </c>
      <c r="P289" s="5">
        <v>8.9413384967200784</v>
      </c>
      <c r="Q289" s="5">
        <v>1.3789856538923065E-8</v>
      </c>
      <c r="R289" s="5">
        <v>0</v>
      </c>
      <c r="S289" s="5">
        <v>1.9494091036057653E-5</v>
      </c>
      <c r="T289" s="5">
        <v>1.5331861776152866E-5</v>
      </c>
      <c r="U289" s="5">
        <v>1.5331861776152866E-5</v>
      </c>
      <c r="V289" s="5">
        <v>0</v>
      </c>
      <c r="W289" s="5">
        <v>0</v>
      </c>
      <c r="X289" s="5">
        <v>3.1547900426854398</v>
      </c>
      <c r="Y289" s="5">
        <v>5767.7071733467428</v>
      </c>
      <c r="Z289" s="5">
        <f t="shared" ref="Z289:AA289" si="120">Z288+0.0002</f>
        <v>8.0000000000000004E-4</v>
      </c>
      <c r="AA289" s="5">
        <f t="shared" si="120"/>
        <v>1E-3</v>
      </c>
      <c r="AB289" s="4">
        <v>2</v>
      </c>
    </row>
    <row r="290" spans="1:28" x14ac:dyDescent="0.25">
      <c r="B290" t="s">
        <v>191</v>
      </c>
      <c r="C290" s="11">
        <v>12</v>
      </c>
      <c r="D290" s="5">
        <v>117136446434.33534</v>
      </c>
      <c r="E290" s="5">
        <v>117136446434.33534</v>
      </c>
      <c r="F290" s="5">
        <v>0.30837334977372532</v>
      </c>
      <c r="G290" s="5">
        <v>0</v>
      </c>
      <c r="H290" s="5">
        <v>44752659875.529266</v>
      </c>
      <c r="I290" s="5">
        <v>51612632993.776466</v>
      </c>
      <c r="J290" s="5">
        <v>51612632993.776466</v>
      </c>
      <c r="K290" s="5">
        <v>-7.8156953878648201E-11</v>
      </c>
      <c r="L290" s="5">
        <v>-7.8156953878648201E-11</v>
      </c>
      <c r="M290" s="5">
        <v>0</v>
      </c>
      <c r="N290" s="5">
        <v>2.0000000000000001E-4</v>
      </c>
      <c r="O290" s="5">
        <v>2.9148855769934983</v>
      </c>
      <c r="P290" s="5">
        <v>2.9148855769934983</v>
      </c>
      <c r="Q290" s="5">
        <v>1.4427256700214135E-8</v>
      </c>
      <c r="R290" s="5">
        <v>0</v>
      </c>
      <c r="S290" s="5">
        <v>1.309508347523353E-5</v>
      </c>
      <c r="T290" s="5">
        <v>1.5579986559123597E-5</v>
      </c>
      <c r="U290" s="5">
        <v>1.5579986559123597E-5</v>
      </c>
      <c r="V290" s="5">
        <v>0</v>
      </c>
      <c r="W290" s="5">
        <v>0</v>
      </c>
      <c r="X290" s="5">
        <v>3.185261507260793</v>
      </c>
      <c r="Y290" s="5">
        <v>5789.4725051862806</v>
      </c>
      <c r="Z290" s="5">
        <f t="shared" ref="Z290:AA290" si="121">Z289+0.0002</f>
        <v>1E-3</v>
      </c>
      <c r="AA290" s="5">
        <f t="shared" si="121"/>
        <v>1.2000000000000001E-3</v>
      </c>
      <c r="AB290" s="4">
        <v>2</v>
      </c>
    </row>
    <row r="294" spans="1:28" x14ac:dyDescent="0.25">
      <c r="A294" s="15" t="s">
        <v>168</v>
      </c>
      <c r="C294" s="10" t="s">
        <v>27</v>
      </c>
      <c r="D294" s="10" t="s">
        <v>28</v>
      </c>
      <c r="E294" s="10" t="s">
        <v>29</v>
      </c>
      <c r="F294" s="10" t="s">
        <v>30</v>
      </c>
      <c r="G294" s="10" t="s">
        <v>31</v>
      </c>
      <c r="H294" s="10" t="s">
        <v>47</v>
      </c>
      <c r="I294" s="10" t="s">
        <v>32</v>
      </c>
      <c r="J294" s="10" t="s">
        <v>33</v>
      </c>
      <c r="K294" s="10" t="s">
        <v>34</v>
      </c>
      <c r="L294" s="10" t="s">
        <v>35</v>
      </c>
      <c r="M294" s="10" t="s">
        <v>36</v>
      </c>
      <c r="N294" s="10" t="s">
        <v>37</v>
      </c>
      <c r="O294" s="10" t="s">
        <v>38</v>
      </c>
      <c r="P294" s="10" t="s">
        <v>39</v>
      </c>
      <c r="Q294" s="10" t="s">
        <v>40</v>
      </c>
      <c r="R294" s="10" t="s">
        <v>41</v>
      </c>
      <c r="S294" s="10" t="s">
        <v>42</v>
      </c>
      <c r="T294" s="10" t="s">
        <v>48</v>
      </c>
      <c r="U294" s="10" t="s">
        <v>77</v>
      </c>
      <c r="V294" s="10" t="s">
        <v>78</v>
      </c>
      <c r="W294" s="10" t="s">
        <v>79</v>
      </c>
      <c r="X294" s="10" t="s">
        <v>49</v>
      </c>
      <c r="Y294" s="10" t="s">
        <v>43</v>
      </c>
      <c r="Z294" s="10" t="s">
        <v>44</v>
      </c>
      <c r="AA294" s="10" t="s">
        <v>45</v>
      </c>
      <c r="AB294" s="10" t="s">
        <v>46</v>
      </c>
    </row>
    <row r="295" spans="1:28" x14ac:dyDescent="0.25">
      <c r="A295" s="12" t="s">
        <v>170</v>
      </c>
      <c r="B295" t="s">
        <v>190</v>
      </c>
      <c r="C295" s="11">
        <v>1</v>
      </c>
      <c r="D295" s="5">
        <v>142250147469.97339</v>
      </c>
      <c r="E295" s="5">
        <v>142250147469.97339</v>
      </c>
      <c r="F295" s="5">
        <v>0.34422478446157512</v>
      </c>
      <c r="G295" s="5">
        <v>0</v>
      </c>
      <c r="H295" s="5">
        <v>52367176923.883499</v>
      </c>
      <c r="I295" s="5">
        <v>50347525512.86084</v>
      </c>
      <c r="J295" s="5">
        <v>50347525512.86084</v>
      </c>
      <c r="K295" s="5">
        <v>-1.4966219094223936E-11</v>
      </c>
      <c r="L295" s="5">
        <v>-1.4966219094223936E-11</v>
      </c>
      <c r="M295" s="5">
        <v>0</v>
      </c>
      <c r="N295" s="5">
        <v>2.0000000000000001E-4</v>
      </c>
      <c r="O295" s="5">
        <v>107.87493435273954</v>
      </c>
      <c r="P295" s="5">
        <v>107.87493435273954</v>
      </c>
      <c r="Q295" s="5">
        <v>2.8347565441962531E-9</v>
      </c>
      <c r="R295" s="5">
        <v>0</v>
      </c>
      <c r="S295" s="5">
        <v>1.2421041731757276E-4</v>
      </c>
      <c r="T295" s="5">
        <v>1.0735174294488676E-5</v>
      </c>
      <c r="U295" s="5">
        <v>1.0735174294488676E-5</v>
      </c>
      <c r="V295" s="5">
        <v>0</v>
      </c>
      <c r="W295" s="5">
        <v>0</v>
      </c>
      <c r="X295" s="5">
        <v>2.547886901662352</v>
      </c>
      <c r="Y295" s="5">
        <v>5217.0620726159659</v>
      </c>
      <c r="Z295" s="5">
        <v>-1.1999999999999999E-3</v>
      </c>
      <c r="AA295" s="5">
        <v>-1E-3</v>
      </c>
      <c r="AB295" s="4">
        <v>2</v>
      </c>
    </row>
    <row r="296" spans="1:28" x14ac:dyDescent="0.25">
      <c r="C296" s="4">
        <v>2</v>
      </c>
      <c r="D296" s="5">
        <v>127505983103.44205</v>
      </c>
      <c r="E296" s="5">
        <v>127505983103.44205</v>
      </c>
      <c r="F296" s="5">
        <v>0.31264182735748441</v>
      </c>
      <c r="G296" s="5">
        <v>0</v>
      </c>
      <c r="H296" s="5">
        <v>47207359312.880714</v>
      </c>
      <c r="I296" s="5">
        <v>46797867965.644035</v>
      </c>
      <c r="J296" s="5">
        <v>46797867965.644035</v>
      </c>
      <c r="K296" s="5">
        <v>-2.4235077656993969E-11</v>
      </c>
      <c r="L296" s="5">
        <v>-2.4235077656993969E-11</v>
      </c>
      <c r="M296" s="5">
        <v>0</v>
      </c>
      <c r="N296" s="5">
        <v>2.0000000000000001E-4</v>
      </c>
      <c r="O296" s="5">
        <v>82.572998133450653</v>
      </c>
      <c r="P296" s="5">
        <v>82.572998133450653</v>
      </c>
      <c r="Q296" s="5">
        <v>4.5284973858392674E-9</v>
      </c>
      <c r="R296" s="5">
        <v>0</v>
      </c>
      <c r="S296" s="5">
        <v>9.6677651582788751E-5</v>
      </c>
      <c r="T296" s="5">
        <v>1.073025432638166E-5</v>
      </c>
      <c r="U296" s="5">
        <v>1.073025432638166E-5</v>
      </c>
      <c r="V296" s="5">
        <v>0</v>
      </c>
      <c r="W296" s="5">
        <v>0</v>
      </c>
      <c r="X296" s="5">
        <v>2.4624873734152914</v>
      </c>
      <c r="Y296" s="5">
        <v>4921.7766952966367</v>
      </c>
      <c r="Z296" s="5">
        <f t="shared" ref="Z296:AA296" si="122">Z295+0.0002</f>
        <v>-9.999999999999998E-4</v>
      </c>
      <c r="AA296" s="5">
        <f t="shared" si="122"/>
        <v>-8.0000000000000004E-4</v>
      </c>
      <c r="AB296" s="4">
        <v>2</v>
      </c>
    </row>
    <row r="297" spans="1:28" x14ac:dyDescent="0.25">
      <c r="C297" s="4">
        <v>3</v>
      </c>
      <c r="D297" s="5">
        <v>114541757703.74394</v>
      </c>
      <c r="E297" s="5">
        <v>114541757703.74394</v>
      </c>
      <c r="F297" s="5">
        <v>0.28388845367507304</v>
      </c>
      <c r="G297" s="5">
        <v>0</v>
      </c>
      <c r="H297" s="5">
        <v>42606107758.281677</v>
      </c>
      <c r="I297" s="5">
        <v>43276138721.247414</v>
      </c>
      <c r="J297" s="5">
        <v>43276138721.247414</v>
      </c>
      <c r="K297" s="5">
        <v>-2.9787705903286982E-11</v>
      </c>
      <c r="L297" s="5">
        <v>-2.9787705903286982E-11</v>
      </c>
      <c r="M297" s="5">
        <v>0</v>
      </c>
      <c r="N297" s="5">
        <v>2.0000000000000001E-4</v>
      </c>
      <c r="O297" s="5">
        <v>63.715124859252462</v>
      </c>
      <c r="P297" s="5">
        <v>63.715124859252462</v>
      </c>
      <c r="Q297" s="5">
        <v>5.5406686847873437E-9</v>
      </c>
      <c r="R297" s="5">
        <v>0</v>
      </c>
      <c r="S297" s="5">
        <v>7.598732003895049E-5</v>
      </c>
      <c r="T297" s="5">
        <v>1.0460015481482871E-5</v>
      </c>
      <c r="U297" s="5">
        <v>1.0460015481482871E-5</v>
      </c>
      <c r="V297" s="5">
        <v>0</v>
      </c>
      <c r="W297" s="5">
        <v>0</v>
      </c>
      <c r="X297" s="5">
        <v>2.344504825211347</v>
      </c>
      <c r="Y297" s="5">
        <v>4603.2177322938196</v>
      </c>
      <c r="Z297" s="5">
        <f t="shared" ref="Z297:AA297" si="123">Z296+0.0002</f>
        <v>-7.9999999999999982E-4</v>
      </c>
      <c r="AA297" s="5">
        <f t="shared" si="123"/>
        <v>-6.0000000000000006E-4</v>
      </c>
      <c r="AB297" s="4">
        <v>2</v>
      </c>
    </row>
    <row r="298" spans="1:28" x14ac:dyDescent="0.25">
      <c r="C298" s="4">
        <v>4</v>
      </c>
      <c r="D298" s="5">
        <v>102313864333.733</v>
      </c>
      <c r="E298" s="5">
        <v>102313864333.733</v>
      </c>
      <c r="F298" s="5">
        <v>0.25630563299637565</v>
      </c>
      <c r="G298" s="5">
        <v>0</v>
      </c>
      <c r="H298" s="5">
        <v>38235925968.258804</v>
      </c>
      <c r="I298" s="5">
        <v>39765962965.079605</v>
      </c>
      <c r="J298" s="5">
        <v>39765962965.079605</v>
      </c>
      <c r="K298" s="5">
        <v>-3.3802989632321109E-11</v>
      </c>
      <c r="L298" s="5">
        <v>-3.3802989632321109E-11</v>
      </c>
      <c r="M298" s="5">
        <v>0</v>
      </c>
      <c r="N298" s="5">
        <v>2.0000000000000001E-4</v>
      </c>
      <c r="O298" s="5">
        <v>47.523056444775115</v>
      </c>
      <c r="P298" s="5">
        <v>47.523056444775115</v>
      </c>
      <c r="Q298" s="5">
        <v>6.2708856616507681E-9</v>
      </c>
      <c r="R298" s="5">
        <v>0</v>
      </c>
      <c r="S298" s="5">
        <v>5.8127593111170394E-5</v>
      </c>
      <c r="T298" s="5">
        <v>1.0080018498410399E-5</v>
      </c>
      <c r="U298" s="5">
        <v>1.0080018498410399E-5</v>
      </c>
      <c r="V298" s="5">
        <v>0</v>
      </c>
      <c r="W298" s="5">
        <v>0</v>
      </c>
      <c r="X298" s="5">
        <v>2.2130432074071251</v>
      </c>
      <c r="Y298" s="5">
        <v>4275.0308624336612</v>
      </c>
      <c r="Z298" s="5">
        <f t="shared" ref="Z298:AA298" si="124">Z297+0.0002</f>
        <v>-5.9999999999999984E-4</v>
      </c>
      <c r="AA298" s="5">
        <f t="shared" si="124"/>
        <v>-4.0000000000000007E-4</v>
      </c>
      <c r="AB298" s="4">
        <v>2</v>
      </c>
    </row>
    <row r="299" spans="1:28" x14ac:dyDescent="0.25">
      <c r="C299" s="4">
        <v>5</v>
      </c>
      <c r="D299" s="5">
        <v>90518671529.789673</v>
      </c>
      <c r="E299" s="5">
        <v>90518671529.789673</v>
      </c>
      <c r="F299" s="5">
        <v>0.22941067991938288</v>
      </c>
      <c r="G299" s="5">
        <v>0</v>
      </c>
      <c r="H299" s="5">
        <v>34001530771.650467</v>
      </c>
      <c r="I299" s="5">
        <v>36262576538.58252</v>
      </c>
      <c r="J299" s="5">
        <v>36262576538.58252</v>
      </c>
      <c r="K299" s="5">
        <v>-3.6914863193062702E-11</v>
      </c>
      <c r="L299" s="5">
        <v>-3.6914863193062702E-11</v>
      </c>
      <c r="M299" s="5">
        <v>0</v>
      </c>
      <c r="N299" s="5">
        <v>2.0000000000000001E-4</v>
      </c>
      <c r="O299" s="5">
        <v>32.897530330945841</v>
      </c>
      <c r="P299" s="5">
        <v>32.897530330945841</v>
      </c>
      <c r="Q299" s="5">
        <v>6.8354140770332088E-9</v>
      </c>
      <c r="R299" s="5">
        <v>0</v>
      </c>
      <c r="S299" s="5">
        <v>4.1931251952718212E-5</v>
      </c>
      <c r="T299" s="5">
        <v>9.6355228834660295E-6</v>
      </c>
      <c r="U299" s="5">
        <v>9.6355228834660295E-6</v>
      </c>
      <c r="V299" s="5">
        <v>0</v>
      </c>
      <c r="W299" s="5">
        <v>0</v>
      </c>
      <c r="X299" s="5">
        <v>2.0736607049870561</v>
      </c>
      <c r="Y299" s="5">
        <v>3941.1862178478968</v>
      </c>
      <c r="Z299" s="5">
        <f t="shared" ref="Z299:AA299" si="125">Z298+0.0002</f>
        <v>-3.9999999999999986E-4</v>
      </c>
      <c r="AA299" s="5">
        <f t="shared" si="125"/>
        <v>-2.0000000000000006E-4</v>
      </c>
      <c r="AB299" s="4">
        <v>2</v>
      </c>
    </row>
    <row r="300" spans="1:28" x14ac:dyDescent="0.25">
      <c r="C300" s="4">
        <v>6</v>
      </c>
      <c r="D300" s="5">
        <v>79017155763.41156</v>
      </c>
      <c r="E300" s="5">
        <v>79017155763.41156</v>
      </c>
      <c r="F300" s="5">
        <v>0.20298258761251015</v>
      </c>
      <c r="G300" s="5">
        <v>0</v>
      </c>
      <c r="H300" s="5">
        <v>29859294928.69738</v>
      </c>
      <c r="I300" s="5">
        <v>32763798079.768204</v>
      </c>
      <c r="J300" s="5">
        <v>32763798079.768204</v>
      </c>
      <c r="K300" s="5">
        <v>-3.9413585667958495E-11</v>
      </c>
      <c r="L300" s="5">
        <v>-3.9413585667958495E-11</v>
      </c>
      <c r="M300" s="5">
        <v>0</v>
      </c>
      <c r="N300" s="5">
        <v>2.0000000000000001E-4</v>
      </c>
      <c r="O300" s="5">
        <v>19.335227929199849</v>
      </c>
      <c r="P300" s="5">
        <v>19.335227929199849</v>
      </c>
      <c r="Q300" s="5">
        <v>7.2874884544272298E-9</v>
      </c>
      <c r="R300" s="5">
        <v>0</v>
      </c>
      <c r="S300" s="5">
        <v>2.6863862876542831E-5</v>
      </c>
      <c r="T300" s="5">
        <v>9.1472515755354136E-6</v>
      </c>
      <c r="U300" s="5">
        <v>9.1472515755354136E-6</v>
      </c>
      <c r="V300" s="5">
        <v>0</v>
      </c>
      <c r="W300" s="5">
        <v>0</v>
      </c>
      <c r="X300" s="5">
        <v>1.9289022402704308</v>
      </c>
      <c r="Y300" s="5">
        <v>3603.5016001931654</v>
      </c>
      <c r="Z300" s="5">
        <f t="shared" ref="Z300:AA300" si="126">Z299+0.0002</f>
        <v>-1.9999999999999985E-4</v>
      </c>
      <c r="AA300" s="5">
        <f t="shared" si="126"/>
        <v>0</v>
      </c>
      <c r="AB300" s="4">
        <v>2</v>
      </c>
    </row>
    <row r="301" spans="1:28" x14ac:dyDescent="0.25">
      <c r="C301" s="4">
        <v>7</v>
      </c>
      <c r="D301" s="5">
        <v>76761911691.870636</v>
      </c>
      <c r="E301" s="5">
        <v>76761911691.870636</v>
      </c>
      <c r="F301" s="5">
        <v>0.19939740780826876</v>
      </c>
      <c r="G301" s="5">
        <v>0</v>
      </c>
      <c r="H301" s="5">
        <v>29151572467.005486</v>
      </c>
      <c r="I301" s="5">
        <v>32728411956.683609</v>
      </c>
      <c r="J301" s="5">
        <v>32728411956.683609</v>
      </c>
      <c r="K301" s="5">
        <v>-4.412217767357459E-11</v>
      </c>
      <c r="L301" s="5">
        <v>-4.412217767357459E-11</v>
      </c>
      <c r="M301" s="5">
        <v>0</v>
      </c>
      <c r="N301" s="5">
        <v>2.0000000000000001E-4</v>
      </c>
      <c r="O301" s="5">
        <v>11.170377884139771</v>
      </c>
      <c r="P301" s="5">
        <v>11.170377884139771</v>
      </c>
      <c r="Q301" s="5">
        <v>8.1510605763637284E-9</v>
      </c>
      <c r="R301" s="5">
        <v>0</v>
      </c>
      <c r="S301" s="5">
        <v>1.8194262720817224E-5</v>
      </c>
      <c r="T301" s="5">
        <v>9.4834197448390591E-6</v>
      </c>
      <c r="U301" s="5">
        <v>9.4834197448390591E-6</v>
      </c>
      <c r="V301" s="5">
        <v>0</v>
      </c>
      <c r="W301" s="5">
        <v>0</v>
      </c>
      <c r="X301" s="5">
        <v>1.9701860505357909</v>
      </c>
      <c r="Y301" s="5">
        <v>3632.9900360969932</v>
      </c>
      <c r="Z301" s="5">
        <f t="shared" ref="Z301:AA301" si="127">Z300+0.0002</f>
        <v>0</v>
      </c>
      <c r="AA301" s="5">
        <f t="shared" si="127"/>
        <v>2.0000000000000001E-4</v>
      </c>
      <c r="AB301" s="4">
        <v>2</v>
      </c>
    </row>
    <row r="302" spans="1:28" x14ac:dyDescent="0.25">
      <c r="C302" s="4">
        <v>8</v>
      </c>
      <c r="D302" s="5">
        <v>83704514235.250549</v>
      </c>
      <c r="E302" s="5">
        <v>83704514235.250549</v>
      </c>
      <c r="F302" s="5">
        <v>0.21857815876409462</v>
      </c>
      <c r="G302" s="5">
        <v>0</v>
      </c>
      <c r="H302" s="5">
        <v>31863167019.494858</v>
      </c>
      <c r="I302" s="5">
        <v>36155658350.974747</v>
      </c>
      <c r="J302" s="5">
        <v>36155658350.974747</v>
      </c>
      <c r="K302" s="5">
        <v>-5.1141743097974666E-11</v>
      </c>
      <c r="L302" s="5">
        <v>-5.1141743097974666E-11</v>
      </c>
      <c r="M302" s="5">
        <v>0</v>
      </c>
      <c r="N302" s="5">
        <v>2.0000000000000001E-4</v>
      </c>
      <c r="O302" s="5">
        <v>8.227662800665815</v>
      </c>
      <c r="P302" s="5">
        <v>8.227662800665815</v>
      </c>
      <c r="Q302" s="5">
        <v>9.4446732469435995E-9</v>
      </c>
      <c r="R302" s="5">
        <v>0</v>
      </c>
      <c r="S302" s="5">
        <v>1.5736295988812046E-5</v>
      </c>
      <c r="T302" s="5">
        <v>1.0651245665739941E-5</v>
      </c>
      <c r="U302" s="5">
        <v>1.0651245665739941E-5</v>
      </c>
      <c r="V302" s="5">
        <v>0</v>
      </c>
      <c r="W302" s="5">
        <v>0</v>
      </c>
      <c r="X302" s="5">
        <v>2.1983985905294667</v>
      </c>
      <c r="Y302" s="5">
        <v>4030.2847075210475</v>
      </c>
      <c r="Z302" s="5">
        <f t="shared" ref="Z302:AA302" si="128">Z301+0.0002</f>
        <v>2.0000000000000001E-4</v>
      </c>
      <c r="AA302" s="5">
        <f t="shared" si="128"/>
        <v>4.0000000000000002E-4</v>
      </c>
      <c r="AB302" s="4">
        <v>2</v>
      </c>
    </row>
    <row r="303" spans="1:28" x14ac:dyDescent="0.25">
      <c r="C303" s="4">
        <v>9</v>
      </c>
      <c r="D303" s="5">
        <v>90782230055.868103</v>
      </c>
      <c r="E303" s="5">
        <v>90782230055.868103</v>
      </c>
      <c r="F303" s="5">
        <v>0.2379737003933336</v>
      </c>
      <c r="G303" s="5">
        <v>0</v>
      </c>
      <c r="H303" s="5">
        <v>34617161728.304596</v>
      </c>
      <c r="I303" s="5">
        <v>39585024753.081894</v>
      </c>
      <c r="J303" s="5">
        <v>39585024753.081894</v>
      </c>
      <c r="K303" s="5">
        <v>-5.7879213424517313E-11</v>
      </c>
      <c r="L303" s="5">
        <v>-5.7879213424517313E-11</v>
      </c>
      <c r="M303" s="5">
        <v>0</v>
      </c>
      <c r="N303" s="5">
        <v>2.0000000000000001E-4</v>
      </c>
      <c r="O303" s="5">
        <v>5.7741096937881409</v>
      </c>
      <c r="P303" s="5">
        <v>5.7741096937881409</v>
      </c>
      <c r="Q303" s="5">
        <v>1.0686548697149723E-8</v>
      </c>
      <c r="R303" s="5">
        <v>0</v>
      </c>
      <c r="S303" s="5">
        <v>1.3797731171731203E-5</v>
      </c>
      <c r="T303" s="5">
        <v>1.1798931512388654E-5</v>
      </c>
      <c r="U303" s="5">
        <v>1.1798931512388654E-5</v>
      </c>
      <c r="V303" s="5">
        <v>0</v>
      </c>
      <c r="W303" s="5">
        <v>0</v>
      </c>
      <c r="X303" s="5">
        <v>2.4241377880711212</v>
      </c>
      <c r="Y303" s="5">
        <v>4425.8127057650863</v>
      </c>
      <c r="Z303" s="5">
        <f t="shared" ref="Z303:AA303" si="129">Z302+0.0002</f>
        <v>4.0000000000000002E-4</v>
      </c>
      <c r="AA303" s="5">
        <f t="shared" si="129"/>
        <v>6.0000000000000006E-4</v>
      </c>
      <c r="AB303" s="4">
        <v>2</v>
      </c>
    </row>
    <row r="304" spans="1:28" x14ac:dyDescent="0.25">
      <c r="C304" s="4">
        <v>10</v>
      </c>
      <c r="D304" s="5">
        <v>97971791993.442596</v>
      </c>
      <c r="E304" s="5">
        <v>97971791993.442596</v>
      </c>
      <c r="F304" s="5">
        <v>0.2575470447024496</v>
      </c>
      <c r="G304" s="5">
        <v>0</v>
      </c>
      <c r="H304" s="5">
        <v>37406255081.302025</v>
      </c>
      <c r="I304" s="5">
        <v>43016146087.398437</v>
      </c>
      <c r="J304" s="5">
        <v>43016146087.398437</v>
      </c>
      <c r="K304" s="5">
        <v>-6.438316679437735E-11</v>
      </c>
      <c r="L304" s="5">
        <v>-6.438316679437735E-11</v>
      </c>
      <c r="M304" s="5">
        <v>0</v>
      </c>
      <c r="N304" s="5">
        <v>2.0000000000000001E-4</v>
      </c>
      <c r="O304" s="5">
        <v>3.7254825036214445</v>
      </c>
      <c r="P304" s="5">
        <v>3.7254825036214445</v>
      </c>
      <c r="Q304" s="5">
        <v>1.1885596326735578E-8</v>
      </c>
      <c r="R304" s="5">
        <v>0</v>
      </c>
      <c r="S304" s="5">
        <v>1.2289124745949776E-5</v>
      </c>
      <c r="T304" s="5">
        <v>1.2929945503048205E-5</v>
      </c>
      <c r="U304" s="5">
        <v>1.2929945503048205E-5</v>
      </c>
      <c r="V304" s="5">
        <v>0</v>
      </c>
      <c r="W304" s="5">
        <v>0</v>
      </c>
      <c r="X304" s="5">
        <v>2.6478295647018264</v>
      </c>
      <c r="Y304" s="5">
        <v>4819.8782605013048</v>
      </c>
      <c r="Z304" s="5">
        <f t="shared" ref="Z304:AA304" si="130">Z303+0.0002</f>
        <v>6.0000000000000006E-4</v>
      </c>
      <c r="AA304" s="5">
        <f t="shared" si="130"/>
        <v>8.0000000000000004E-4</v>
      </c>
      <c r="AB304" s="4">
        <v>2</v>
      </c>
    </row>
    <row r="305" spans="1:28" x14ac:dyDescent="0.25">
      <c r="C305" s="4">
        <v>11</v>
      </c>
      <c r="D305" s="5">
        <v>105255930981.55638</v>
      </c>
      <c r="E305" s="5">
        <v>105255930981.55638</v>
      </c>
      <c r="F305" s="5">
        <v>0.27727073891640164</v>
      </c>
      <c r="G305" s="5">
        <v>0</v>
      </c>
      <c r="H305" s="5">
        <v>40225027839.678177</v>
      </c>
      <c r="I305" s="5">
        <v>46448751391.98391</v>
      </c>
      <c r="J305" s="5">
        <v>46448751391.98391</v>
      </c>
      <c r="K305" s="5">
        <v>-7.0689658279865936E-11</v>
      </c>
      <c r="L305" s="5">
        <v>-7.0689658279865936E-11</v>
      </c>
      <c r="M305" s="5">
        <v>0</v>
      </c>
      <c r="N305" s="5">
        <v>2.0000000000000001E-4</v>
      </c>
      <c r="O305" s="5">
        <v>2.019260574642157</v>
      </c>
      <c r="P305" s="5">
        <v>2.019260574642157</v>
      </c>
      <c r="Q305" s="5">
        <v>1.3048428761145287E-8</v>
      </c>
      <c r="R305" s="5">
        <v>0</v>
      </c>
      <c r="S305" s="5">
        <v>1.1144091036057653E-5</v>
      </c>
      <c r="T305" s="5">
        <v>1.4046861776152865E-5</v>
      </c>
      <c r="U305" s="5">
        <v>1.4046861776152865E-5</v>
      </c>
      <c r="V305" s="5">
        <v>0</v>
      </c>
      <c r="W305" s="5">
        <v>0</v>
      </c>
      <c r="X305" s="5">
        <v>2.8697900426854397</v>
      </c>
      <c r="Y305" s="5">
        <v>5212.7071733467428</v>
      </c>
      <c r="Z305" s="5">
        <f t="shared" ref="Z305:AA305" si="131">Z304+0.0002</f>
        <v>8.0000000000000004E-4</v>
      </c>
      <c r="AA305" s="5">
        <f t="shared" si="131"/>
        <v>1E-3</v>
      </c>
      <c r="AB305" s="4">
        <v>2</v>
      </c>
    </row>
    <row r="306" spans="1:28" x14ac:dyDescent="0.25">
      <c r="B306" t="s">
        <v>191</v>
      </c>
      <c r="C306" s="11">
        <v>12</v>
      </c>
      <c r="D306" s="5">
        <v>112621411508.6376</v>
      </c>
      <c r="E306" s="5">
        <v>112621411508.6376</v>
      </c>
      <c r="F306" s="5">
        <v>0.29712374243502365</v>
      </c>
      <c r="G306" s="5">
        <v>0</v>
      </c>
      <c r="H306" s="5">
        <v>43069326542.195938</v>
      </c>
      <c r="I306" s="5">
        <v>49882632993.776474</v>
      </c>
      <c r="J306" s="5">
        <v>49882632993.776474</v>
      </c>
      <c r="K306" s="5">
        <v>-7.6826321530380012E-11</v>
      </c>
      <c r="L306" s="5">
        <v>-7.6826321530380012E-11</v>
      </c>
      <c r="M306" s="5">
        <v>0</v>
      </c>
      <c r="N306" s="5">
        <v>2.0000000000000001E-4</v>
      </c>
      <c r="O306" s="5">
        <v>0.60752626963419631</v>
      </c>
      <c r="P306" s="5">
        <v>0.60752626963419631</v>
      </c>
      <c r="Q306" s="5">
        <v>1.4180114107621543E-8</v>
      </c>
      <c r="R306" s="5">
        <v>0</v>
      </c>
      <c r="S306" s="5">
        <v>1.0311750141900202E-5</v>
      </c>
      <c r="T306" s="5">
        <v>1.5151653225790265E-5</v>
      </c>
      <c r="U306" s="5">
        <v>1.5151653225790265E-5</v>
      </c>
      <c r="V306" s="5">
        <v>0</v>
      </c>
      <c r="W306" s="5">
        <v>0</v>
      </c>
      <c r="X306" s="5">
        <v>3.0902615072607933</v>
      </c>
      <c r="Y306" s="5">
        <v>5604.4725051862806</v>
      </c>
      <c r="Z306" s="5">
        <f t="shared" ref="Z306:AA306" si="132">Z305+0.0002</f>
        <v>1E-3</v>
      </c>
      <c r="AA306" s="5">
        <f t="shared" si="132"/>
        <v>1.2000000000000001E-3</v>
      </c>
      <c r="AB306" s="4">
        <v>2</v>
      </c>
    </row>
    <row r="310" spans="1:28" x14ac:dyDescent="0.25">
      <c r="A310" s="15" t="s">
        <v>255</v>
      </c>
      <c r="C310" s="10" t="s">
        <v>27</v>
      </c>
      <c r="D310" s="10" t="s">
        <v>28</v>
      </c>
      <c r="E310" s="10" t="s">
        <v>29</v>
      </c>
      <c r="F310" s="10" t="s">
        <v>30</v>
      </c>
      <c r="G310" s="10" t="s">
        <v>31</v>
      </c>
      <c r="H310" s="10" t="s">
        <v>47</v>
      </c>
      <c r="I310" s="10" t="s">
        <v>32</v>
      </c>
      <c r="J310" s="10" t="s">
        <v>33</v>
      </c>
      <c r="K310" s="10" t="s">
        <v>34</v>
      </c>
      <c r="L310" s="10" t="s">
        <v>35</v>
      </c>
      <c r="M310" s="10" t="s">
        <v>36</v>
      </c>
      <c r="N310" s="10" t="s">
        <v>37</v>
      </c>
      <c r="O310" s="10" t="s">
        <v>38</v>
      </c>
      <c r="P310" s="10" t="s">
        <v>39</v>
      </c>
      <c r="Q310" s="10" t="s">
        <v>40</v>
      </c>
      <c r="R310" s="10" t="s">
        <v>41</v>
      </c>
      <c r="S310" s="10" t="s">
        <v>42</v>
      </c>
      <c r="T310" s="10" t="s">
        <v>48</v>
      </c>
      <c r="U310" s="10" t="s">
        <v>77</v>
      </c>
      <c r="V310" s="10" t="s">
        <v>78</v>
      </c>
      <c r="W310" s="10" t="s">
        <v>79</v>
      </c>
      <c r="X310" s="10" t="s">
        <v>49</v>
      </c>
      <c r="Y310" s="10" t="s">
        <v>43</v>
      </c>
      <c r="Z310" s="10" t="s">
        <v>44</v>
      </c>
      <c r="AA310" s="10" t="s">
        <v>45</v>
      </c>
      <c r="AB310" s="10" t="s">
        <v>46</v>
      </c>
    </row>
    <row r="311" spans="1:28" x14ac:dyDescent="0.25">
      <c r="A311" s="12" t="s">
        <v>170</v>
      </c>
      <c r="B311" t="s">
        <v>190</v>
      </c>
      <c r="C311" s="11">
        <v>1</v>
      </c>
      <c r="D311" s="5">
        <v>139992630007.12451</v>
      </c>
      <c r="E311" s="5">
        <v>139992630007.12451</v>
      </c>
      <c r="F311" s="5">
        <v>0.33859998079222425</v>
      </c>
      <c r="G311" s="5">
        <v>0</v>
      </c>
      <c r="H311" s="5">
        <v>51525510257.216835</v>
      </c>
      <c r="I311" s="5">
        <v>49482525512.860847</v>
      </c>
      <c r="J311" s="5">
        <v>49482525512.860847</v>
      </c>
      <c r="K311" s="5">
        <v>-1.4300902920089842E-11</v>
      </c>
      <c r="L311" s="5">
        <v>-1.4300902920089842E-11</v>
      </c>
      <c r="M311" s="5">
        <v>0</v>
      </c>
      <c r="N311" s="5">
        <v>2.0000000000000001E-4</v>
      </c>
      <c r="O311" s="5">
        <v>106.7212546990599</v>
      </c>
      <c r="P311" s="5">
        <v>106.7212546990599</v>
      </c>
      <c r="Q311" s="5">
        <v>2.7111852478999569E-9</v>
      </c>
      <c r="R311" s="5">
        <v>0</v>
      </c>
      <c r="S311" s="5">
        <v>1.2281875065090611E-4</v>
      </c>
      <c r="T311" s="5">
        <v>1.0521007627822009E-5</v>
      </c>
      <c r="U311" s="5">
        <v>1.0521007627822009E-5</v>
      </c>
      <c r="V311" s="5">
        <v>0</v>
      </c>
      <c r="W311" s="5">
        <v>0</v>
      </c>
      <c r="X311" s="5">
        <v>2.5003869016623521</v>
      </c>
      <c r="Y311" s="5">
        <v>5124.5620726159668</v>
      </c>
      <c r="Z311" s="5">
        <v>-1.1999999999999999E-3</v>
      </c>
      <c r="AA311" s="5">
        <v>-1E-3</v>
      </c>
      <c r="AB311" s="4">
        <v>2</v>
      </c>
    </row>
    <row r="312" spans="1:28" x14ac:dyDescent="0.25">
      <c r="C312" s="4">
        <v>2</v>
      </c>
      <c r="D312" s="5">
        <v>120733430714.89543</v>
      </c>
      <c r="E312" s="5">
        <v>120733430714.89543</v>
      </c>
      <c r="F312" s="5">
        <v>0.29576741634943188</v>
      </c>
      <c r="G312" s="5">
        <v>0</v>
      </c>
      <c r="H312" s="5">
        <v>44682359312.880714</v>
      </c>
      <c r="I312" s="5">
        <v>44202867965.644035</v>
      </c>
      <c r="J312" s="5">
        <v>44202867965.644035</v>
      </c>
      <c r="K312" s="5">
        <v>-2.2239129134591682E-11</v>
      </c>
      <c r="L312" s="5">
        <v>-2.2239129134591682E-11</v>
      </c>
      <c r="M312" s="5">
        <v>0</v>
      </c>
      <c r="N312" s="5">
        <v>2.0000000000000001E-4</v>
      </c>
      <c r="O312" s="5">
        <v>79.111959172411687</v>
      </c>
      <c r="P312" s="5">
        <v>79.111959172411687</v>
      </c>
      <c r="Q312" s="5">
        <v>4.1577834969503782E-9</v>
      </c>
      <c r="R312" s="5">
        <v>0</v>
      </c>
      <c r="S312" s="5">
        <v>9.2502651582788758E-5</v>
      </c>
      <c r="T312" s="5">
        <v>1.008775432638166E-5</v>
      </c>
      <c r="U312" s="5">
        <v>1.008775432638166E-5</v>
      </c>
      <c r="V312" s="5">
        <v>0</v>
      </c>
      <c r="W312" s="5">
        <v>0</v>
      </c>
      <c r="X312" s="5">
        <v>2.3199873734152918</v>
      </c>
      <c r="Y312" s="5">
        <v>4644.2766952966367</v>
      </c>
      <c r="Z312" s="5">
        <f t="shared" ref="Z312:AA312" si="133">Z311+0.0002</f>
        <v>-9.999999999999998E-4</v>
      </c>
      <c r="AA312" s="5">
        <f t="shared" si="133"/>
        <v>-8.0000000000000004E-4</v>
      </c>
      <c r="AB312" s="4">
        <v>2</v>
      </c>
    </row>
    <row r="313" spans="1:28" x14ac:dyDescent="0.25">
      <c r="C313" s="4">
        <v>3</v>
      </c>
      <c r="D313" s="5">
        <v>103254170389.49959</v>
      </c>
      <c r="E313" s="5">
        <v>103254170389.49959</v>
      </c>
      <c r="F313" s="5">
        <v>0.25576443532831877</v>
      </c>
      <c r="G313" s="5">
        <v>0</v>
      </c>
      <c r="H313" s="5">
        <v>38397774424.948341</v>
      </c>
      <c r="I313" s="5">
        <v>38951138721.247414</v>
      </c>
      <c r="J313" s="5">
        <v>38951138721.247414</v>
      </c>
      <c r="K313" s="5">
        <v>-2.6461125032616505E-11</v>
      </c>
      <c r="L313" s="5">
        <v>-2.6461125032616505E-11</v>
      </c>
      <c r="M313" s="5">
        <v>0</v>
      </c>
      <c r="N313" s="5">
        <v>2.0000000000000001E-4</v>
      </c>
      <c r="O313" s="5">
        <v>57.946726590854198</v>
      </c>
      <c r="P313" s="5">
        <v>57.946726590854198</v>
      </c>
      <c r="Q313" s="5">
        <v>4.9228122033058622E-9</v>
      </c>
      <c r="R313" s="5">
        <v>0</v>
      </c>
      <c r="S313" s="5">
        <v>6.9028986705617159E-5</v>
      </c>
      <c r="T313" s="5">
        <v>9.3891821481495376E-6</v>
      </c>
      <c r="U313" s="5">
        <v>9.3891821481495376E-6</v>
      </c>
      <c r="V313" s="5">
        <v>0</v>
      </c>
      <c r="W313" s="5">
        <v>0</v>
      </c>
      <c r="X313" s="5">
        <v>2.1070048252113471</v>
      </c>
      <c r="Y313" s="5">
        <v>4140.7177322938196</v>
      </c>
      <c r="Z313" s="5">
        <f t="shared" ref="Z313:AA313" si="134">Z312+0.0002</f>
        <v>-7.9999999999999982E-4</v>
      </c>
      <c r="AA313" s="5">
        <f t="shared" si="134"/>
        <v>-6.0000000000000006E-4</v>
      </c>
      <c r="AB313" s="4">
        <v>2</v>
      </c>
    </row>
    <row r="314" spans="1:28" x14ac:dyDescent="0.25">
      <c r="C314" s="4">
        <v>4</v>
      </c>
      <c r="D314" s="5">
        <v>86511242093.790909</v>
      </c>
      <c r="E314" s="5">
        <v>86511242093.790909</v>
      </c>
      <c r="F314" s="5">
        <v>0.21693200731091972</v>
      </c>
      <c r="G314" s="5">
        <v>0</v>
      </c>
      <c r="H314" s="5">
        <v>32344259301.592144</v>
      </c>
      <c r="I314" s="5">
        <v>33710962965.079609</v>
      </c>
      <c r="J314" s="5">
        <v>33710962965.079609</v>
      </c>
      <c r="K314" s="5">
        <v>-2.914577641338244E-11</v>
      </c>
      <c r="L314" s="5">
        <v>-2.914577641338244E-11</v>
      </c>
      <c r="M314" s="5">
        <v>0</v>
      </c>
      <c r="N314" s="5">
        <v>2.0000000000000001E-4</v>
      </c>
      <c r="O314" s="5">
        <v>39.447298869017544</v>
      </c>
      <c r="P314" s="5">
        <v>39.447298869017544</v>
      </c>
      <c r="Q314" s="5">
        <v>5.4058865875766943E-9</v>
      </c>
      <c r="R314" s="5">
        <v>0</v>
      </c>
      <c r="S314" s="5">
        <v>4.8385926444503732E-5</v>
      </c>
      <c r="T314" s="5">
        <v>8.5808518317437319E-6</v>
      </c>
      <c r="U314" s="5">
        <v>8.5808518317437319E-6</v>
      </c>
      <c r="V314" s="5">
        <v>0</v>
      </c>
      <c r="W314" s="5">
        <v>0</v>
      </c>
      <c r="X314" s="5">
        <v>1.8805432074071253</v>
      </c>
      <c r="Y314" s="5">
        <v>3627.5308624336612</v>
      </c>
      <c r="Z314" s="5">
        <f t="shared" ref="Z314:AA314" si="135">Z313+0.0002</f>
        <v>-5.9999999999999984E-4</v>
      </c>
      <c r="AA314" s="5">
        <f t="shared" si="135"/>
        <v>-4.0000000000000007E-4</v>
      </c>
      <c r="AB314" s="4">
        <v>2</v>
      </c>
    </row>
    <row r="315" spans="1:28" x14ac:dyDescent="0.25">
      <c r="C315" s="4">
        <v>5</v>
      </c>
      <c r="D315" s="5">
        <v>70201014364.149826</v>
      </c>
      <c r="E315" s="5">
        <v>70201014364.149826</v>
      </c>
      <c r="F315" s="5">
        <v>0.17878744689522522</v>
      </c>
      <c r="G315" s="5">
        <v>0</v>
      </c>
      <c r="H315" s="5">
        <v>26426530771.650467</v>
      </c>
      <c r="I315" s="5">
        <v>28477576538.58252</v>
      </c>
      <c r="J315" s="5">
        <v>28477576538.58252</v>
      </c>
      <c r="K315" s="5">
        <v>-3.0927017625855844E-11</v>
      </c>
      <c r="L315" s="5">
        <v>-3.0927017625855844E-11</v>
      </c>
      <c r="M315" s="5">
        <v>0</v>
      </c>
      <c r="N315" s="5">
        <v>2.0000000000000001E-4</v>
      </c>
      <c r="O315" s="5">
        <v>22.514413447828968</v>
      </c>
      <c r="P315" s="5">
        <v>22.514413447828968</v>
      </c>
      <c r="Q315" s="5">
        <v>5.7232724103665428E-9</v>
      </c>
      <c r="R315" s="5">
        <v>0</v>
      </c>
      <c r="S315" s="5">
        <v>2.9406251952718213E-5</v>
      </c>
      <c r="T315" s="5">
        <v>7.708022883466028E-6</v>
      </c>
      <c r="U315" s="5">
        <v>7.708022883466028E-6</v>
      </c>
      <c r="V315" s="5">
        <v>0</v>
      </c>
      <c r="W315" s="5">
        <v>0</v>
      </c>
      <c r="X315" s="5">
        <v>1.6461607049870561</v>
      </c>
      <c r="Y315" s="5">
        <v>3108.6862178478968</v>
      </c>
      <c r="Z315" s="5">
        <f t="shared" ref="Z315:AA315" si="136">Z314+0.0002</f>
        <v>-3.9999999999999986E-4</v>
      </c>
      <c r="AA315" s="5">
        <f t="shared" si="136"/>
        <v>-2.0000000000000006E-4</v>
      </c>
      <c r="AB315" s="4">
        <v>2</v>
      </c>
    </row>
    <row r="316" spans="1:28" x14ac:dyDescent="0.25">
      <c r="C316" s="4">
        <v>6</v>
      </c>
      <c r="D316" s="5">
        <v>54184463672.073975</v>
      </c>
      <c r="E316" s="5">
        <v>54184463672.073975</v>
      </c>
      <c r="F316" s="5">
        <v>0.14110974724965081</v>
      </c>
      <c r="G316" s="5">
        <v>0</v>
      </c>
      <c r="H316" s="5">
        <v>20600961595.364044</v>
      </c>
      <c r="I316" s="5">
        <v>23248798079.768204</v>
      </c>
      <c r="J316" s="5">
        <v>23248798079.768204</v>
      </c>
      <c r="K316" s="5">
        <v>-3.2095107752483441E-11</v>
      </c>
      <c r="L316" s="5">
        <v>-3.2095107752483441E-11</v>
      </c>
      <c r="M316" s="5">
        <v>0</v>
      </c>
      <c r="N316" s="5">
        <v>2.0000000000000001E-4</v>
      </c>
      <c r="O316" s="5">
        <v>6.644751738723663</v>
      </c>
      <c r="P316" s="5">
        <v>6.644751738723663</v>
      </c>
      <c r="Q316" s="5">
        <v>5.9282041951679706E-9</v>
      </c>
      <c r="R316" s="5">
        <v>0</v>
      </c>
      <c r="S316" s="5">
        <v>1.1555529543209494E-5</v>
      </c>
      <c r="T316" s="5">
        <v>6.7914182422020807E-6</v>
      </c>
      <c r="U316" s="5">
        <v>6.7914182422020807E-6</v>
      </c>
      <c r="V316" s="5">
        <v>0</v>
      </c>
      <c r="W316" s="5">
        <v>0</v>
      </c>
      <c r="X316" s="5">
        <v>1.406402240270431</v>
      </c>
      <c r="Y316" s="5">
        <v>2586.0016001931654</v>
      </c>
      <c r="Z316" s="5">
        <f t="shared" ref="Z316:AA316" si="137">Z315+0.0002</f>
        <v>-1.9999999999999985E-4</v>
      </c>
      <c r="AA316" s="5">
        <f t="shared" si="137"/>
        <v>0</v>
      </c>
      <c r="AB316" s="4">
        <v>2</v>
      </c>
    </row>
    <row r="317" spans="1:28" x14ac:dyDescent="0.25">
      <c r="C317" s="4">
        <v>7</v>
      </c>
      <c r="D317" s="5">
        <v>51929219600.533051</v>
      </c>
      <c r="E317" s="5">
        <v>51929219600.533051</v>
      </c>
      <c r="F317" s="5">
        <v>0.13752456744540942</v>
      </c>
      <c r="G317" s="5">
        <v>0</v>
      </c>
      <c r="H317" s="5">
        <v>19893239133.67215</v>
      </c>
      <c r="I317" s="5">
        <v>23213411956.683609</v>
      </c>
      <c r="J317" s="5">
        <v>23213411956.683609</v>
      </c>
      <c r="K317" s="5">
        <v>-3.6803699758099536E-11</v>
      </c>
      <c r="L317" s="5">
        <v>-3.6803699758099536E-11</v>
      </c>
      <c r="M317" s="5">
        <v>0</v>
      </c>
      <c r="N317" s="5">
        <v>2.0000000000000001E-4</v>
      </c>
      <c r="O317" s="5">
        <v>-1.5200983063364149</v>
      </c>
      <c r="P317" s="5">
        <v>-1.5200983063364149</v>
      </c>
      <c r="Q317" s="5">
        <v>6.7917763171044692E-9</v>
      </c>
      <c r="R317" s="5">
        <v>0</v>
      </c>
      <c r="S317" s="5">
        <v>2.8859293874838868E-6</v>
      </c>
      <c r="T317" s="5">
        <v>7.1275864115057262E-6</v>
      </c>
      <c r="U317" s="5">
        <v>7.1275864115057262E-6</v>
      </c>
      <c r="V317" s="5">
        <v>0</v>
      </c>
      <c r="W317" s="5">
        <v>0</v>
      </c>
      <c r="X317" s="5">
        <v>1.4476860505357911</v>
      </c>
      <c r="Y317" s="5">
        <v>2615.4900360969932</v>
      </c>
      <c r="Z317" s="5">
        <f t="shared" ref="Z317:AA317" si="138">Z316+0.0002</f>
        <v>0</v>
      </c>
      <c r="AA317" s="5">
        <f t="shared" si="138"/>
        <v>2.0000000000000001E-4</v>
      </c>
      <c r="AB317" s="4">
        <v>2</v>
      </c>
    </row>
    <row r="318" spans="1:28" x14ac:dyDescent="0.25">
      <c r="C318" s="4">
        <v>8</v>
      </c>
      <c r="D318" s="5">
        <v>63386857069.610703</v>
      </c>
      <c r="E318" s="5">
        <v>63386857069.610703</v>
      </c>
      <c r="F318" s="5">
        <v>0.16795492573993695</v>
      </c>
      <c r="G318" s="5">
        <v>0</v>
      </c>
      <c r="H318" s="5">
        <v>24288167019.494858</v>
      </c>
      <c r="I318" s="5">
        <v>28370658350.974747</v>
      </c>
      <c r="J318" s="5">
        <v>28370658350.974747</v>
      </c>
      <c r="K318" s="5">
        <v>-4.5153897530767808E-11</v>
      </c>
      <c r="L318" s="5">
        <v>-4.5153897530767808E-11</v>
      </c>
      <c r="M318" s="5">
        <v>0</v>
      </c>
      <c r="N318" s="5">
        <v>2.0000000000000001E-4</v>
      </c>
      <c r="O318" s="5">
        <v>-2.1554540824510617</v>
      </c>
      <c r="P318" s="5">
        <v>-2.1554540824510617</v>
      </c>
      <c r="Q318" s="5">
        <v>8.3325315802769326E-9</v>
      </c>
      <c r="R318" s="5">
        <v>0</v>
      </c>
      <c r="S318" s="5">
        <v>3.2112959888120466E-6</v>
      </c>
      <c r="T318" s="5">
        <v>8.72374566573994E-6</v>
      </c>
      <c r="U318" s="5">
        <v>8.72374566573994E-6</v>
      </c>
      <c r="V318" s="5">
        <v>0</v>
      </c>
      <c r="W318" s="5">
        <v>0</v>
      </c>
      <c r="X318" s="5">
        <v>1.7708985905294667</v>
      </c>
      <c r="Y318" s="5">
        <v>3197.7847075210475</v>
      </c>
      <c r="Z318" s="5">
        <f t="shared" ref="Z318:AA318" si="139">Z317+0.0002</f>
        <v>2.0000000000000001E-4</v>
      </c>
      <c r="AA318" s="5">
        <f t="shared" si="139"/>
        <v>4.0000000000000002E-4</v>
      </c>
      <c r="AB318" s="4">
        <v>2</v>
      </c>
    </row>
    <row r="319" spans="1:28" x14ac:dyDescent="0.25">
      <c r="C319" s="4">
        <v>9</v>
      </c>
      <c r="D319" s="5">
        <v>74979607815.92601</v>
      </c>
      <c r="E319" s="5">
        <v>74979607815.92601</v>
      </c>
      <c r="F319" s="5">
        <v>0.19860007470787766</v>
      </c>
      <c r="G319" s="5">
        <v>0</v>
      </c>
      <c r="H319" s="5">
        <v>28725495061.637928</v>
      </c>
      <c r="I319" s="5">
        <v>33530024753.081898</v>
      </c>
      <c r="J319" s="5">
        <v>33530024753.081898</v>
      </c>
      <c r="K319" s="5">
        <v>-5.3222000205578644E-11</v>
      </c>
      <c r="L319" s="5">
        <v>-5.3222000205578644E-11</v>
      </c>
      <c r="M319" s="5">
        <v>0</v>
      </c>
      <c r="N319" s="5">
        <v>2.0000000000000001E-4</v>
      </c>
      <c r="O319" s="5">
        <v>-2.3016478819694264</v>
      </c>
      <c r="P319" s="5">
        <v>-2.3016478819694264</v>
      </c>
      <c r="Q319" s="5">
        <v>9.821549623075648E-9</v>
      </c>
      <c r="R319" s="5">
        <v>0</v>
      </c>
      <c r="S319" s="5">
        <v>4.0560645050645383E-6</v>
      </c>
      <c r="T319" s="5">
        <v>1.0299764845721988E-5</v>
      </c>
      <c r="U319" s="5">
        <v>1.0299764845721988E-5</v>
      </c>
      <c r="V319" s="5">
        <v>0</v>
      </c>
      <c r="W319" s="5">
        <v>0</v>
      </c>
      <c r="X319" s="5">
        <v>2.0916377880711217</v>
      </c>
      <c r="Y319" s="5">
        <v>3778.3127057650863</v>
      </c>
      <c r="Z319" s="5">
        <f t="shared" ref="Z319:AA319" si="140">Z318+0.0002</f>
        <v>4.0000000000000002E-4</v>
      </c>
      <c r="AA319" s="5">
        <f t="shared" si="140"/>
        <v>6.0000000000000006E-4</v>
      </c>
      <c r="AB319" s="4">
        <v>2</v>
      </c>
    </row>
    <row r="320" spans="1:28" x14ac:dyDescent="0.25">
      <c r="C320" s="4">
        <v>10</v>
      </c>
      <c r="D320" s="5">
        <v>86684204679.198242</v>
      </c>
      <c r="E320" s="5">
        <v>86684204679.198242</v>
      </c>
      <c r="F320" s="5">
        <v>0.22942302635569534</v>
      </c>
      <c r="G320" s="5">
        <v>0</v>
      </c>
      <c r="H320" s="5">
        <v>33197921747.968689</v>
      </c>
      <c r="I320" s="5">
        <v>38691146087.398437</v>
      </c>
      <c r="J320" s="5">
        <v>38691146087.398437</v>
      </c>
      <c r="K320" s="5">
        <v>-6.1056585923706871E-11</v>
      </c>
      <c r="L320" s="5">
        <v>-6.1056585923706871E-11</v>
      </c>
      <c r="M320" s="5">
        <v>0</v>
      </c>
      <c r="N320" s="5">
        <v>2.0000000000000001E-4</v>
      </c>
      <c r="O320" s="5">
        <v>-2.0429157647768186</v>
      </c>
      <c r="P320" s="5">
        <v>-2.0429157647768186</v>
      </c>
      <c r="Q320" s="5">
        <v>1.1267739845254097E-8</v>
      </c>
      <c r="R320" s="5">
        <v>0</v>
      </c>
      <c r="S320" s="5">
        <v>5.3307914126164456E-6</v>
      </c>
      <c r="T320" s="5">
        <v>1.1859112169714871E-5</v>
      </c>
      <c r="U320" s="5">
        <v>1.1859112169714871E-5</v>
      </c>
      <c r="V320" s="5">
        <v>0</v>
      </c>
      <c r="W320" s="5">
        <v>0</v>
      </c>
      <c r="X320" s="5">
        <v>2.4103295647018266</v>
      </c>
      <c r="Y320" s="5">
        <v>4357.3782605013048</v>
      </c>
      <c r="Z320" s="5">
        <f t="shared" ref="Z320:AA320" si="141">Z319+0.0002</f>
        <v>6.0000000000000006E-4</v>
      </c>
      <c r="AA320" s="5">
        <f t="shared" si="141"/>
        <v>8.0000000000000004E-4</v>
      </c>
      <c r="AB320" s="4">
        <v>2</v>
      </c>
    </row>
    <row r="321" spans="1:28" x14ac:dyDescent="0.25">
      <c r="C321" s="4">
        <v>11</v>
      </c>
      <c r="D321" s="5">
        <v>98483378593.009766</v>
      </c>
      <c r="E321" s="5">
        <v>98483378593.009766</v>
      </c>
      <c r="F321" s="5">
        <v>0.2603963279083491</v>
      </c>
      <c r="G321" s="5">
        <v>0</v>
      </c>
      <c r="H321" s="5">
        <v>37700027839.678177</v>
      </c>
      <c r="I321" s="5">
        <v>43853751391.98391</v>
      </c>
      <c r="J321" s="5">
        <v>43853751391.98391</v>
      </c>
      <c r="K321" s="5">
        <v>-6.8693709757463659E-11</v>
      </c>
      <c r="L321" s="5">
        <v>-6.8693709757463659E-11</v>
      </c>
      <c r="M321" s="5">
        <v>0</v>
      </c>
      <c r="N321" s="5">
        <v>2.0000000000000001E-4</v>
      </c>
      <c r="O321" s="5">
        <v>-1.4417783863968019</v>
      </c>
      <c r="P321" s="5">
        <v>-1.4417783863968019</v>
      </c>
      <c r="Q321" s="5">
        <v>1.2677714872256398E-8</v>
      </c>
      <c r="R321" s="5">
        <v>0</v>
      </c>
      <c r="S321" s="5">
        <v>6.9690910360576533E-6</v>
      </c>
      <c r="T321" s="5">
        <v>1.3404361776152866E-5</v>
      </c>
      <c r="U321" s="5">
        <v>1.3404361776152866E-5</v>
      </c>
      <c r="V321" s="5">
        <v>0</v>
      </c>
      <c r="W321" s="5">
        <v>0</v>
      </c>
      <c r="X321" s="5">
        <v>2.7272900426854401</v>
      </c>
      <c r="Y321" s="5">
        <v>4935.2071733467428</v>
      </c>
      <c r="Z321" s="5">
        <f t="shared" ref="Z321:AA321" si="142">Z320+0.0002</f>
        <v>8.0000000000000004E-4</v>
      </c>
      <c r="AA321" s="5">
        <f t="shared" si="142"/>
        <v>1E-3</v>
      </c>
      <c r="AB321" s="4">
        <v>2</v>
      </c>
    </row>
    <row r="322" spans="1:28" x14ac:dyDescent="0.25">
      <c r="B322" t="s">
        <v>191</v>
      </c>
      <c r="C322" s="11">
        <v>12</v>
      </c>
      <c r="D322" s="5">
        <v>110363894045.78874</v>
      </c>
      <c r="E322" s="5">
        <v>110363894045.78874</v>
      </c>
      <c r="F322" s="5">
        <v>0.29149893876567279</v>
      </c>
      <c r="G322" s="5">
        <v>0</v>
      </c>
      <c r="H322" s="5">
        <v>42227659875.529274</v>
      </c>
      <c r="I322" s="5">
        <v>49017632993.776474</v>
      </c>
      <c r="J322" s="5">
        <v>49017632993.776474</v>
      </c>
      <c r="K322" s="5">
        <v>-7.6161005356245923E-11</v>
      </c>
      <c r="L322" s="5">
        <v>-7.6161005356245923E-11</v>
      </c>
      <c r="M322" s="5">
        <v>0</v>
      </c>
      <c r="N322" s="5">
        <v>2.0000000000000001E-4</v>
      </c>
      <c r="O322" s="5">
        <v>-0.54615338404545399</v>
      </c>
      <c r="P322" s="5">
        <v>-0.54615338404545399</v>
      </c>
      <c r="Q322" s="5">
        <v>1.4056542811325247E-8</v>
      </c>
      <c r="R322" s="5">
        <v>0</v>
      </c>
      <c r="S322" s="5">
        <v>8.9200834752335404E-6</v>
      </c>
      <c r="T322" s="5">
        <v>1.4937486559123598E-5</v>
      </c>
      <c r="U322" s="5">
        <v>1.4937486559123598E-5</v>
      </c>
      <c r="V322" s="5">
        <v>0</v>
      </c>
      <c r="W322" s="5">
        <v>0</v>
      </c>
      <c r="X322" s="5">
        <v>3.0427615072607934</v>
      </c>
      <c r="Y322" s="5">
        <v>5511.9725051862815</v>
      </c>
      <c r="Z322" s="5">
        <f t="shared" ref="Z322:AA322" si="143">Z321+0.0002</f>
        <v>1E-3</v>
      </c>
      <c r="AA322" s="5">
        <f t="shared" si="143"/>
        <v>1.2000000000000001E-3</v>
      </c>
      <c r="AB322" s="4">
        <v>2</v>
      </c>
    </row>
    <row r="325" spans="1:28" x14ac:dyDescent="0.25">
      <c r="A325" s="15" t="s">
        <v>256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x14ac:dyDescent="0.25">
      <c r="A326" s="12" t="s">
        <v>170</v>
      </c>
      <c r="C326" s="10" t="s">
        <v>27</v>
      </c>
      <c r="D326" s="10" t="s">
        <v>28</v>
      </c>
      <c r="E326" s="10" t="s">
        <v>29</v>
      </c>
      <c r="F326" s="10" t="s">
        <v>30</v>
      </c>
      <c r="G326" s="10" t="s">
        <v>31</v>
      </c>
      <c r="H326" s="10" t="s">
        <v>47</v>
      </c>
      <c r="I326" s="10" t="s">
        <v>32</v>
      </c>
      <c r="J326" s="10" t="s">
        <v>33</v>
      </c>
      <c r="K326" s="10" t="s">
        <v>34</v>
      </c>
      <c r="L326" s="10" t="s">
        <v>35</v>
      </c>
      <c r="M326" s="10" t="s">
        <v>36</v>
      </c>
      <c r="N326" s="10" t="s">
        <v>37</v>
      </c>
      <c r="O326" s="10" t="s">
        <v>38</v>
      </c>
      <c r="P326" s="10" t="s">
        <v>39</v>
      </c>
      <c r="Q326" s="10" t="s">
        <v>40</v>
      </c>
      <c r="R326" s="10" t="s">
        <v>41</v>
      </c>
      <c r="S326" s="10" t="s">
        <v>42</v>
      </c>
      <c r="T326" s="10" t="s">
        <v>48</v>
      </c>
      <c r="U326" s="10" t="s">
        <v>77</v>
      </c>
      <c r="V326" s="10" t="s">
        <v>78</v>
      </c>
      <c r="W326" s="10" t="s">
        <v>79</v>
      </c>
      <c r="X326" s="10" t="s">
        <v>49</v>
      </c>
      <c r="Y326" s="10" t="s">
        <v>43</v>
      </c>
      <c r="Z326" s="10" t="s">
        <v>44</v>
      </c>
      <c r="AA326" s="10" t="s">
        <v>45</v>
      </c>
      <c r="AB326" s="10" t="s">
        <v>46</v>
      </c>
    </row>
    <row r="327" spans="1:28" x14ac:dyDescent="0.25">
      <c r="B327" t="s">
        <v>190</v>
      </c>
      <c r="C327" s="11">
        <v>1</v>
      </c>
      <c r="D327" s="5">
        <v>137735112544.27563</v>
      </c>
      <c r="E327" s="5">
        <v>137735112544.27563</v>
      </c>
      <c r="F327" s="5">
        <v>0.33297517712287344</v>
      </c>
      <c r="G327" s="5">
        <v>0</v>
      </c>
      <c r="H327" s="5">
        <v>50683843590.550171</v>
      </c>
      <c r="I327" s="5">
        <v>48617525512.860847</v>
      </c>
      <c r="J327" s="5">
        <v>48617525512.860847</v>
      </c>
      <c r="K327" s="5">
        <v>-1.3635586745955749E-11</v>
      </c>
      <c r="L327" s="5">
        <v>-1.3635586745955749E-11</v>
      </c>
      <c r="M327" s="5">
        <v>0</v>
      </c>
      <c r="N327" s="5">
        <v>2.0000000000000001E-4</v>
      </c>
      <c r="O327" s="5">
        <v>105.56757504538025</v>
      </c>
      <c r="P327" s="5">
        <v>105.56757504538025</v>
      </c>
      <c r="Q327" s="5">
        <v>2.5876139516036608E-9</v>
      </c>
      <c r="R327" s="5">
        <v>0</v>
      </c>
      <c r="S327" s="5">
        <v>1.2142708398423945E-4</v>
      </c>
      <c r="T327" s="5">
        <v>1.0306840961155343E-5</v>
      </c>
      <c r="U327" s="5">
        <v>1.0306840961155343E-5</v>
      </c>
      <c r="V327" s="5">
        <v>0</v>
      </c>
      <c r="W327" s="5">
        <v>0</v>
      </c>
      <c r="X327" s="5">
        <v>2.4528869016623522</v>
      </c>
      <c r="Y327" s="5">
        <v>5032.0620726159668</v>
      </c>
      <c r="Z327" s="5">
        <v>-1.1999999999999999E-3</v>
      </c>
      <c r="AA327" s="5">
        <v>-1E-3</v>
      </c>
      <c r="AB327" s="4">
        <v>2</v>
      </c>
    </row>
    <row r="328" spans="1:28" x14ac:dyDescent="0.25">
      <c r="C328" s="4">
        <v>2</v>
      </c>
      <c r="D328" s="5">
        <v>113960878326.34882</v>
      </c>
      <c r="E328" s="5">
        <v>113960878326.34882</v>
      </c>
      <c r="F328" s="5">
        <v>0.27889300534137929</v>
      </c>
      <c r="G328" s="5">
        <v>0</v>
      </c>
      <c r="H328" s="5">
        <v>42157359312.880714</v>
      </c>
      <c r="I328" s="5">
        <v>41607867965.644035</v>
      </c>
      <c r="J328" s="5">
        <v>41607867965.644035</v>
      </c>
      <c r="K328" s="5">
        <v>-2.0243180612189392E-11</v>
      </c>
      <c r="L328" s="5">
        <v>-2.0243180612189392E-11</v>
      </c>
      <c r="M328" s="5">
        <v>0</v>
      </c>
      <c r="N328" s="5">
        <v>2.0000000000000001E-4</v>
      </c>
      <c r="O328" s="5">
        <v>75.650920211372721</v>
      </c>
      <c r="P328" s="5">
        <v>75.650920211372721</v>
      </c>
      <c r="Q328" s="5">
        <v>3.787069608061489E-9</v>
      </c>
      <c r="R328" s="5">
        <v>0</v>
      </c>
      <c r="S328" s="5">
        <v>8.8327651582788752E-5</v>
      </c>
      <c r="T328" s="5">
        <v>9.4452543263816592E-6</v>
      </c>
      <c r="U328" s="5">
        <v>9.4452543263816592E-6</v>
      </c>
      <c r="V328" s="5">
        <v>0</v>
      </c>
      <c r="W328" s="5">
        <v>0</v>
      </c>
      <c r="X328" s="5">
        <v>2.1774873734152917</v>
      </c>
      <c r="Y328" s="5">
        <v>4366.7766952966367</v>
      </c>
      <c r="Z328" s="5">
        <f t="shared" ref="Z328:AA328" si="144">Z327+0.0002</f>
        <v>-9.999999999999998E-4</v>
      </c>
      <c r="AA328" s="5">
        <f t="shared" si="144"/>
        <v>-8.0000000000000004E-4</v>
      </c>
      <c r="AB328" s="4">
        <v>2</v>
      </c>
    </row>
    <row r="329" spans="1:28" x14ac:dyDescent="0.25">
      <c r="C329" s="4">
        <v>3</v>
      </c>
      <c r="D329" s="5">
        <v>91966583075.255219</v>
      </c>
      <c r="E329" s="5">
        <v>91966583075.255219</v>
      </c>
      <c r="F329" s="5">
        <v>0.22764041698156451</v>
      </c>
      <c r="G329" s="5">
        <v>0</v>
      </c>
      <c r="H329" s="5">
        <v>34189441091.615009</v>
      </c>
      <c r="I329" s="5">
        <v>34626138721.247414</v>
      </c>
      <c r="J329" s="5">
        <v>34626138721.247414</v>
      </c>
      <c r="K329" s="5">
        <v>-2.3134544161946026E-11</v>
      </c>
      <c r="L329" s="5">
        <v>-2.3134544161946026E-11</v>
      </c>
      <c r="M329" s="5">
        <v>0</v>
      </c>
      <c r="N329" s="5">
        <v>2.0000000000000001E-4</v>
      </c>
      <c r="O329" s="5">
        <v>52.178328322455926</v>
      </c>
      <c r="P329" s="5">
        <v>52.178328322455926</v>
      </c>
      <c r="Q329" s="5">
        <v>4.3049557218243807E-9</v>
      </c>
      <c r="R329" s="5">
        <v>0</v>
      </c>
      <c r="S329" s="5">
        <v>6.2070653372283828E-5</v>
      </c>
      <c r="T329" s="5">
        <v>8.3183488148162042E-6</v>
      </c>
      <c r="U329" s="5">
        <v>8.3183488148162042E-6</v>
      </c>
      <c r="V329" s="5">
        <v>0</v>
      </c>
      <c r="W329" s="5">
        <v>0</v>
      </c>
      <c r="X329" s="5">
        <v>1.8695048252113469</v>
      </c>
      <c r="Y329" s="5">
        <v>3678.2177322938196</v>
      </c>
      <c r="Z329" s="5">
        <f t="shared" ref="Z329:AA329" si="145">Z328+0.0002</f>
        <v>-7.9999999999999982E-4</v>
      </c>
      <c r="AA329" s="5">
        <f t="shared" si="145"/>
        <v>-6.0000000000000006E-4</v>
      </c>
      <c r="AB329" s="4">
        <v>2</v>
      </c>
    </row>
    <row r="330" spans="1:28" x14ac:dyDescent="0.25">
      <c r="C330" s="4">
        <v>4</v>
      </c>
      <c r="D330" s="5">
        <v>70708619853.848785</v>
      </c>
      <c r="E330" s="5">
        <v>70708619853.848785</v>
      </c>
      <c r="F330" s="5">
        <v>0.1775583816254637</v>
      </c>
      <c r="G330" s="5">
        <v>0</v>
      </c>
      <c r="H330" s="5">
        <v>26452592634.925476</v>
      </c>
      <c r="I330" s="5">
        <v>27655962965.079609</v>
      </c>
      <c r="J330" s="5">
        <v>27655962965.079609</v>
      </c>
      <c r="K330" s="5">
        <v>-2.4488563194443772E-11</v>
      </c>
      <c r="L330" s="5">
        <v>-2.4488563194443772E-11</v>
      </c>
      <c r="M330" s="5">
        <v>0</v>
      </c>
      <c r="N330" s="5">
        <v>2.0000000000000001E-4</v>
      </c>
      <c r="O330" s="5">
        <v>31.371541293259966</v>
      </c>
      <c r="P330" s="5">
        <v>31.371541293259966</v>
      </c>
      <c r="Q330" s="5">
        <v>4.5408875135026197E-9</v>
      </c>
      <c r="R330" s="5">
        <v>0</v>
      </c>
      <c r="S330" s="5">
        <v>3.8644259777837064E-5</v>
      </c>
      <c r="T330" s="5">
        <v>7.0816851650770654E-6</v>
      </c>
      <c r="U330" s="5">
        <v>7.0816851650770654E-6</v>
      </c>
      <c r="V330" s="5">
        <v>0</v>
      </c>
      <c r="W330" s="5">
        <v>0</v>
      </c>
      <c r="X330" s="5">
        <v>1.5480432074071251</v>
      </c>
      <c r="Y330" s="5">
        <v>2980.0308624336617</v>
      </c>
      <c r="Z330" s="5">
        <f t="shared" ref="Z330:AA330" si="146">Z329+0.0002</f>
        <v>-5.9999999999999984E-4</v>
      </c>
      <c r="AA330" s="5">
        <f t="shared" si="146"/>
        <v>-4.0000000000000007E-4</v>
      </c>
      <c r="AB330" s="4">
        <v>2</v>
      </c>
    </row>
    <row r="331" spans="1:28" x14ac:dyDescent="0.25">
      <c r="C331" s="4">
        <v>5</v>
      </c>
      <c r="D331" s="5">
        <v>49883357198.509964</v>
      </c>
      <c r="E331" s="5">
        <v>49883357198.509964</v>
      </c>
      <c r="F331" s="5">
        <v>0.12816421387106752</v>
      </c>
      <c r="G331" s="5">
        <v>0</v>
      </c>
      <c r="H331" s="5">
        <v>18851530771.650467</v>
      </c>
      <c r="I331" s="5">
        <v>20692576538.58252</v>
      </c>
      <c r="J331" s="5">
        <v>20692576538.58252</v>
      </c>
      <c r="K331" s="5">
        <v>-2.493917205864898E-11</v>
      </c>
      <c r="L331" s="5">
        <v>-2.493917205864898E-11</v>
      </c>
      <c r="M331" s="5">
        <v>0</v>
      </c>
      <c r="N331" s="5">
        <v>2.0000000000000001E-4</v>
      </c>
      <c r="O331" s="5">
        <v>12.131296564712081</v>
      </c>
      <c r="P331" s="5">
        <v>12.131296564712081</v>
      </c>
      <c r="Q331" s="5">
        <v>4.611130743699875E-9</v>
      </c>
      <c r="R331" s="5">
        <v>0</v>
      </c>
      <c r="S331" s="5">
        <v>1.6881251952718213E-5</v>
      </c>
      <c r="T331" s="5">
        <v>5.7805228834660283E-6</v>
      </c>
      <c r="U331" s="5">
        <v>5.7805228834660283E-6</v>
      </c>
      <c r="V331" s="5">
        <v>0</v>
      </c>
      <c r="W331" s="5">
        <v>0</v>
      </c>
      <c r="X331" s="5">
        <v>1.2186607049870559</v>
      </c>
      <c r="Y331" s="5">
        <v>2276.1862178478968</v>
      </c>
      <c r="Z331" s="5">
        <f t="shared" ref="Z331:AA331" si="147">Z330+0.0002</f>
        <v>-3.9999999999999986E-4</v>
      </c>
      <c r="AA331" s="5">
        <f t="shared" si="147"/>
        <v>-2.0000000000000006E-4</v>
      </c>
      <c r="AB331" s="4">
        <v>2</v>
      </c>
    </row>
    <row r="332" spans="1:28" x14ac:dyDescent="0.25">
      <c r="C332" s="4">
        <v>6</v>
      </c>
      <c r="D332" s="5">
        <v>29351771580.736374</v>
      </c>
      <c r="E332" s="5">
        <v>29351771580.736374</v>
      </c>
      <c r="F332" s="5">
        <v>7.9236906886791386E-2</v>
      </c>
      <c r="G332" s="5">
        <v>0</v>
      </c>
      <c r="H332" s="5">
        <v>11342628262.030716</v>
      </c>
      <c r="I332" s="5">
        <v>13733798079.768204</v>
      </c>
      <c r="J332" s="5">
        <v>13733798079.768204</v>
      </c>
      <c r="K332" s="5">
        <v>-2.4776629837008387E-11</v>
      </c>
      <c r="L332" s="5">
        <v>-2.4776629837008387E-11</v>
      </c>
      <c r="M332" s="5">
        <v>0</v>
      </c>
      <c r="N332" s="5">
        <v>2.0000000000000001E-4</v>
      </c>
      <c r="O332" s="5">
        <v>-6.0457244517525268</v>
      </c>
      <c r="P332" s="5">
        <v>-6.0457244517525268</v>
      </c>
      <c r="Q332" s="5">
        <v>4.5689199359087106E-9</v>
      </c>
      <c r="R332" s="5">
        <v>0</v>
      </c>
      <c r="S332" s="5">
        <v>-3.7528037901238297E-6</v>
      </c>
      <c r="T332" s="5">
        <v>4.435584908868746E-6</v>
      </c>
      <c r="U332" s="5">
        <v>4.435584908868746E-6</v>
      </c>
      <c r="V332" s="5">
        <v>0</v>
      </c>
      <c r="W332" s="5">
        <v>0</v>
      </c>
      <c r="X332" s="5">
        <v>0.88390224027043063</v>
      </c>
      <c r="Y332" s="5">
        <v>1568.5016001931654</v>
      </c>
      <c r="Z332" s="5">
        <f t="shared" ref="Z332:AA332" si="148">Z331+0.0002</f>
        <v>-1.9999999999999985E-4</v>
      </c>
      <c r="AA332" s="5">
        <f t="shared" si="148"/>
        <v>0</v>
      </c>
      <c r="AB332" s="4">
        <v>2</v>
      </c>
    </row>
    <row r="333" spans="1:28" x14ac:dyDescent="0.25">
      <c r="C333" s="4">
        <v>7</v>
      </c>
      <c r="D333" s="5">
        <v>27096527509.19545</v>
      </c>
      <c r="E333" s="5">
        <v>27096527509.19545</v>
      </c>
      <c r="F333" s="5">
        <v>7.5651727082549997E-2</v>
      </c>
      <c r="G333" s="5">
        <v>0</v>
      </c>
      <c r="H333" s="5">
        <v>10634905800.338821</v>
      </c>
      <c r="I333" s="5">
        <v>13698411956.683609</v>
      </c>
      <c r="J333" s="5">
        <v>13698411956.683609</v>
      </c>
      <c r="K333" s="5">
        <v>-2.9485221842624482E-11</v>
      </c>
      <c r="L333" s="5">
        <v>-2.9485221842624482E-11</v>
      </c>
      <c r="M333" s="5">
        <v>0</v>
      </c>
      <c r="N333" s="5">
        <v>2.0000000000000001E-4</v>
      </c>
      <c r="O333" s="5">
        <v>-14.210574496812605</v>
      </c>
      <c r="P333" s="5">
        <v>-14.210574496812605</v>
      </c>
      <c r="Q333" s="5">
        <v>5.4324920578452092E-9</v>
      </c>
      <c r="R333" s="5">
        <v>0</v>
      </c>
      <c r="S333" s="5">
        <v>-1.2422403945849437E-5</v>
      </c>
      <c r="T333" s="5">
        <v>4.7717530781723916E-6</v>
      </c>
      <c r="U333" s="5">
        <v>4.7717530781723916E-6</v>
      </c>
      <c r="V333" s="5">
        <v>0</v>
      </c>
      <c r="W333" s="5">
        <v>0</v>
      </c>
      <c r="X333" s="5">
        <v>0.92518605053579073</v>
      </c>
      <c r="Y333" s="5">
        <v>1597.9900360969932</v>
      </c>
      <c r="Z333" s="5">
        <f t="shared" ref="Z333:AA333" si="149">Z332+0.0002</f>
        <v>0</v>
      </c>
      <c r="AA333" s="5">
        <f t="shared" si="149"/>
        <v>2.0000000000000001E-4</v>
      </c>
      <c r="AB333" s="4">
        <v>2</v>
      </c>
    </row>
    <row r="334" spans="1:28" x14ac:dyDescent="0.25">
      <c r="C334" s="4">
        <v>8</v>
      </c>
      <c r="D334" s="5">
        <v>43069199903.97084</v>
      </c>
      <c r="E334" s="5">
        <v>43069199903.97084</v>
      </c>
      <c r="F334" s="5">
        <v>0.11733169271577926</v>
      </c>
      <c r="G334" s="5">
        <v>0</v>
      </c>
      <c r="H334" s="5">
        <v>16713167019.494858</v>
      </c>
      <c r="I334" s="5">
        <v>20585658350.974747</v>
      </c>
      <c r="J334" s="5">
        <v>20585658350.974747</v>
      </c>
      <c r="K334" s="5">
        <v>-3.9166051963560944E-11</v>
      </c>
      <c r="L334" s="5">
        <v>-3.9166051963560944E-11</v>
      </c>
      <c r="M334" s="5">
        <v>0</v>
      </c>
      <c r="N334" s="5">
        <v>2.0000000000000001E-4</v>
      </c>
      <c r="O334" s="5">
        <v>-12.538570965567949</v>
      </c>
      <c r="P334" s="5">
        <v>-12.538570965567949</v>
      </c>
      <c r="Q334" s="5">
        <v>7.2203899136102657E-9</v>
      </c>
      <c r="R334" s="5">
        <v>0</v>
      </c>
      <c r="S334" s="5">
        <v>-9.3137040111879529E-6</v>
      </c>
      <c r="T334" s="5">
        <v>6.7962456657399402E-6</v>
      </c>
      <c r="U334" s="5">
        <v>6.7962456657399402E-6</v>
      </c>
      <c r="V334" s="5">
        <v>0</v>
      </c>
      <c r="W334" s="5">
        <v>0</v>
      </c>
      <c r="X334" s="5">
        <v>1.3433985905294665</v>
      </c>
      <c r="Y334" s="5">
        <v>2365.2847075210475</v>
      </c>
      <c r="Z334" s="5">
        <f t="shared" ref="Z334:AA334" si="150">Z333+0.0002</f>
        <v>2.0000000000000001E-4</v>
      </c>
      <c r="AA334" s="5">
        <f t="shared" si="150"/>
        <v>4.0000000000000002E-4</v>
      </c>
      <c r="AB334" s="4">
        <v>2</v>
      </c>
    </row>
    <row r="335" spans="1:28" x14ac:dyDescent="0.25">
      <c r="C335" s="4">
        <v>9</v>
      </c>
      <c r="D335" s="5">
        <v>59176985575.983894</v>
      </c>
      <c r="E335" s="5">
        <v>59176985575.983894</v>
      </c>
      <c r="F335" s="5">
        <v>0.15922644902242164</v>
      </c>
      <c r="G335" s="5">
        <v>0</v>
      </c>
      <c r="H335" s="5">
        <v>22833828394.97126</v>
      </c>
      <c r="I335" s="5">
        <v>27475024753.081898</v>
      </c>
      <c r="J335" s="5">
        <v>27475024753.081898</v>
      </c>
      <c r="K335" s="5">
        <v>-4.8564786986639969E-11</v>
      </c>
      <c r="L335" s="5">
        <v>-4.8564786986639969E-11</v>
      </c>
      <c r="M335" s="5">
        <v>0</v>
      </c>
      <c r="N335" s="5">
        <v>2.0000000000000001E-4</v>
      </c>
      <c r="O335" s="5">
        <v>-10.377405457727008</v>
      </c>
      <c r="P335" s="5">
        <v>-10.377405457727008</v>
      </c>
      <c r="Q335" s="5">
        <v>8.9565505490015734E-9</v>
      </c>
      <c r="R335" s="5">
        <v>0</v>
      </c>
      <c r="S335" s="5">
        <v>-5.6856021616021269E-6</v>
      </c>
      <c r="T335" s="5">
        <v>8.8005981790553209E-6</v>
      </c>
      <c r="U335" s="5">
        <v>8.8005981790553209E-6</v>
      </c>
      <c r="V335" s="5">
        <v>0</v>
      </c>
      <c r="W335" s="5">
        <v>0</v>
      </c>
      <c r="X335" s="5">
        <v>1.7591377880711212</v>
      </c>
      <c r="Y335" s="5">
        <v>3130.8127057650868</v>
      </c>
      <c r="Z335" s="5">
        <f t="shared" ref="Z335:AA335" si="151">Z334+0.0002</f>
        <v>4.0000000000000002E-4</v>
      </c>
      <c r="AA335" s="5">
        <f t="shared" si="151"/>
        <v>6.0000000000000006E-4</v>
      </c>
      <c r="AB335" s="4">
        <v>2</v>
      </c>
    </row>
    <row r="336" spans="1:28" x14ac:dyDescent="0.25">
      <c r="C336" s="4">
        <v>10</v>
      </c>
      <c r="D336" s="5">
        <v>75396617364.953873</v>
      </c>
      <c r="E336" s="5">
        <v>75396617364.953873</v>
      </c>
      <c r="F336" s="5">
        <v>0.20129900800894107</v>
      </c>
      <c r="G336" s="5">
        <v>0</v>
      </c>
      <c r="H336" s="5">
        <v>28989588414.635357</v>
      </c>
      <c r="I336" s="5">
        <v>34366146087.398437</v>
      </c>
      <c r="J336" s="5">
        <v>34366146087.398437</v>
      </c>
      <c r="K336" s="5">
        <v>-5.7730005053036391E-11</v>
      </c>
      <c r="L336" s="5">
        <v>-5.7730005053036391E-11</v>
      </c>
      <c r="M336" s="5">
        <v>0</v>
      </c>
      <c r="N336" s="5">
        <v>2.0000000000000001E-4</v>
      </c>
      <c r="O336" s="5">
        <v>-7.8113140331750905</v>
      </c>
      <c r="P336" s="5">
        <v>-7.8113140331750905</v>
      </c>
      <c r="Q336" s="5">
        <v>1.0649883363772615E-8</v>
      </c>
      <c r="R336" s="5">
        <v>0</v>
      </c>
      <c r="S336" s="5">
        <v>-1.6275419207168886E-6</v>
      </c>
      <c r="T336" s="5">
        <v>1.0788278836381538E-5</v>
      </c>
      <c r="U336" s="5">
        <v>1.0788278836381538E-5</v>
      </c>
      <c r="V336" s="5">
        <v>0</v>
      </c>
      <c r="W336" s="5">
        <v>0</v>
      </c>
      <c r="X336" s="5">
        <v>2.1728295647018263</v>
      </c>
      <c r="Y336" s="5">
        <v>3894.8782605013048</v>
      </c>
      <c r="Z336" s="5">
        <f t="shared" ref="Z336:AA336" si="152">Z335+0.0002</f>
        <v>6.0000000000000006E-4</v>
      </c>
      <c r="AA336" s="5">
        <f t="shared" si="152"/>
        <v>8.0000000000000004E-4</v>
      </c>
      <c r="AB336" s="4">
        <v>2</v>
      </c>
    </row>
    <row r="337" spans="1:28" x14ac:dyDescent="0.25">
      <c r="C337" s="4">
        <v>11</v>
      </c>
      <c r="D337" s="5">
        <v>91710826204.463135</v>
      </c>
      <c r="E337" s="5">
        <v>91710826204.463135</v>
      </c>
      <c r="F337" s="5">
        <v>0.24352191690029651</v>
      </c>
      <c r="G337" s="5">
        <v>0</v>
      </c>
      <c r="H337" s="5">
        <v>35175027839.678177</v>
      </c>
      <c r="I337" s="5">
        <v>41258751391.98391</v>
      </c>
      <c r="J337" s="5">
        <v>41258751391.98391</v>
      </c>
      <c r="K337" s="5">
        <v>-6.6697761235061368E-11</v>
      </c>
      <c r="L337" s="5">
        <v>-6.6697761235061368E-11</v>
      </c>
      <c r="M337" s="5">
        <v>0</v>
      </c>
      <c r="N337" s="5">
        <v>2.0000000000000001E-4</v>
      </c>
      <c r="O337" s="5">
        <v>-4.9028173474357644</v>
      </c>
      <c r="P337" s="5">
        <v>-4.9028173474357644</v>
      </c>
      <c r="Q337" s="5">
        <v>1.230700098336751E-8</v>
      </c>
      <c r="R337" s="5">
        <v>0</v>
      </c>
      <c r="S337" s="5">
        <v>2.7940910360576535E-6</v>
      </c>
      <c r="T337" s="5">
        <v>1.2761861776152865E-5</v>
      </c>
      <c r="U337" s="5">
        <v>1.2761861776152865E-5</v>
      </c>
      <c r="V337" s="5">
        <v>0</v>
      </c>
      <c r="W337" s="5">
        <v>0</v>
      </c>
      <c r="X337" s="5">
        <v>2.58479004268544</v>
      </c>
      <c r="Y337" s="5">
        <v>4657.7071733467428</v>
      </c>
      <c r="Z337" s="5">
        <f t="shared" ref="Z337:AA337" si="153">Z336+0.0002</f>
        <v>8.0000000000000004E-4</v>
      </c>
      <c r="AA337" s="5">
        <f t="shared" si="153"/>
        <v>1E-3</v>
      </c>
      <c r="AB337" s="4">
        <v>2</v>
      </c>
    </row>
    <row r="338" spans="1:28" x14ac:dyDescent="0.25">
      <c r="B338" t="s">
        <v>191</v>
      </c>
      <c r="C338" s="11">
        <v>12</v>
      </c>
      <c r="D338" s="5">
        <v>108106376582.93987</v>
      </c>
      <c r="E338" s="5">
        <v>108106376582.93987</v>
      </c>
      <c r="F338" s="5">
        <v>0.28587413509632198</v>
      </c>
      <c r="G338" s="5">
        <v>0</v>
      </c>
      <c r="H338" s="5">
        <v>41385993208.86261</v>
      </c>
      <c r="I338" s="5">
        <v>48152632993.776474</v>
      </c>
      <c r="J338" s="5">
        <v>48152632993.776474</v>
      </c>
      <c r="K338" s="5">
        <v>-7.5495689182111822E-11</v>
      </c>
      <c r="L338" s="5">
        <v>-7.5495689182111822E-11</v>
      </c>
      <c r="M338" s="5">
        <v>0</v>
      </c>
      <c r="N338" s="5">
        <v>2.0000000000000001E-4</v>
      </c>
      <c r="O338" s="5">
        <v>-1.6998330377251056</v>
      </c>
      <c r="P338" s="5">
        <v>-1.6998330377251056</v>
      </c>
      <c r="Q338" s="5">
        <v>1.3932971515028951E-8</v>
      </c>
      <c r="R338" s="5">
        <v>0</v>
      </c>
      <c r="S338" s="5">
        <v>7.5284168085668757E-6</v>
      </c>
      <c r="T338" s="5">
        <v>1.4723319892456933E-5</v>
      </c>
      <c r="U338" s="5">
        <v>1.4723319892456933E-5</v>
      </c>
      <c r="V338" s="5">
        <v>0</v>
      </c>
      <c r="W338" s="5">
        <v>0</v>
      </c>
      <c r="X338" s="5">
        <v>2.9952615072607935</v>
      </c>
      <c r="Y338" s="5">
        <v>5419.4725051862815</v>
      </c>
      <c r="Z338" s="5">
        <f t="shared" ref="Z338:AA338" si="154">Z337+0.0002</f>
        <v>1E-3</v>
      </c>
      <c r="AA338" s="5">
        <f t="shared" si="154"/>
        <v>1.2000000000000001E-3</v>
      </c>
      <c r="AB338" s="4">
        <v>2</v>
      </c>
    </row>
    <row r="339" spans="1:28" x14ac:dyDescent="0.25">
      <c r="A339" t="s">
        <v>169</v>
      </c>
    </row>
    <row r="340" spans="1:28" x14ac:dyDescent="0.25">
      <c r="A340" t="s">
        <v>169</v>
      </c>
    </row>
    <row r="341" spans="1:28" x14ac:dyDescent="0.25">
      <c r="A341" t="s">
        <v>169</v>
      </c>
    </row>
    <row r="343" spans="1:28" x14ac:dyDescent="0.25">
      <c r="A343" s="15" t="s">
        <v>166</v>
      </c>
      <c r="C343" s="10" t="s">
        <v>27</v>
      </c>
      <c r="D343" s="10" t="s">
        <v>28</v>
      </c>
      <c r="E343" s="10" t="s">
        <v>29</v>
      </c>
      <c r="F343" s="10" t="s">
        <v>30</v>
      </c>
      <c r="G343" s="10" t="s">
        <v>31</v>
      </c>
      <c r="H343" s="10" t="s">
        <v>47</v>
      </c>
      <c r="I343" s="10" t="s">
        <v>32</v>
      </c>
      <c r="J343" s="10" t="s">
        <v>33</v>
      </c>
      <c r="K343" s="10" t="s">
        <v>34</v>
      </c>
      <c r="L343" s="10" t="s">
        <v>35</v>
      </c>
      <c r="M343" s="10" t="s">
        <v>36</v>
      </c>
      <c r="N343" s="10" t="s">
        <v>37</v>
      </c>
      <c r="O343" s="10" t="s">
        <v>38</v>
      </c>
      <c r="P343" s="10" t="s">
        <v>39</v>
      </c>
      <c r="Q343" s="10" t="s">
        <v>40</v>
      </c>
      <c r="R343" s="10" t="s">
        <v>41</v>
      </c>
      <c r="S343" s="10" t="s">
        <v>42</v>
      </c>
      <c r="T343" s="10" t="s">
        <v>48</v>
      </c>
      <c r="U343" s="10" t="s">
        <v>77</v>
      </c>
      <c r="V343" s="10" t="s">
        <v>78</v>
      </c>
      <c r="W343" s="10" t="s">
        <v>79</v>
      </c>
      <c r="X343" s="10" t="s">
        <v>49</v>
      </c>
      <c r="Y343" s="10" t="s">
        <v>43</v>
      </c>
      <c r="Z343" s="10" t="s">
        <v>44</v>
      </c>
      <c r="AA343" s="10" t="s">
        <v>45</v>
      </c>
      <c r="AB343" s="10" t="s">
        <v>46</v>
      </c>
    </row>
    <row r="344" spans="1:28" x14ac:dyDescent="0.25">
      <c r="A344" s="12" t="s">
        <v>171</v>
      </c>
      <c r="B344" t="s">
        <v>190</v>
      </c>
      <c r="C344" s="11">
        <v>1</v>
      </c>
      <c r="D344" s="5">
        <v>154504392701.54126</v>
      </c>
      <c r="E344" s="5">
        <v>154504392701.54126</v>
      </c>
      <c r="F344" s="5">
        <v>0.3677774772354705</v>
      </c>
      <c r="G344" s="5">
        <v>0</v>
      </c>
      <c r="H344" s="5">
        <v>56479166666.666664</v>
      </c>
      <c r="I344" s="5">
        <v>52198958333.333336</v>
      </c>
      <c r="J344" s="5">
        <v>52198958333.333336</v>
      </c>
      <c r="K344" s="5">
        <v>-1.3860753627793601E-13</v>
      </c>
      <c r="L344" s="5">
        <v>-1.3860753627793601E-13</v>
      </c>
      <c r="M344" s="5">
        <v>0</v>
      </c>
      <c r="N344" s="5">
        <v>2.0000000000000001E-4</v>
      </c>
      <c r="O344" s="5">
        <v>138.20120851370848</v>
      </c>
      <c r="P344" s="5">
        <v>138.20120851370848</v>
      </c>
      <c r="Q344" s="5">
        <v>1.1842110339506163E-10</v>
      </c>
      <c r="R344" s="5">
        <v>0</v>
      </c>
      <c r="S344" s="5">
        <v>1.5674479166666666E-4</v>
      </c>
      <c r="T344" s="5">
        <v>1.0009895833333335E-5</v>
      </c>
      <c r="U344" s="5">
        <v>1.0009895833333335E-5</v>
      </c>
      <c r="V344" s="5">
        <v>0</v>
      </c>
      <c r="W344" s="5">
        <v>0</v>
      </c>
      <c r="X344" s="5">
        <v>2.5012152777777779</v>
      </c>
      <c r="Y344" s="5">
        <v>5300.8680555555557</v>
      </c>
      <c r="Z344" s="5">
        <v>-1.1999999999999999E-3</v>
      </c>
      <c r="AA344" s="5">
        <v>-1E-3</v>
      </c>
      <c r="AB344" s="4">
        <v>2</v>
      </c>
    </row>
    <row r="345" spans="1:28" x14ac:dyDescent="0.25">
      <c r="C345" s="4">
        <v>2</v>
      </c>
      <c r="D345" s="5">
        <v>153973289010.0957</v>
      </c>
      <c r="E345" s="5">
        <v>153973289010.0957</v>
      </c>
      <c r="F345" s="5">
        <v>0.36693317738670622</v>
      </c>
      <c r="G345" s="5">
        <v>0</v>
      </c>
      <c r="H345" s="5">
        <v>56312500000</v>
      </c>
      <c r="I345" s="5">
        <v>52190625000</v>
      </c>
      <c r="J345" s="5">
        <v>52190625000</v>
      </c>
      <c r="K345" s="5">
        <v>-1.2474678265014296E-12</v>
      </c>
      <c r="L345" s="5">
        <v>-1.2474678265014296E-12</v>
      </c>
      <c r="M345" s="5">
        <v>0</v>
      </c>
      <c r="N345" s="5">
        <v>2.0000000000000001E-4</v>
      </c>
      <c r="O345" s="5">
        <v>136.27840909090907</v>
      </c>
      <c r="P345" s="5">
        <v>136.27840909090907</v>
      </c>
      <c r="Q345" s="5">
        <v>3.2178993055555557E-10</v>
      </c>
      <c r="R345" s="5">
        <v>0</v>
      </c>
      <c r="S345" s="5">
        <v>1.54703125E-4</v>
      </c>
      <c r="T345" s="5">
        <v>1.00890625E-5</v>
      </c>
      <c r="U345" s="5">
        <v>1.00890625E-5</v>
      </c>
      <c r="V345" s="5">
        <v>0</v>
      </c>
      <c r="W345" s="5">
        <v>0</v>
      </c>
      <c r="X345" s="5">
        <v>2.5109374999999998</v>
      </c>
      <c r="Y345" s="5">
        <v>5307.8125</v>
      </c>
      <c r="Z345" s="5">
        <f t="shared" ref="Z345:AA345" si="155">Z344+0.0002</f>
        <v>-9.999999999999998E-4</v>
      </c>
      <c r="AA345" s="5">
        <f t="shared" si="155"/>
        <v>-8.0000000000000004E-4</v>
      </c>
      <c r="AB345" s="4">
        <v>2</v>
      </c>
    </row>
    <row r="346" spans="1:28" x14ac:dyDescent="0.25">
      <c r="C346" s="4">
        <v>3</v>
      </c>
      <c r="D346" s="5">
        <v>152911081627.20462</v>
      </c>
      <c r="E346" s="5">
        <v>152911081627.20462</v>
      </c>
      <c r="F346" s="5">
        <v>0.36524457768917762</v>
      </c>
      <c r="G346" s="5">
        <v>0</v>
      </c>
      <c r="H346" s="5">
        <v>55979166666.666664</v>
      </c>
      <c r="I346" s="5">
        <v>52173958333.333336</v>
      </c>
      <c r="J346" s="5">
        <v>52173958333.333336</v>
      </c>
      <c r="K346" s="5">
        <v>-3.4651884069484149E-12</v>
      </c>
      <c r="L346" s="5">
        <v>-3.4651884069484149E-12</v>
      </c>
      <c r="M346" s="5">
        <v>0</v>
      </c>
      <c r="N346" s="5">
        <v>2.0000000000000001E-4</v>
      </c>
      <c r="O346" s="5">
        <v>132.43281024531021</v>
      </c>
      <c r="P346" s="5">
        <v>132.43281024531021</v>
      </c>
      <c r="Q346" s="5">
        <v>7.2852758487654315E-10</v>
      </c>
      <c r="R346" s="5">
        <v>0</v>
      </c>
      <c r="S346" s="5">
        <v>1.5061979166666666E-4</v>
      </c>
      <c r="T346" s="5">
        <v>1.0247395833333334E-5</v>
      </c>
      <c r="U346" s="5">
        <v>1.0247395833333334E-5</v>
      </c>
      <c r="V346" s="5">
        <v>0</v>
      </c>
      <c r="W346" s="5">
        <v>0</v>
      </c>
      <c r="X346" s="5">
        <v>2.5303819444444446</v>
      </c>
      <c r="Y346" s="5">
        <v>5321.7013888888887</v>
      </c>
      <c r="Z346" s="5">
        <f t="shared" ref="Z346:AA346" si="156">Z345+0.0002</f>
        <v>-7.9999999999999982E-4</v>
      </c>
      <c r="AA346" s="5">
        <f t="shared" si="156"/>
        <v>-6.0000000000000006E-4</v>
      </c>
      <c r="AB346" s="4">
        <v>2</v>
      </c>
    </row>
    <row r="347" spans="1:28" x14ac:dyDescent="0.25">
      <c r="C347" s="4">
        <v>4</v>
      </c>
      <c r="D347" s="5">
        <v>151317770552.86798</v>
      </c>
      <c r="E347" s="5">
        <v>151317770552.86798</v>
      </c>
      <c r="F347" s="5">
        <v>0.36271167814288469</v>
      </c>
      <c r="G347" s="5">
        <v>0</v>
      </c>
      <c r="H347" s="5">
        <v>55479166666.666664</v>
      </c>
      <c r="I347" s="5">
        <v>52148958333.333336</v>
      </c>
      <c r="J347" s="5">
        <v>52148958333.333336</v>
      </c>
      <c r="K347" s="5">
        <v>-6.7917692776188928E-12</v>
      </c>
      <c r="L347" s="5">
        <v>-6.7917692776188928E-12</v>
      </c>
      <c r="M347" s="5">
        <v>0</v>
      </c>
      <c r="N347" s="5">
        <v>2.0000000000000001E-4</v>
      </c>
      <c r="O347" s="5">
        <v>126.66441197691195</v>
      </c>
      <c r="P347" s="5">
        <v>126.66441197691195</v>
      </c>
      <c r="Q347" s="5">
        <v>1.3386340663580246E-9</v>
      </c>
      <c r="R347" s="5">
        <v>0</v>
      </c>
      <c r="S347" s="5">
        <v>1.4449479166666666E-4</v>
      </c>
      <c r="T347" s="5">
        <v>1.0484895833333334E-5</v>
      </c>
      <c r="U347" s="5">
        <v>1.0484895833333334E-5</v>
      </c>
      <c r="V347" s="5">
        <v>0</v>
      </c>
      <c r="W347" s="5">
        <v>0</v>
      </c>
      <c r="X347" s="5">
        <v>2.559548611111111</v>
      </c>
      <c r="Y347" s="5">
        <v>5342.5347222222226</v>
      </c>
      <c r="Z347" s="5">
        <f t="shared" ref="Z347:AA347" si="157">Z346+0.0002</f>
        <v>-5.9999999999999984E-4</v>
      </c>
      <c r="AA347" s="5">
        <f t="shared" si="157"/>
        <v>-4.0000000000000007E-4</v>
      </c>
      <c r="AB347" s="4">
        <v>2</v>
      </c>
    </row>
    <row r="348" spans="1:28" x14ac:dyDescent="0.25">
      <c r="C348" s="4">
        <v>5</v>
      </c>
      <c r="D348" s="5">
        <v>149193355787.08582</v>
      </c>
      <c r="E348" s="5">
        <v>149193355787.08582</v>
      </c>
      <c r="F348" s="5">
        <v>0.35933447874782748</v>
      </c>
      <c r="G348" s="5">
        <v>0</v>
      </c>
      <c r="H348" s="5">
        <v>54812500000</v>
      </c>
      <c r="I348" s="5">
        <v>52115625000</v>
      </c>
      <c r="J348" s="5">
        <v>52115625000</v>
      </c>
      <c r="K348" s="5">
        <v>-1.1227210438512867E-11</v>
      </c>
      <c r="L348" s="5">
        <v>-1.1227210438512867E-11</v>
      </c>
      <c r="M348" s="5">
        <v>0</v>
      </c>
      <c r="N348" s="5">
        <v>2.0000000000000001E-4</v>
      </c>
      <c r="O348" s="5">
        <v>118.97321428571426</v>
      </c>
      <c r="P348" s="5">
        <v>118.97321428571426</v>
      </c>
      <c r="Q348" s="5">
        <v>2.1521093750000001E-9</v>
      </c>
      <c r="R348" s="5">
        <v>0</v>
      </c>
      <c r="S348" s="5">
        <v>1.36328125E-4</v>
      </c>
      <c r="T348" s="5">
        <v>1.0801562500000001E-5</v>
      </c>
      <c r="U348" s="5">
        <v>1.0801562500000001E-5</v>
      </c>
      <c r="V348" s="5">
        <v>0</v>
      </c>
      <c r="W348" s="5">
        <v>0</v>
      </c>
      <c r="X348" s="5">
        <v>2.5984375000000002</v>
      </c>
      <c r="Y348" s="5">
        <v>5370.3125</v>
      </c>
      <c r="Z348" s="5">
        <f t="shared" ref="Z348:AA348" si="158">Z347+0.0002</f>
        <v>-3.9999999999999986E-4</v>
      </c>
      <c r="AA348" s="5">
        <f t="shared" si="158"/>
        <v>-2.0000000000000006E-4</v>
      </c>
      <c r="AB348" s="4">
        <v>2</v>
      </c>
    </row>
    <row r="349" spans="1:28" x14ac:dyDescent="0.25">
      <c r="C349" s="4">
        <v>6</v>
      </c>
      <c r="D349" s="5">
        <v>146537837329.85809</v>
      </c>
      <c r="E349" s="5">
        <v>146537837329.85809</v>
      </c>
      <c r="F349" s="5">
        <v>0.355112979504006</v>
      </c>
      <c r="G349" s="5">
        <v>0</v>
      </c>
      <c r="H349" s="5">
        <v>53979166666.666664</v>
      </c>
      <c r="I349" s="5">
        <v>52073958333.333336</v>
      </c>
      <c r="J349" s="5">
        <v>52073958333.333336</v>
      </c>
      <c r="K349" s="5">
        <v>-1.6771511889630329E-11</v>
      </c>
      <c r="L349" s="5">
        <v>-1.6771511889630329E-11</v>
      </c>
      <c r="M349" s="5">
        <v>0</v>
      </c>
      <c r="N349" s="5">
        <v>2.0000000000000001E-4</v>
      </c>
      <c r="O349" s="5">
        <v>109.35921717171715</v>
      </c>
      <c r="P349" s="5">
        <v>109.35921717171715</v>
      </c>
      <c r="Q349" s="5">
        <v>3.168953510802469E-9</v>
      </c>
      <c r="R349" s="5">
        <v>0</v>
      </c>
      <c r="S349" s="5">
        <v>1.2611979166666666E-4</v>
      </c>
      <c r="T349" s="5">
        <v>1.1197395833333333E-5</v>
      </c>
      <c r="U349" s="5">
        <v>1.1197395833333333E-5</v>
      </c>
      <c r="V349" s="5">
        <v>0</v>
      </c>
      <c r="W349" s="5">
        <v>0</v>
      </c>
      <c r="X349" s="5">
        <v>2.6470486111111113</v>
      </c>
      <c r="Y349" s="5">
        <v>5405.0347222222226</v>
      </c>
      <c r="Z349" s="5">
        <f t="shared" ref="Z349:AA349" si="159">Z348+0.0002</f>
        <v>-1.9999999999999985E-4</v>
      </c>
      <c r="AA349" s="5">
        <f t="shared" si="159"/>
        <v>0</v>
      </c>
      <c r="AB349" s="4">
        <v>2</v>
      </c>
    </row>
    <row r="350" spans="1:28" x14ac:dyDescent="0.25">
      <c r="C350" s="4">
        <v>7</v>
      </c>
      <c r="D350" s="5">
        <v>143351215181.18481</v>
      </c>
      <c r="E350" s="5">
        <v>143351215181.18481</v>
      </c>
      <c r="F350" s="5">
        <v>0.35004718041142019</v>
      </c>
      <c r="G350" s="5">
        <v>0</v>
      </c>
      <c r="H350" s="5">
        <v>52979166666.666664</v>
      </c>
      <c r="I350" s="5">
        <v>52023958333.333336</v>
      </c>
      <c r="J350" s="5">
        <v>52023958333.333336</v>
      </c>
      <c r="K350" s="5">
        <v>-2.3424673630971285E-11</v>
      </c>
      <c r="L350" s="5">
        <v>-2.3424673630971285E-11</v>
      </c>
      <c r="M350" s="5">
        <v>0</v>
      </c>
      <c r="N350" s="5">
        <v>2.0000000000000001E-4</v>
      </c>
      <c r="O350" s="5">
        <v>97.822420634920618</v>
      </c>
      <c r="P350" s="5">
        <v>97.822420634920618</v>
      </c>
      <c r="Q350" s="5">
        <v>4.3891664737654323E-9</v>
      </c>
      <c r="R350" s="5">
        <v>0</v>
      </c>
      <c r="S350" s="5">
        <v>1.1386979166666666E-4</v>
      </c>
      <c r="T350" s="5">
        <v>1.1672395833333333E-5</v>
      </c>
      <c r="U350" s="5">
        <v>1.1672395833333333E-5</v>
      </c>
      <c r="V350" s="5">
        <v>0</v>
      </c>
      <c r="W350" s="5">
        <v>0</v>
      </c>
      <c r="X350" s="5">
        <v>2.7053819444444445</v>
      </c>
      <c r="Y350" s="5">
        <v>5446.7013888888887</v>
      </c>
      <c r="Z350" s="5">
        <f t="shared" ref="Z350:AA350" si="160">Z349+0.0002</f>
        <v>0</v>
      </c>
      <c r="AA350" s="5">
        <f t="shared" si="160"/>
        <v>2.0000000000000001E-4</v>
      </c>
      <c r="AB350" s="4">
        <v>2</v>
      </c>
    </row>
    <row r="351" spans="1:28" x14ac:dyDescent="0.25">
      <c r="C351" s="4">
        <v>8</v>
      </c>
      <c r="D351" s="5">
        <v>139633489341.06601</v>
      </c>
      <c r="E351" s="5">
        <v>139633489341.06601</v>
      </c>
      <c r="F351" s="5">
        <v>0.34413708147007005</v>
      </c>
      <c r="G351" s="5">
        <v>0</v>
      </c>
      <c r="H351" s="5">
        <v>51812500000</v>
      </c>
      <c r="I351" s="5">
        <v>51965625000</v>
      </c>
      <c r="J351" s="5">
        <v>51965625000</v>
      </c>
      <c r="K351" s="5">
        <v>-3.1186695662535743E-11</v>
      </c>
      <c r="L351" s="5">
        <v>-3.1186695662535743E-11</v>
      </c>
      <c r="M351" s="5">
        <v>0</v>
      </c>
      <c r="N351" s="5">
        <v>2.0000000000000001E-4</v>
      </c>
      <c r="O351" s="5">
        <v>84.36282467532466</v>
      </c>
      <c r="P351" s="5">
        <v>84.36282467532466</v>
      </c>
      <c r="Q351" s="5">
        <v>5.8127482638888899E-9</v>
      </c>
      <c r="R351" s="5">
        <v>0</v>
      </c>
      <c r="S351" s="5">
        <v>9.9578125000000003E-5</v>
      </c>
      <c r="T351" s="5">
        <v>1.22265625E-5</v>
      </c>
      <c r="U351" s="5">
        <v>1.22265625E-5</v>
      </c>
      <c r="V351" s="5">
        <v>0</v>
      </c>
      <c r="W351" s="5">
        <v>0</v>
      </c>
      <c r="X351" s="5">
        <v>2.7734375</v>
      </c>
      <c r="Y351" s="5">
        <v>5495.3125</v>
      </c>
      <c r="Z351" s="5">
        <f t="shared" ref="Z351:AA351" si="161">Z350+0.0002</f>
        <v>2.0000000000000001E-4</v>
      </c>
      <c r="AA351" s="5">
        <f t="shared" si="161"/>
        <v>4.0000000000000002E-4</v>
      </c>
      <c r="AB351" s="4">
        <v>2</v>
      </c>
    </row>
    <row r="352" spans="1:28" x14ac:dyDescent="0.25">
      <c r="C352" s="4">
        <v>9</v>
      </c>
      <c r="D352" s="5">
        <v>135384659809.50165</v>
      </c>
      <c r="E352" s="5">
        <v>135384659809.50165</v>
      </c>
      <c r="F352" s="5">
        <v>0.33738268267995564</v>
      </c>
      <c r="G352" s="5">
        <v>0</v>
      </c>
      <c r="H352" s="5">
        <v>50479166666.666664</v>
      </c>
      <c r="I352" s="5">
        <v>51898958333.333336</v>
      </c>
      <c r="J352" s="5">
        <v>51898958333.333336</v>
      </c>
      <c r="K352" s="5">
        <v>-4.0057577984323686E-11</v>
      </c>
      <c r="L352" s="5">
        <v>-4.0057577984323686E-11</v>
      </c>
      <c r="M352" s="5">
        <v>0</v>
      </c>
      <c r="N352" s="5">
        <v>2.0000000000000001E-4</v>
      </c>
      <c r="O352" s="5">
        <v>68.980429292929273</v>
      </c>
      <c r="P352" s="5">
        <v>68.980429292929273</v>
      </c>
      <c r="Q352" s="5">
        <v>7.4396988811728414E-9</v>
      </c>
      <c r="R352" s="5">
        <v>0</v>
      </c>
      <c r="S352" s="5">
        <v>8.3244791666666661E-5</v>
      </c>
      <c r="T352" s="5">
        <v>1.2859895833333333E-5</v>
      </c>
      <c r="U352" s="5">
        <v>1.2859895833333333E-5</v>
      </c>
      <c r="V352" s="5">
        <v>0</v>
      </c>
      <c r="W352" s="5">
        <v>0</v>
      </c>
      <c r="X352" s="5">
        <v>2.8512152777777779</v>
      </c>
      <c r="Y352" s="5">
        <v>5550.8680555555557</v>
      </c>
      <c r="Z352" s="5">
        <f t="shared" ref="Z352:AA352" si="162">Z351+0.0002</f>
        <v>4.0000000000000002E-4</v>
      </c>
      <c r="AA352" s="5">
        <f t="shared" si="162"/>
        <v>6.0000000000000006E-4</v>
      </c>
      <c r="AB352" s="4">
        <v>2</v>
      </c>
    </row>
    <row r="353" spans="1:28" x14ac:dyDescent="0.25">
      <c r="C353" s="4">
        <v>10</v>
      </c>
      <c r="D353" s="5">
        <v>130604726586.49174</v>
      </c>
      <c r="E353" s="5">
        <v>130604726586.49174</v>
      </c>
      <c r="F353" s="5">
        <v>0.32978398404107689</v>
      </c>
      <c r="G353" s="5">
        <v>0</v>
      </c>
      <c r="H353" s="5">
        <v>48979166666.666664</v>
      </c>
      <c r="I353" s="5">
        <v>51823958333.333336</v>
      </c>
      <c r="J353" s="5">
        <v>51823958333.333336</v>
      </c>
      <c r="K353" s="5">
        <v>-5.0037320596335138E-11</v>
      </c>
      <c r="L353" s="5">
        <v>-5.0037320596335138E-11</v>
      </c>
      <c r="M353" s="5">
        <v>0</v>
      </c>
      <c r="N353" s="5">
        <v>2.0000000000000001E-4</v>
      </c>
      <c r="O353" s="5">
        <v>51.675234487734457</v>
      </c>
      <c r="P353" s="5">
        <v>51.675234487734457</v>
      </c>
      <c r="Q353" s="5">
        <v>9.2700183256172878E-9</v>
      </c>
      <c r="R353" s="5">
        <v>0</v>
      </c>
      <c r="S353" s="5">
        <v>6.4869791666666635E-5</v>
      </c>
      <c r="T353" s="5">
        <v>1.3572395833333333E-5</v>
      </c>
      <c r="U353" s="5">
        <v>1.3572395833333333E-5</v>
      </c>
      <c r="V353" s="5">
        <v>0</v>
      </c>
      <c r="W353" s="5">
        <v>0</v>
      </c>
      <c r="X353" s="5">
        <v>2.9387152777777779</v>
      </c>
      <c r="Y353" s="5">
        <v>5613.3680555555557</v>
      </c>
      <c r="Z353" s="5">
        <f t="shared" ref="Z353:AA353" si="163">Z352+0.0002</f>
        <v>6.0000000000000006E-4</v>
      </c>
      <c r="AA353" s="5">
        <f t="shared" si="163"/>
        <v>8.0000000000000004E-4</v>
      </c>
      <c r="AB353" s="4">
        <v>2</v>
      </c>
    </row>
    <row r="354" spans="1:28" x14ac:dyDescent="0.25">
      <c r="C354" s="4">
        <v>11</v>
      </c>
      <c r="D354" s="5">
        <v>125293689672.03632</v>
      </c>
      <c r="E354" s="5">
        <v>125293689672.03632</v>
      </c>
      <c r="F354" s="5">
        <v>0.32134098555343393</v>
      </c>
      <c r="G354" s="5">
        <v>0</v>
      </c>
      <c r="H354" s="5">
        <v>47312500000</v>
      </c>
      <c r="I354" s="5">
        <v>51740625000</v>
      </c>
      <c r="J354" s="5">
        <v>51740625000</v>
      </c>
      <c r="K354" s="5">
        <v>-6.1125923498570052E-11</v>
      </c>
      <c r="L354" s="5">
        <v>-6.1125923498570052E-11</v>
      </c>
      <c r="M354" s="5">
        <v>0</v>
      </c>
      <c r="N354" s="5">
        <v>2.0000000000000001E-4</v>
      </c>
      <c r="O354" s="5">
        <v>32.447240259740255</v>
      </c>
      <c r="P354" s="5">
        <v>32.447240259740255</v>
      </c>
      <c r="Q354" s="5">
        <v>1.1303706597222224E-8</v>
      </c>
      <c r="R354" s="5">
        <v>0</v>
      </c>
      <c r="S354" s="5">
        <v>4.4453125000000005E-5</v>
      </c>
      <c r="T354" s="5">
        <v>1.4364062499999999E-5</v>
      </c>
      <c r="U354" s="5">
        <v>1.4364062499999999E-5</v>
      </c>
      <c r="V354" s="5">
        <v>0</v>
      </c>
      <c r="W354" s="5">
        <v>0</v>
      </c>
      <c r="X354" s="5">
        <v>3.0359375000000002</v>
      </c>
      <c r="Y354" s="5">
        <v>5682.8125</v>
      </c>
      <c r="Z354" s="5">
        <f t="shared" ref="Z354:AA354" si="164">Z353+0.0002</f>
        <v>8.0000000000000004E-4</v>
      </c>
      <c r="AA354" s="5">
        <f t="shared" si="164"/>
        <v>1E-3</v>
      </c>
      <c r="AB354" s="4">
        <v>2</v>
      </c>
    </row>
    <row r="355" spans="1:28" x14ac:dyDescent="0.25">
      <c r="B355" t="s">
        <v>191</v>
      </c>
      <c r="C355" s="11">
        <v>12</v>
      </c>
      <c r="D355" s="5">
        <v>119451549066.13531</v>
      </c>
      <c r="E355" s="5">
        <v>119451549066.13531</v>
      </c>
      <c r="F355" s="5">
        <v>0.31205368721702659</v>
      </c>
      <c r="G355" s="5">
        <v>0</v>
      </c>
      <c r="H355" s="5">
        <v>45479166666.666664</v>
      </c>
      <c r="I355" s="5">
        <v>51648958333.333336</v>
      </c>
      <c r="J355" s="5">
        <v>51648958333.333336</v>
      </c>
      <c r="K355" s="5">
        <v>-7.3323386691028495E-11</v>
      </c>
      <c r="L355" s="5">
        <v>-7.3323386691028495E-11</v>
      </c>
      <c r="M355" s="5">
        <v>0</v>
      </c>
      <c r="N355" s="5">
        <v>2.0000000000000001E-4</v>
      </c>
      <c r="O355" s="5">
        <v>11.296446608946567</v>
      </c>
      <c r="P355" s="5">
        <v>11.296446608946567</v>
      </c>
      <c r="Q355" s="5">
        <v>1.3540763695987659E-8</v>
      </c>
      <c r="R355" s="5">
        <v>0</v>
      </c>
      <c r="S355" s="5">
        <v>2.1994791666666636E-5</v>
      </c>
      <c r="T355" s="5">
        <v>1.5234895833333333E-5</v>
      </c>
      <c r="U355" s="5">
        <v>1.5234895833333333E-5</v>
      </c>
      <c r="V355" s="5">
        <v>0</v>
      </c>
      <c r="W355" s="5">
        <v>0</v>
      </c>
      <c r="X355" s="5">
        <v>3.1428819444444449</v>
      </c>
      <c r="Y355" s="5">
        <v>5759.2013888888887</v>
      </c>
      <c r="Z355" s="5">
        <f t="shared" ref="Z355:AA355" si="165">Z354+0.0002</f>
        <v>1E-3</v>
      </c>
      <c r="AA355" s="5">
        <f t="shared" si="165"/>
        <v>1.2000000000000001E-3</v>
      </c>
      <c r="AB355" s="4">
        <v>2</v>
      </c>
    </row>
    <row r="356" spans="1:28" x14ac:dyDescent="0.25"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4"/>
    </row>
    <row r="357" spans="1:28" x14ac:dyDescent="0.25">
      <c r="A357" s="15" t="s">
        <v>202</v>
      </c>
      <c r="C357" s="10" t="s">
        <v>27</v>
      </c>
      <c r="D357" s="10" t="s">
        <v>28</v>
      </c>
      <c r="E357" s="10" t="s">
        <v>29</v>
      </c>
      <c r="F357" s="10" t="s">
        <v>30</v>
      </c>
      <c r="G357" s="10" t="s">
        <v>31</v>
      </c>
      <c r="H357" s="10" t="s">
        <v>47</v>
      </c>
      <c r="I357" s="10" t="s">
        <v>32</v>
      </c>
      <c r="J357" s="10" t="s">
        <v>33</v>
      </c>
      <c r="K357" s="10" t="s">
        <v>34</v>
      </c>
      <c r="L357" s="10" t="s">
        <v>35</v>
      </c>
      <c r="M357" s="10" t="s">
        <v>36</v>
      </c>
      <c r="N357" s="10" t="s">
        <v>37</v>
      </c>
      <c r="O357" s="10" t="s">
        <v>38</v>
      </c>
      <c r="P357" s="10" t="s">
        <v>39</v>
      </c>
      <c r="Q357" s="10" t="s">
        <v>40</v>
      </c>
      <c r="R357" s="10" t="s">
        <v>41</v>
      </c>
      <c r="S357" s="10" t="s">
        <v>42</v>
      </c>
      <c r="T357" s="10" t="s">
        <v>48</v>
      </c>
      <c r="U357" s="10" t="s">
        <v>77</v>
      </c>
      <c r="V357" s="10" t="s">
        <v>78</v>
      </c>
      <c r="W357" s="10" t="s">
        <v>79</v>
      </c>
      <c r="X357" s="10" t="s">
        <v>49</v>
      </c>
      <c r="Y357" s="10" t="s">
        <v>43</v>
      </c>
      <c r="Z357" s="10" t="s">
        <v>44</v>
      </c>
      <c r="AA357" s="10" t="s">
        <v>45</v>
      </c>
      <c r="AB357" s="10" t="s">
        <v>46</v>
      </c>
    </row>
    <row r="358" spans="1:28" x14ac:dyDescent="0.25">
      <c r="A358" s="12" t="s">
        <v>201</v>
      </c>
      <c r="B358" t="s">
        <v>183</v>
      </c>
      <c r="C358" s="11">
        <v>1</v>
      </c>
      <c r="D358" s="5">
        <v>152246875238.69238</v>
      </c>
      <c r="E358" s="5">
        <v>152246875238.69238</v>
      </c>
      <c r="F358" s="5">
        <v>0.36215267356611963</v>
      </c>
      <c r="G358" s="5">
        <v>0</v>
      </c>
      <c r="H358" s="5">
        <v>55637500000</v>
      </c>
      <c r="I358" s="5">
        <v>51333958333.333336</v>
      </c>
      <c r="J358" s="5">
        <v>51333958333.333336</v>
      </c>
      <c r="K358" s="5">
        <v>5.2670863785615831E-13</v>
      </c>
      <c r="L358" s="5">
        <v>5.2670863785615831E-13</v>
      </c>
      <c r="M358" s="5">
        <v>0</v>
      </c>
      <c r="N358" s="5">
        <v>2.0000000000000001E-4</v>
      </c>
      <c r="O358" s="5">
        <v>137.04752886002882</v>
      </c>
      <c r="P358" s="5">
        <v>137.04752886002882</v>
      </c>
      <c r="Q358" s="5">
        <v>-5.1501929012344067E-12</v>
      </c>
      <c r="R358" s="5">
        <v>0</v>
      </c>
      <c r="S358" s="5">
        <v>1.5535312499999999E-4</v>
      </c>
      <c r="T358" s="5">
        <v>9.7957291666666677E-6</v>
      </c>
      <c r="U358" s="5">
        <v>9.7957291666666677E-6</v>
      </c>
      <c r="V358" s="5">
        <v>0</v>
      </c>
      <c r="W358" s="5">
        <v>0</v>
      </c>
      <c r="X358" s="5">
        <v>2.453715277777778</v>
      </c>
      <c r="Y358" s="5">
        <v>5208.3680555555557</v>
      </c>
      <c r="Z358" s="5">
        <v>-1.1999999999999999E-3</v>
      </c>
      <c r="AA358" s="5">
        <v>-1E-3</v>
      </c>
      <c r="AB358" s="4">
        <v>2</v>
      </c>
    </row>
    <row r="359" spans="1:28" x14ac:dyDescent="0.25">
      <c r="C359" s="4">
        <v>2</v>
      </c>
      <c r="D359" s="5">
        <v>147200736621.54907</v>
      </c>
      <c r="E359" s="5">
        <v>147200736621.54907</v>
      </c>
      <c r="F359" s="5">
        <v>0.35005876637865369</v>
      </c>
      <c r="G359" s="5">
        <v>0</v>
      </c>
      <c r="H359" s="5">
        <v>53787500000</v>
      </c>
      <c r="I359" s="5">
        <v>49595625000</v>
      </c>
      <c r="J359" s="5">
        <v>49595625000</v>
      </c>
      <c r="K359" s="5">
        <v>7.4848069590085786E-13</v>
      </c>
      <c r="L359" s="5">
        <v>7.4848069590085786E-13</v>
      </c>
      <c r="M359" s="5">
        <v>0</v>
      </c>
      <c r="N359" s="5">
        <v>2.0000000000000001E-4</v>
      </c>
      <c r="O359" s="5">
        <v>132.81737012987011</v>
      </c>
      <c r="P359" s="5">
        <v>132.81737012987011</v>
      </c>
      <c r="Q359" s="5">
        <v>-4.8923958333333361E-11</v>
      </c>
      <c r="R359" s="5">
        <v>0</v>
      </c>
      <c r="S359" s="5">
        <v>1.5052812499999999E-4</v>
      </c>
      <c r="T359" s="5">
        <v>9.4465625000000011E-6</v>
      </c>
      <c r="U359" s="5">
        <v>9.4465625000000011E-6</v>
      </c>
      <c r="V359" s="5">
        <v>0</v>
      </c>
      <c r="W359" s="5">
        <v>0</v>
      </c>
      <c r="X359" s="5">
        <v>2.3684374999999998</v>
      </c>
      <c r="Y359" s="5">
        <v>5030.3125</v>
      </c>
      <c r="Z359" s="5">
        <f t="shared" ref="Z359:AA359" si="166">Z358+0.0002</f>
        <v>-9.999999999999998E-4</v>
      </c>
      <c r="AA359" s="5">
        <f t="shared" si="166"/>
        <v>-8.0000000000000004E-4</v>
      </c>
      <c r="AB359" s="4">
        <v>2</v>
      </c>
    </row>
    <row r="360" spans="1:28" x14ac:dyDescent="0.25">
      <c r="C360" s="4">
        <v>3</v>
      </c>
      <c r="D360" s="5">
        <v>141623494312.96027</v>
      </c>
      <c r="E360" s="5">
        <v>141623494312.96027</v>
      </c>
      <c r="F360" s="5">
        <v>0.33712055934242335</v>
      </c>
      <c r="G360" s="5">
        <v>0</v>
      </c>
      <c r="H360" s="5">
        <v>51770833333.333328</v>
      </c>
      <c r="I360" s="5">
        <v>47848958333.333336</v>
      </c>
      <c r="J360" s="5">
        <v>47848958333.333336</v>
      </c>
      <c r="K360" s="5">
        <v>-1.3860753627793611E-13</v>
      </c>
      <c r="L360" s="5">
        <v>-1.3860753627793611E-13</v>
      </c>
      <c r="M360" s="5">
        <v>0</v>
      </c>
      <c r="N360" s="5">
        <v>2.0000000000000001E-4</v>
      </c>
      <c r="O360" s="5">
        <v>126.66441197691194</v>
      </c>
      <c r="P360" s="5">
        <v>126.66441197691194</v>
      </c>
      <c r="Q360" s="5">
        <v>1.1067110339506163E-10</v>
      </c>
      <c r="R360" s="5">
        <v>0</v>
      </c>
      <c r="S360" s="5">
        <v>1.4366145833333331E-4</v>
      </c>
      <c r="T360" s="5">
        <v>9.1765625000000003E-6</v>
      </c>
      <c r="U360" s="5">
        <v>9.1765625000000003E-6</v>
      </c>
      <c r="V360" s="5">
        <v>0</v>
      </c>
      <c r="W360" s="5">
        <v>0</v>
      </c>
      <c r="X360" s="5">
        <v>2.2928819444444448</v>
      </c>
      <c r="Y360" s="5">
        <v>4859.2013888888887</v>
      </c>
      <c r="Z360" s="5">
        <f t="shared" ref="Z360:AA360" si="167">Z359+0.0002</f>
        <v>-7.9999999999999982E-4</v>
      </c>
      <c r="AA360" s="5">
        <f t="shared" si="167"/>
        <v>-6.0000000000000006E-4</v>
      </c>
      <c r="AB360" s="4">
        <v>2</v>
      </c>
    </row>
    <row r="361" spans="1:28" x14ac:dyDescent="0.25">
      <c r="C361" s="4">
        <v>4</v>
      </c>
      <c r="D361" s="5">
        <v>135515148312.92587</v>
      </c>
      <c r="E361" s="5">
        <v>135515148312.92587</v>
      </c>
      <c r="F361" s="5">
        <v>0.32333805245742869</v>
      </c>
      <c r="G361" s="5">
        <v>0</v>
      </c>
      <c r="H361" s="5">
        <v>49587500000</v>
      </c>
      <c r="I361" s="5">
        <v>46093958333.333336</v>
      </c>
      <c r="J361" s="5">
        <v>46093958333.333336</v>
      </c>
      <c r="K361" s="5">
        <v>-2.1345560586802224E-12</v>
      </c>
      <c r="L361" s="5">
        <v>-2.1345560586802224E-12</v>
      </c>
      <c r="M361" s="5">
        <v>0</v>
      </c>
      <c r="N361" s="5">
        <v>2.0000000000000001E-4</v>
      </c>
      <c r="O361" s="5">
        <v>118.58865440115437</v>
      </c>
      <c r="P361" s="5">
        <v>118.58865440115437</v>
      </c>
      <c r="Q361" s="5">
        <v>4.7363499228395046E-10</v>
      </c>
      <c r="R361" s="5">
        <v>0</v>
      </c>
      <c r="S361" s="5">
        <v>1.34753125E-4</v>
      </c>
      <c r="T361" s="5">
        <v>8.9857291666666669E-6</v>
      </c>
      <c r="U361" s="5">
        <v>8.9857291666666669E-6</v>
      </c>
      <c r="V361" s="5">
        <v>0</v>
      </c>
      <c r="W361" s="5">
        <v>0</v>
      </c>
      <c r="X361" s="5">
        <v>2.227048611111111</v>
      </c>
      <c r="Y361" s="5">
        <v>4695.0347222222226</v>
      </c>
      <c r="Z361" s="5">
        <f t="shared" ref="Z361:AA361" si="168">Z360+0.0002</f>
        <v>-5.9999999999999984E-4</v>
      </c>
      <c r="AA361" s="5">
        <f t="shared" si="168"/>
        <v>-4.0000000000000007E-4</v>
      </c>
      <c r="AB361" s="4">
        <v>2</v>
      </c>
    </row>
    <row r="362" spans="1:28" x14ac:dyDescent="0.25">
      <c r="C362" s="4">
        <v>5</v>
      </c>
      <c r="D362" s="5">
        <v>128875698621.44595</v>
      </c>
      <c r="E362" s="5">
        <v>128875698621.44595</v>
      </c>
      <c r="F362" s="5">
        <v>0.30871124572366981</v>
      </c>
      <c r="G362" s="5">
        <v>0</v>
      </c>
      <c r="H362" s="5">
        <v>47237500000</v>
      </c>
      <c r="I362" s="5">
        <v>44330625000</v>
      </c>
      <c r="J362" s="5">
        <v>44330625000</v>
      </c>
      <c r="K362" s="5">
        <v>-5.239364871306004E-12</v>
      </c>
      <c r="L362" s="5">
        <v>-5.239364871306004E-12</v>
      </c>
      <c r="M362" s="5">
        <v>0</v>
      </c>
      <c r="N362" s="5">
        <v>2.0000000000000001E-4</v>
      </c>
      <c r="O362" s="5">
        <v>108.59009740259738</v>
      </c>
      <c r="P362" s="5">
        <v>108.59009740259738</v>
      </c>
      <c r="Q362" s="5">
        <v>1.0399677083333332E-9</v>
      </c>
      <c r="R362" s="5">
        <v>0</v>
      </c>
      <c r="S362" s="5">
        <v>1.2380312500000001E-4</v>
      </c>
      <c r="T362" s="5">
        <v>8.8740625000000011E-6</v>
      </c>
      <c r="U362" s="5">
        <v>8.8740625000000011E-6</v>
      </c>
      <c r="V362" s="5">
        <v>0</v>
      </c>
      <c r="W362" s="5">
        <v>0</v>
      </c>
      <c r="X362" s="5">
        <v>2.1709375</v>
      </c>
      <c r="Y362" s="5">
        <v>4537.8125</v>
      </c>
      <c r="Z362" s="5">
        <f t="shared" ref="Z362:AA362" si="169">Z361+0.0002</f>
        <v>-3.9999999999999986E-4</v>
      </c>
      <c r="AA362" s="5">
        <f t="shared" si="169"/>
        <v>-2.0000000000000006E-4</v>
      </c>
      <c r="AB362" s="4">
        <v>2</v>
      </c>
    </row>
    <row r="363" spans="1:28" x14ac:dyDescent="0.25">
      <c r="C363" s="4">
        <v>6</v>
      </c>
      <c r="D363" s="5">
        <v>121705145238.52049</v>
      </c>
      <c r="E363" s="5">
        <v>121705145238.52049</v>
      </c>
      <c r="F363" s="5">
        <v>0.29324013914114661</v>
      </c>
      <c r="G363" s="5">
        <v>0</v>
      </c>
      <c r="H363" s="5">
        <v>44720833333.333328</v>
      </c>
      <c r="I363" s="5">
        <v>42558958333.333336</v>
      </c>
      <c r="J363" s="5">
        <v>42558958333.333336</v>
      </c>
      <c r="K363" s="5">
        <v>-9.4530339741552754E-12</v>
      </c>
      <c r="L363" s="5">
        <v>-9.4530339741552754E-12</v>
      </c>
      <c r="M363" s="5">
        <v>0</v>
      </c>
      <c r="N363" s="5">
        <v>2.0000000000000001E-4</v>
      </c>
      <c r="O363" s="5">
        <v>96.668740981240958</v>
      </c>
      <c r="P363" s="5">
        <v>96.668740981240958</v>
      </c>
      <c r="Q363" s="5">
        <v>1.8096692515432096E-9</v>
      </c>
      <c r="R363" s="5">
        <v>0</v>
      </c>
      <c r="S363" s="5">
        <v>1.1081145833333333E-4</v>
      </c>
      <c r="T363" s="5">
        <v>8.8415624999999993E-6</v>
      </c>
      <c r="U363" s="5">
        <v>8.8415624999999993E-6</v>
      </c>
      <c r="V363" s="5">
        <v>0</v>
      </c>
      <c r="W363" s="5">
        <v>0</v>
      </c>
      <c r="X363" s="5">
        <v>2.1245486111111114</v>
      </c>
      <c r="Y363" s="5">
        <v>4387.5347222222226</v>
      </c>
      <c r="Z363" s="5">
        <f t="shared" ref="Z363:AA363" si="170">Z362+0.0002</f>
        <v>-1.9999999999999985E-4</v>
      </c>
      <c r="AA363" s="5">
        <f t="shared" si="170"/>
        <v>0</v>
      </c>
      <c r="AB363" s="4">
        <v>2</v>
      </c>
    </row>
    <row r="364" spans="1:28" x14ac:dyDescent="0.25">
      <c r="C364" s="4">
        <v>7</v>
      </c>
      <c r="D364" s="5">
        <v>118518523089.84721</v>
      </c>
      <c r="E364" s="5">
        <v>118518523089.84721</v>
      </c>
      <c r="F364" s="5">
        <v>0.2881743400485608</v>
      </c>
      <c r="G364" s="5">
        <v>0</v>
      </c>
      <c r="H364" s="5">
        <v>43720833333.333328</v>
      </c>
      <c r="I364" s="5">
        <v>42508958333.333336</v>
      </c>
      <c r="J364" s="5">
        <v>42508958333.333336</v>
      </c>
      <c r="K364" s="5">
        <v>-1.6106195715496231E-11</v>
      </c>
      <c r="L364" s="5">
        <v>-1.6106195715496231E-11</v>
      </c>
      <c r="M364" s="5">
        <v>0</v>
      </c>
      <c r="N364" s="5">
        <v>2.0000000000000001E-4</v>
      </c>
      <c r="O364" s="5">
        <v>85.131944444444429</v>
      </c>
      <c r="P364" s="5">
        <v>85.131944444444429</v>
      </c>
      <c r="Q364" s="5">
        <v>3.0298822145061731E-9</v>
      </c>
      <c r="R364" s="5">
        <v>0</v>
      </c>
      <c r="S364" s="5">
        <v>9.856145833333333E-5</v>
      </c>
      <c r="T364" s="5">
        <v>9.3165624999999989E-6</v>
      </c>
      <c r="U364" s="5">
        <v>9.3165624999999989E-6</v>
      </c>
      <c r="V364" s="5">
        <v>0</v>
      </c>
      <c r="W364" s="5">
        <v>0</v>
      </c>
      <c r="X364" s="5">
        <v>2.1828819444444445</v>
      </c>
      <c r="Y364" s="5">
        <v>4429.2013888888887</v>
      </c>
      <c r="Z364" s="5">
        <f t="shared" ref="Z364:AA364" si="171">Z363+0.0002</f>
        <v>0</v>
      </c>
      <c r="AA364" s="5">
        <f t="shared" si="171"/>
        <v>2.0000000000000001E-4</v>
      </c>
      <c r="AB364" s="4">
        <v>2</v>
      </c>
    </row>
    <row r="365" spans="1:28" x14ac:dyDescent="0.25">
      <c r="C365" s="4">
        <v>8</v>
      </c>
      <c r="D365" s="5">
        <v>119315832175.42615</v>
      </c>
      <c r="E365" s="5">
        <v>119315832175.42615</v>
      </c>
      <c r="F365" s="5">
        <v>0.29351384844591238</v>
      </c>
      <c r="G365" s="5">
        <v>0</v>
      </c>
      <c r="H365" s="5">
        <v>44237500000</v>
      </c>
      <c r="I365" s="5">
        <v>44180625000</v>
      </c>
      <c r="J365" s="5">
        <v>44180625000</v>
      </c>
      <c r="K365" s="5">
        <v>-2.5198850095328878E-11</v>
      </c>
      <c r="L365" s="5">
        <v>-2.5198850095328878E-11</v>
      </c>
      <c r="M365" s="5">
        <v>0</v>
      </c>
      <c r="N365" s="5">
        <v>2.0000000000000001E-4</v>
      </c>
      <c r="O365" s="5">
        <v>73.979707792207776</v>
      </c>
      <c r="P365" s="5">
        <v>73.979707792207776</v>
      </c>
      <c r="Q365" s="5">
        <v>4.700606597222223E-9</v>
      </c>
      <c r="R365" s="5">
        <v>0</v>
      </c>
      <c r="S365" s="5">
        <v>8.705312500000001E-5</v>
      </c>
      <c r="T365" s="5">
        <v>1.02990625E-5</v>
      </c>
      <c r="U365" s="5">
        <v>1.02990625E-5</v>
      </c>
      <c r="V365" s="5">
        <v>0</v>
      </c>
      <c r="W365" s="5">
        <v>0</v>
      </c>
      <c r="X365" s="5">
        <v>2.3459374999999998</v>
      </c>
      <c r="Y365" s="5">
        <v>4662.8125</v>
      </c>
      <c r="Z365" s="5">
        <f t="shared" ref="Z365:AA365" si="172">Z364+0.0002</f>
        <v>2.0000000000000001E-4</v>
      </c>
      <c r="AA365" s="5">
        <f t="shared" si="172"/>
        <v>4.0000000000000002E-4</v>
      </c>
      <c r="AB365" s="4">
        <v>2</v>
      </c>
    </row>
    <row r="366" spans="1:28" x14ac:dyDescent="0.25">
      <c r="C366" s="4">
        <v>9</v>
      </c>
      <c r="D366" s="5">
        <v>119582037569.55954</v>
      </c>
      <c r="E366" s="5">
        <v>119582037569.55954</v>
      </c>
      <c r="F366" s="5">
        <v>0.29800905699449964</v>
      </c>
      <c r="G366" s="5">
        <v>0</v>
      </c>
      <c r="H366" s="5">
        <v>44587500000</v>
      </c>
      <c r="I366" s="5">
        <v>45843958333.333336</v>
      </c>
      <c r="J366" s="5">
        <v>45843958333.333336</v>
      </c>
      <c r="K366" s="5">
        <v>-3.5400364765385017E-11</v>
      </c>
      <c r="L366" s="5">
        <v>-3.5400364765385017E-11</v>
      </c>
      <c r="M366" s="5">
        <v>0</v>
      </c>
      <c r="N366" s="5">
        <v>2.0000000000000001E-4</v>
      </c>
      <c r="O366" s="5">
        <v>60.904671717171695</v>
      </c>
      <c r="P366" s="5">
        <v>60.904671717171695</v>
      </c>
      <c r="Q366" s="5">
        <v>6.5746998070987676E-9</v>
      </c>
      <c r="R366" s="5">
        <v>0</v>
      </c>
      <c r="S366" s="5">
        <v>7.3503124999999993E-5</v>
      </c>
      <c r="T366" s="5">
        <v>1.1360729166666665E-5</v>
      </c>
      <c r="U366" s="5">
        <v>1.1360729166666665E-5</v>
      </c>
      <c r="V366" s="5">
        <v>0</v>
      </c>
      <c r="W366" s="5">
        <v>0</v>
      </c>
      <c r="X366" s="5">
        <v>2.5187152777777779</v>
      </c>
      <c r="Y366" s="5">
        <v>4903.3680555555557</v>
      </c>
      <c r="Z366" s="5">
        <f t="shared" ref="Z366:AA366" si="173">Z365+0.0002</f>
        <v>4.0000000000000002E-4</v>
      </c>
      <c r="AA366" s="5">
        <f t="shared" si="173"/>
        <v>6.0000000000000006E-4</v>
      </c>
      <c r="AB366" s="4">
        <v>2</v>
      </c>
    </row>
    <row r="367" spans="1:28" x14ac:dyDescent="0.25">
      <c r="C367" s="4">
        <v>10</v>
      </c>
      <c r="D367" s="5">
        <v>119317139272.24738</v>
      </c>
      <c r="E367" s="5">
        <v>119317139272.24738</v>
      </c>
      <c r="F367" s="5">
        <v>0.30165996569432263</v>
      </c>
      <c r="G367" s="5">
        <v>0</v>
      </c>
      <c r="H367" s="5">
        <v>44770833333.333328</v>
      </c>
      <c r="I367" s="5">
        <v>47498958333.333336</v>
      </c>
      <c r="J367" s="5">
        <v>47498958333.333336</v>
      </c>
      <c r="K367" s="5">
        <v>-4.6710739725664658E-11</v>
      </c>
      <c r="L367" s="5">
        <v>-4.6710739725664658E-11</v>
      </c>
      <c r="M367" s="5">
        <v>0</v>
      </c>
      <c r="N367" s="5">
        <v>2.0000000000000001E-4</v>
      </c>
      <c r="O367" s="5">
        <v>45.906836219336192</v>
      </c>
      <c r="P367" s="5">
        <v>45.906836219336192</v>
      </c>
      <c r="Q367" s="5">
        <v>8.6521618441358054E-9</v>
      </c>
      <c r="R367" s="5">
        <v>0</v>
      </c>
      <c r="S367" s="5">
        <v>5.7911458333333304E-5</v>
      </c>
      <c r="T367" s="5">
        <v>1.25015625E-5</v>
      </c>
      <c r="U367" s="5">
        <v>1.25015625E-5</v>
      </c>
      <c r="V367" s="5">
        <v>0</v>
      </c>
      <c r="W367" s="5">
        <v>0</v>
      </c>
      <c r="X367" s="5">
        <v>2.701215277777778</v>
      </c>
      <c r="Y367" s="5">
        <v>5150.8680555555557</v>
      </c>
      <c r="Z367" s="5">
        <f t="shared" ref="Z367:AA367" si="174">Z366+0.0002</f>
        <v>6.0000000000000006E-4</v>
      </c>
      <c r="AA367" s="5">
        <f t="shared" si="174"/>
        <v>8.0000000000000004E-4</v>
      </c>
      <c r="AB367" s="4">
        <v>2</v>
      </c>
    </row>
    <row r="368" spans="1:28" x14ac:dyDescent="0.25">
      <c r="C368" s="4">
        <v>11</v>
      </c>
      <c r="D368" s="5">
        <v>118521137283.4897</v>
      </c>
      <c r="E368" s="5">
        <v>118521137283.4897</v>
      </c>
      <c r="F368" s="5">
        <v>0.3044665745453814</v>
      </c>
      <c r="G368" s="5">
        <v>0</v>
      </c>
      <c r="H368" s="5">
        <v>44787500000</v>
      </c>
      <c r="I368" s="5">
        <v>49145625000</v>
      </c>
      <c r="J368" s="5">
        <v>49145625000</v>
      </c>
      <c r="K368" s="5">
        <v>-5.9129974976167762E-11</v>
      </c>
      <c r="L368" s="5">
        <v>-5.9129974976167762E-11</v>
      </c>
      <c r="M368" s="5">
        <v>0</v>
      </c>
      <c r="N368" s="5">
        <v>2.0000000000000001E-4</v>
      </c>
      <c r="O368" s="5">
        <v>28.986201298701296</v>
      </c>
      <c r="P368" s="5">
        <v>28.986201298701296</v>
      </c>
      <c r="Q368" s="5">
        <v>1.0932992708333335E-8</v>
      </c>
      <c r="R368" s="5">
        <v>0</v>
      </c>
      <c r="S368" s="5">
        <v>4.0278125000000005E-5</v>
      </c>
      <c r="T368" s="5">
        <v>1.37215625E-5</v>
      </c>
      <c r="U368" s="5">
        <v>1.37215625E-5</v>
      </c>
      <c r="V368" s="5">
        <v>0</v>
      </c>
      <c r="W368" s="5">
        <v>0</v>
      </c>
      <c r="X368" s="5">
        <v>2.8934375000000001</v>
      </c>
      <c r="Y368" s="5">
        <v>5405.3125</v>
      </c>
      <c r="Z368" s="5">
        <f t="shared" ref="Z368:AA368" si="175">Z367+0.0002</f>
        <v>8.0000000000000004E-4</v>
      </c>
      <c r="AA368" s="5">
        <f t="shared" si="175"/>
        <v>1E-3</v>
      </c>
      <c r="AB368" s="4">
        <v>2</v>
      </c>
    </row>
    <row r="369" spans="1:28" x14ac:dyDescent="0.25">
      <c r="B369" t="s">
        <v>14</v>
      </c>
      <c r="C369" s="11">
        <v>12</v>
      </c>
      <c r="D369" s="5">
        <v>117194031603.28645</v>
      </c>
      <c r="E369" s="5">
        <v>117194031603.28645</v>
      </c>
      <c r="F369" s="5">
        <v>0.30642888354767572</v>
      </c>
      <c r="G369" s="5">
        <v>0</v>
      </c>
      <c r="H369" s="5">
        <v>44637500000</v>
      </c>
      <c r="I369" s="5">
        <v>50783958333.333336</v>
      </c>
      <c r="J369" s="5">
        <v>50783958333.333336</v>
      </c>
      <c r="K369" s="5">
        <v>-7.2658070516894407E-11</v>
      </c>
      <c r="L369" s="5">
        <v>-7.2658070516894407E-11</v>
      </c>
      <c r="M369" s="5">
        <v>0</v>
      </c>
      <c r="N369" s="5">
        <v>2.0000000000000001E-4</v>
      </c>
      <c r="O369" s="5">
        <v>10.142766955266916</v>
      </c>
      <c r="P369" s="5">
        <v>10.142766955266916</v>
      </c>
      <c r="Q369" s="5">
        <v>1.3417192399691363E-8</v>
      </c>
      <c r="R369" s="5">
        <v>0</v>
      </c>
      <c r="S369" s="5">
        <v>2.0603124999999974E-5</v>
      </c>
      <c r="T369" s="5">
        <v>1.5020729166666666E-5</v>
      </c>
      <c r="U369" s="5">
        <v>1.5020729166666666E-5</v>
      </c>
      <c r="V369" s="5">
        <v>0</v>
      </c>
      <c r="W369" s="5">
        <v>0</v>
      </c>
      <c r="X369" s="5">
        <v>3.095381944444445</v>
      </c>
      <c r="Y369" s="5">
        <v>5666.7013888888887</v>
      </c>
      <c r="Z369" s="5">
        <f t="shared" ref="Z369:AA369" si="176">Z368+0.0002</f>
        <v>1E-3</v>
      </c>
      <c r="AA369" s="5">
        <f t="shared" si="176"/>
        <v>1.2000000000000001E-3</v>
      </c>
      <c r="AB369" s="4">
        <v>2</v>
      </c>
    </row>
    <row r="373" spans="1:28" x14ac:dyDescent="0.25">
      <c r="A373" s="15" t="s">
        <v>168</v>
      </c>
      <c r="C373" s="10" t="s">
        <v>27</v>
      </c>
      <c r="D373" s="10" t="s">
        <v>28</v>
      </c>
      <c r="E373" s="10" t="s">
        <v>29</v>
      </c>
      <c r="F373" s="10" t="s">
        <v>30</v>
      </c>
      <c r="G373" s="10" t="s">
        <v>31</v>
      </c>
      <c r="H373" s="10" t="s">
        <v>47</v>
      </c>
      <c r="I373" s="10" t="s">
        <v>32</v>
      </c>
      <c r="J373" s="10" t="s">
        <v>33</v>
      </c>
      <c r="K373" s="10" t="s">
        <v>34</v>
      </c>
      <c r="L373" s="10" t="s">
        <v>35</v>
      </c>
      <c r="M373" s="10" t="s">
        <v>36</v>
      </c>
      <c r="N373" s="10" t="s">
        <v>37</v>
      </c>
      <c r="O373" s="10" t="s">
        <v>38</v>
      </c>
      <c r="P373" s="10" t="s">
        <v>39</v>
      </c>
      <c r="Q373" s="10" t="s">
        <v>40</v>
      </c>
      <c r="R373" s="10" t="s">
        <v>41</v>
      </c>
      <c r="S373" s="10" t="s">
        <v>42</v>
      </c>
      <c r="T373" s="10" t="s">
        <v>48</v>
      </c>
      <c r="U373" s="10" t="s">
        <v>77</v>
      </c>
      <c r="V373" s="10" t="s">
        <v>78</v>
      </c>
      <c r="W373" s="10" t="s">
        <v>79</v>
      </c>
      <c r="X373" s="10" t="s">
        <v>49</v>
      </c>
      <c r="Y373" s="10" t="s">
        <v>43</v>
      </c>
      <c r="Z373" s="10" t="s">
        <v>44</v>
      </c>
      <c r="AA373" s="10" t="s">
        <v>45</v>
      </c>
      <c r="AB373" s="10" t="s">
        <v>46</v>
      </c>
    </row>
    <row r="374" spans="1:28" x14ac:dyDescent="0.25">
      <c r="A374" s="12" t="s">
        <v>171</v>
      </c>
      <c r="B374" t="s">
        <v>190</v>
      </c>
      <c r="C374" s="11">
        <v>1</v>
      </c>
      <c r="D374" s="5">
        <v>149989357775.84354</v>
      </c>
      <c r="E374" s="5">
        <v>149989357775.84354</v>
      </c>
      <c r="F374" s="5">
        <v>0.35652786989676882</v>
      </c>
      <c r="G374" s="5">
        <v>0</v>
      </c>
      <c r="H374" s="5">
        <v>54795833333.333336</v>
      </c>
      <c r="I374" s="5">
        <v>50468958333.333344</v>
      </c>
      <c r="J374" s="5">
        <v>50468958333.333344</v>
      </c>
      <c r="K374" s="5">
        <v>1.1920248119902527E-12</v>
      </c>
      <c r="L374" s="5">
        <v>1.1920248119902527E-12</v>
      </c>
      <c r="M374" s="5">
        <v>0</v>
      </c>
      <c r="N374" s="5">
        <v>2.0000000000000001E-4</v>
      </c>
      <c r="O374" s="5">
        <v>135.89384920634919</v>
      </c>
      <c r="P374" s="5">
        <v>135.89384920634919</v>
      </c>
      <c r="Q374" s="5">
        <v>-1.2872148919753044E-10</v>
      </c>
      <c r="R374" s="5">
        <v>0</v>
      </c>
      <c r="S374" s="5">
        <v>1.5396145833333332E-4</v>
      </c>
      <c r="T374" s="5">
        <v>9.5815625000000023E-6</v>
      </c>
      <c r="U374" s="5">
        <v>9.5815625000000023E-6</v>
      </c>
      <c r="V374" s="5">
        <v>0</v>
      </c>
      <c r="W374" s="5">
        <v>0</v>
      </c>
      <c r="X374" s="5">
        <v>2.4062152777777781</v>
      </c>
      <c r="Y374" s="5">
        <v>5115.8680555555557</v>
      </c>
      <c r="Z374" s="5">
        <v>-1.1999999999999999E-3</v>
      </c>
      <c r="AA374" s="5">
        <v>-1E-3</v>
      </c>
      <c r="AB374" s="4">
        <v>2</v>
      </c>
    </row>
    <row r="375" spans="1:28" x14ac:dyDescent="0.25">
      <c r="C375" s="4">
        <v>2</v>
      </c>
      <c r="D375" s="5">
        <v>140428184233.00247</v>
      </c>
      <c r="E375" s="5">
        <v>140428184233.00247</v>
      </c>
      <c r="F375" s="5">
        <v>0.33318435537060109</v>
      </c>
      <c r="G375" s="5">
        <v>0</v>
      </c>
      <c r="H375" s="5">
        <v>51262500000</v>
      </c>
      <c r="I375" s="5">
        <v>47000625000</v>
      </c>
      <c r="J375" s="5">
        <v>47000625000</v>
      </c>
      <c r="K375" s="5">
        <v>2.7444292183031452E-12</v>
      </c>
      <c r="L375" s="5">
        <v>2.7444292183031452E-12</v>
      </c>
      <c r="M375" s="5">
        <v>0</v>
      </c>
      <c r="N375" s="5">
        <v>2.0000000000000001E-4</v>
      </c>
      <c r="O375" s="5">
        <v>129.35633116883113</v>
      </c>
      <c r="P375" s="5">
        <v>129.35633116883113</v>
      </c>
      <c r="Q375" s="5">
        <v>-4.1963784722222229E-10</v>
      </c>
      <c r="R375" s="5">
        <v>0</v>
      </c>
      <c r="S375" s="5">
        <v>1.4635312499999999E-4</v>
      </c>
      <c r="T375" s="5">
        <v>8.8040625E-6</v>
      </c>
      <c r="U375" s="5">
        <v>8.8040625E-6</v>
      </c>
      <c r="V375" s="5">
        <v>0</v>
      </c>
      <c r="W375" s="5">
        <v>0</v>
      </c>
      <c r="X375" s="5">
        <v>2.2259374999999997</v>
      </c>
      <c r="Y375" s="5">
        <v>4752.8125</v>
      </c>
      <c r="Z375" s="5">
        <f t="shared" ref="Z375:AA375" si="177">Z374+0.0002</f>
        <v>-9.999999999999998E-4</v>
      </c>
      <c r="AA375" s="5">
        <f t="shared" si="177"/>
        <v>-8.0000000000000004E-4</v>
      </c>
      <c r="AB375" s="4">
        <v>2</v>
      </c>
    </row>
    <row r="376" spans="1:28" x14ac:dyDescent="0.25">
      <c r="C376" s="4">
        <v>3</v>
      </c>
      <c r="D376" s="5">
        <v>130335906998.7159</v>
      </c>
      <c r="E376" s="5">
        <v>130335906998.7159</v>
      </c>
      <c r="F376" s="5">
        <v>0.30899654099566909</v>
      </c>
      <c r="G376" s="5">
        <v>0</v>
      </c>
      <c r="H376" s="5">
        <v>47562500000</v>
      </c>
      <c r="I376" s="5">
        <v>43523958333.333336</v>
      </c>
      <c r="J376" s="5">
        <v>43523958333.333336</v>
      </c>
      <c r="K376" s="5">
        <v>3.1879733343925427E-12</v>
      </c>
      <c r="L376" s="5">
        <v>3.1879733343925427E-12</v>
      </c>
      <c r="M376" s="5">
        <v>0</v>
      </c>
      <c r="N376" s="5">
        <v>2.0000000000000001E-4</v>
      </c>
      <c r="O376" s="5">
        <v>120.89601370851368</v>
      </c>
      <c r="P376" s="5">
        <v>120.89601370851368</v>
      </c>
      <c r="Q376" s="5">
        <v>-5.0718537808641989E-10</v>
      </c>
      <c r="R376" s="5">
        <v>0</v>
      </c>
      <c r="S376" s="5">
        <v>1.36703125E-4</v>
      </c>
      <c r="T376" s="5">
        <v>8.1057291666666669E-6</v>
      </c>
      <c r="U376" s="5">
        <v>8.1057291666666669E-6</v>
      </c>
      <c r="V376" s="5">
        <v>0</v>
      </c>
      <c r="W376" s="5">
        <v>0</v>
      </c>
      <c r="X376" s="5">
        <v>2.0553819444444446</v>
      </c>
      <c r="Y376" s="5">
        <v>4396.7013888888887</v>
      </c>
      <c r="Z376" s="5">
        <f t="shared" ref="Z376:AA376" si="178">Z375+0.0002</f>
        <v>-7.9999999999999982E-4</v>
      </c>
      <c r="AA376" s="5">
        <f t="shared" si="178"/>
        <v>-6.0000000000000006E-4</v>
      </c>
      <c r="AB376" s="4">
        <v>2</v>
      </c>
    </row>
    <row r="377" spans="1:28" x14ac:dyDescent="0.25">
      <c r="C377" s="4">
        <v>4</v>
      </c>
      <c r="D377" s="5">
        <v>119712526072.98376</v>
      </c>
      <c r="E377" s="5">
        <v>119712526072.98376</v>
      </c>
      <c r="F377" s="5">
        <v>0.28396442677197276</v>
      </c>
      <c r="G377" s="5">
        <v>0</v>
      </c>
      <c r="H377" s="5">
        <v>43695833333.333328</v>
      </c>
      <c r="I377" s="5">
        <v>40038958333.333336</v>
      </c>
      <c r="J377" s="5">
        <v>40038958333.333336</v>
      </c>
      <c r="K377" s="5">
        <v>2.522657160258448E-12</v>
      </c>
      <c r="L377" s="5">
        <v>2.522657160258448E-12</v>
      </c>
      <c r="M377" s="5">
        <v>0</v>
      </c>
      <c r="N377" s="5">
        <v>2.0000000000000001E-4</v>
      </c>
      <c r="O377" s="5">
        <v>110.51289682539681</v>
      </c>
      <c r="P377" s="5">
        <v>110.51289682539681</v>
      </c>
      <c r="Q377" s="5">
        <v>-3.9136408179012365E-10</v>
      </c>
      <c r="R377" s="5">
        <v>0</v>
      </c>
      <c r="S377" s="5">
        <v>1.2501145833333332E-4</v>
      </c>
      <c r="T377" s="5">
        <v>7.4865625000000012E-6</v>
      </c>
      <c r="U377" s="5">
        <v>7.4865625000000012E-6</v>
      </c>
      <c r="V377" s="5">
        <v>0</v>
      </c>
      <c r="W377" s="5">
        <v>0</v>
      </c>
      <c r="X377" s="5">
        <v>1.8945486111111109</v>
      </c>
      <c r="Y377" s="5">
        <v>4047.5347222222226</v>
      </c>
      <c r="Z377" s="5">
        <f t="shared" ref="Z377:AA377" si="179">Z376+0.0002</f>
        <v>-5.9999999999999984E-4</v>
      </c>
      <c r="AA377" s="5">
        <f t="shared" si="179"/>
        <v>-4.0000000000000007E-4</v>
      </c>
      <c r="AB377" s="4">
        <v>2</v>
      </c>
    </row>
    <row r="378" spans="1:28" x14ac:dyDescent="0.25">
      <c r="C378" s="4">
        <v>5</v>
      </c>
      <c r="D378" s="5">
        <v>108558041455.80611</v>
      </c>
      <c r="E378" s="5">
        <v>108558041455.80611</v>
      </c>
      <c r="F378" s="5">
        <v>0.25808801269951209</v>
      </c>
      <c r="G378" s="5">
        <v>0</v>
      </c>
      <c r="H378" s="5">
        <v>39662500000</v>
      </c>
      <c r="I378" s="5">
        <v>36545625000</v>
      </c>
      <c r="J378" s="5">
        <v>36545625000</v>
      </c>
      <c r="K378" s="5">
        <v>7.4848069590085887E-13</v>
      </c>
      <c r="L378" s="5">
        <v>7.4848069590085887E-13</v>
      </c>
      <c r="M378" s="5">
        <v>0</v>
      </c>
      <c r="N378" s="5">
        <v>2.0000000000000001E-4</v>
      </c>
      <c r="O378" s="5">
        <v>98.206980519480496</v>
      </c>
      <c r="P378" s="5">
        <v>98.206980519480496</v>
      </c>
      <c r="Q378" s="5">
        <v>-7.2173958333333668E-11</v>
      </c>
      <c r="R378" s="5">
        <v>0</v>
      </c>
      <c r="S378" s="5">
        <v>1.11278125E-4</v>
      </c>
      <c r="T378" s="5">
        <v>6.9465625000000005E-6</v>
      </c>
      <c r="U378" s="5">
        <v>6.9465625000000005E-6</v>
      </c>
      <c r="V378" s="5">
        <v>0</v>
      </c>
      <c r="W378" s="5">
        <v>0</v>
      </c>
      <c r="X378" s="5">
        <v>1.7434375000000002</v>
      </c>
      <c r="Y378" s="5">
        <v>3705.3125</v>
      </c>
      <c r="Z378" s="5">
        <f t="shared" ref="Z378:AA378" si="180">Z377+0.0002</f>
        <v>-3.9999999999999986E-4</v>
      </c>
      <c r="AA378" s="5">
        <f t="shared" si="180"/>
        <v>-2.0000000000000006E-4</v>
      </c>
      <c r="AB378" s="4">
        <v>2</v>
      </c>
    </row>
    <row r="379" spans="1:28" x14ac:dyDescent="0.25">
      <c r="C379" s="4">
        <v>6</v>
      </c>
      <c r="D379" s="5">
        <v>96872453147.182892</v>
      </c>
      <c r="E379" s="5">
        <v>96872453147.182892</v>
      </c>
      <c r="F379" s="5">
        <v>0.23136729877828721</v>
      </c>
      <c r="G379" s="5">
        <v>0</v>
      </c>
      <c r="H379" s="5">
        <v>35462500000</v>
      </c>
      <c r="I379" s="5">
        <v>33043958333.333336</v>
      </c>
      <c r="J379" s="5">
        <v>33043958333.333336</v>
      </c>
      <c r="K379" s="5">
        <v>-2.1345560586802216E-12</v>
      </c>
      <c r="L379" s="5">
        <v>-2.1345560586802216E-12</v>
      </c>
      <c r="M379" s="5">
        <v>0</v>
      </c>
      <c r="N379" s="5">
        <v>2.0000000000000001E-4</v>
      </c>
      <c r="O379" s="5">
        <v>83.978264790764769</v>
      </c>
      <c r="P379" s="5">
        <v>83.978264790764769</v>
      </c>
      <c r="Q379" s="5">
        <v>4.5038499228395026E-10</v>
      </c>
      <c r="R379" s="5">
        <v>0</v>
      </c>
      <c r="S379" s="5">
        <v>9.5503124999999999E-5</v>
      </c>
      <c r="T379" s="5">
        <v>6.4857291666666655E-6</v>
      </c>
      <c r="U379" s="5">
        <v>6.4857291666666655E-6</v>
      </c>
      <c r="V379" s="5">
        <v>0</v>
      </c>
      <c r="W379" s="5">
        <v>0</v>
      </c>
      <c r="X379" s="5">
        <v>1.6020486111111112</v>
      </c>
      <c r="Y379" s="5">
        <v>3370.0347222222226</v>
      </c>
      <c r="Z379" s="5">
        <f t="shared" ref="Z379:AA379" si="181">Z378+0.0002</f>
        <v>-1.9999999999999985E-4</v>
      </c>
      <c r="AA379" s="5">
        <f t="shared" si="181"/>
        <v>0</v>
      </c>
      <c r="AB379" s="4">
        <v>2</v>
      </c>
    </row>
    <row r="380" spans="1:28" x14ac:dyDescent="0.25">
      <c r="C380" s="4">
        <v>7</v>
      </c>
      <c r="D380" s="5">
        <v>93685830998.509613</v>
      </c>
      <c r="E380" s="5">
        <v>93685830998.509613</v>
      </c>
      <c r="F380" s="5">
        <v>0.2263014996857014</v>
      </c>
      <c r="G380" s="5">
        <v>0</v>
      </c>
      <c r="H380" s="5">
        <v>34462500000</v>
      </c>
      <c r="I380" s="5">
        <v>32993958333.333336</v>
      </c>
      <c r="J380" s="5">
        <v>32993958333.333336</v>
      </c>
      <c r="K380" s="5">
        <v>-8.7877178000211775E-12</v>
      </c>
      <c r="L380" s="5">
        <v>-8.7877178000211775E-12</v>
      </c>
      <c r="M380" s="5">
        <v>0</v>
      </c>
      <c r="N380" s="5">
        <v>2.0000000000000001E-4</v>
      </c>
      <c r="O380" s="5">
        <v>72.441468253968239</v>
      </c>
      <c r="P380" s="5">
        <v>72.441468253968239</v>
      </c>
      <c r="Q380" s="5">
        <v>1.6705979552469135E-9</v>
      </c>
      <c r="R380" s="5">
        <v>0</v>
      </c>
      <c r="S380" s="5">
        <v>8.3253124999999999E-5</v>
      </c>
      <c r="T380" s="5">
        <v>6.9607291666666652E-6</v>
      </c>
      <c r="U380" s="5">
        <v>6.9607291666666652E-6</v>
      </c>
      <c r="V380" s="5">
        <v>0</v>
      </c>
      <c r="W380" s="5">
        <v>0</v>
      </c>
      <c r="X380" s="5">
        <v>1.6603819444444443</v>
      </c>
      <c r="Y380" s="5">
        <v>3411.7013888888887</v>
      </c>
      <c r="Z380" s="5">
        <f t="shared" ref="Z380:AA380" si="182">Z379+0.0002</f>
        <v>0</v>
      </c>
      <c r="AA380" s="5">
        <f t="shared" si="182"/>
        <v>2.0000000000000001E-4</v>
      </c>
      <c r="AB380" s="4">
        <v>2</v>
      </c>
    </row>
    <row r="381" spans="1:28" x14ac:dyDescent="0.25">
      <c r="C381" s="4">
        <v>8</v>
      </c>
      <c r="D381" s="5">
        <v>98998175009.786301</v>
      </c>
      <c r="E381" s="5">
        <v>98998175009.786301</v>
      </c>
      <c r="F381" s="5">
        <v>0.24289061542175469</v>
      </c>
      <c r="G381" s="5">
        <v>0</v>
      </c>
      <c r="H381" s="5">
        <v>36662500000</v>
      </c>
      <c r="I381" s="5">
        <v>36395625000</v>
      </c>
      <c r="J381" s="5">
        <v>36395625000</v>
      </c>
      <c r="K381" s="5">
        <v>-1.9211004528122017E-11</v>
      </c>
      <c r="L381" s="5">
        <v>-1.9211004528122017E-11</v>
      </c>
      <c r="M381" s="5">
        <v>0</v>
      </c>
      <c r="N381" s="5">
        <v>2.0000000000000001E-4</v>
      </c>
      <c r="O381" s="5">
        <v>63.596590909090892</v>
      </c>
      <c r="P381" s="5">
        <v>63.596590909090892</v>
      </c>
      <c r="Q381" s="5">
        <v>3.5884649305555561E-9</v>
      </c>
      <c r="R381" s="5">
        <v>0</v>
      </c>
      <c r="S381" s="5">
        <v>7.4528125000000004E-5</v>
      </c>
      <c r="T381" s="5">
        <v>8.3715625000000004E-6</v>
      </c>
      <c r="U381" s="5">
        <v>8.3715625000000004E-6</v>
      </c>
      <c r="V381" s="5">
        <v>0</v>
      </c>
      <c r="W381" s="5">
        <v>0</v>
      </c>
      <c r="X381" s="5">
        <v>1.9184375</v>
      </c>
      <c r="Y381" s="5">
        <v>3830.3125</v>
      </c>
      <c r="Z381" s="5">
        <f t="shared" ref="Z381:AA381" si="183">Z380+0.0002</f>
        <v>2.0000000000000001E-4</v>
      </c>
      <c r="AA381" s="5">
        <f t="shared" si="183"/>
        <v>4.0000000000000002E-4</v>
      </c>
      <c r="AB381" s="4">
        <v>2</v>
      </c>
    </row>
    <row r="382" spans="1:28" x14ac:dyDescent="0.25">
      <c r="C382" s="4">
        <v>9</v>
      </c>
      <c r="D382" s="5">
        <v>103779415329.61743</v>
      </c>
      <c r="E382" s="5">
        <v>103779415329.61743</v>
      </c>
      <c r="F382" s="5">
        <v>0.25863543130904371</v>
      </c>
      <c r="G382" s="5">
        <v>0</v>
      </c>
      <c r="H382" s="5">
        <v>38695833333.333328</v>
      </c>
      <c r="I382" s="5">
        <v>39788958333.333336</v>
      </c>
      <c r="J382" s="5">
        <v>39788958333.333336</v>
      </c>
      <c r="K382" s="5">
        <v>-3.0743151546446348E-11</v>
      </c>
      <c r="L382" s="5">
        <v>-3.0743151546446348E-11</v>
      </c>
      <c r="M382" s="5">
        <v>0</v>
      </c>
      <c r="N382" s="5">
        <v>2.0000000000000001E-4</v>
      </c>
      <c r="O382" s="5">
        <v>52.828914141414124</v>
      </c>
      <c r="P382" s="5">
        <v>52.828914141414124</v>
      </c>
      <c r="Q382" s="5">
        <v>5.709700733024693E-9</v>
      </c>
      <c r="R382" s="5">
        <v>0</v>
      </c>
      <c r="S382" s="5">
        <v>6.3761458333333324E-5</v>
      </c>
      <c r="T382" s="5">
        <v>9.8615624999999997E-6</v>
      </c>
      <c r="U382" s="5">
        <v>9.8615624999999997E-6</v>
      </c>
      <c r="V382" s="5">
        <v>0</v>
      </c>
      <c r="W382" s="5">
        <v>0</v>
      </c>
      <c r="X382" s="5">
        <v>2.1862152777777779</v>
      </c>
      <c r="Y382" s="5">
        <v>4255.8680555555557</v>
      </c>
      <c r="Z382" s="5">
        <f t="shared" ref="Z382:AA382" si="184">Z381+0.0002</f>
        <v>4.0000000000000002E-4</v>
      </c>
      <c r="AA382" s="5">
        <f t="shared" si="184"/>
        <v>6.0000000000000006E-4</v>
      </c>
      <c r="AB382" s="4">
        <v>2</v>
      </c>
    </row>
    <row r="383" spans="1:28" x14ac:dyDescent="0.25">
      <c r="C383" s="4">
        <v>10</v>
      </c>
      <c r="D383" s="5">
        <v>108029551958.00302</v>
      </c>
      <c r="E383" s="5">
        <v>108029551958.00302</v>
      </c>
      <c r="F383" s="5">
        <v>0.27353594734756836</v>
      </c>
      <c r="G383" s="5">
        <v>0</v>
      </c>
      <c r="H383" s="5">
        <v>40562500000</v>
      </c>
      <c r="I383" s="5">
        <v>43173958333.333336</v>
      </c>
      <c r="J383" s="5">
        <v>43173958333.333336</v>
      </c>
      <c r="K383" s="5">
        <v>-4.3384158854994179E-11</v>
      </c>
      <c r="L383" s="5">
        <v>-4.3384158854994179E-11</v>
      </c>
      <c r="M383" s="5">
        <v>0</v>
      </c>
      <c r="N383" s="5">
        <v>2.0000000000000001E-4</v>
      </c>
      <c r="O383" s="5">
        <v>40.13843795093792</v>
      </c>
      <c r="P383" s="5">
        <v>40.13843795093792</v>
      </c>
      <c r="Q383" s="5">
        <v>8.0343053626543247E-9</v>
      </c>
      <c r="R383" s="5">
        <v>0</v>
      </c>
      <c r="S383" s="5">
        <v>5.0953124999999973E-5</v>
      </c>
      <c r="T383" s="5">
        <v>1.1430729166666666E-5</v>
      </c>
      <c r="U383" s="5">
        <v>1.1430729166666666E-5</v>
      </c>
      <c r="V383" s="5">
        <v>0</v>
      </c>
      <c r="W383" s="5">
        <v>0</v>
      </c>
      <c r="X383" s="5">
        <v>2.4637152777777778</v>
      </c>
      <c r="Y383" s="5">
        <v>4688.3680555555557</v>
      </c>
      <c r="Z383" s="5">
        <f t="shared" ref="Z383:AA383" si="185">Z382+0.0002</f>
        <v>6.0000000000000006E-4</v>
      </c>
      <c r="AA383" s="5">
        <f t="shared" si="185"/>
        <v>8.0000000000000004E-4</v>
      </c>
      <c r="AB383" s="4">
        <v>2</v>
      </c>
    </row>
    <row r="384" spans="1:28" x14ac:dyDescent="0.25">
      <c r="C384" s="4">
        <v>11</v>
      </c>
      <c r="D384" s="5">
        <v>111748584894.94308</v>
      </c>
      <c r="E384" s="5">
        <v>111748584894.94308</v>
      </c>
      <c r="F384" s="5">
        <v>0.2875921635373288</v>
      </c>
      <c r="G384" s="5">
        <v>0</v>
      </c>
      <c r="H384" s="5">
        <v>42262500000</v>
      </c>
      <c r="I384" s="5">
        <v>46550625000</v>
      </c>
      <c r="J384" s="5">
        <v>46550625000</v>
      </c>
      <c r="K384" s="5">
        <v>-5.7134026453765478E-11</v>
      </c>
      <c r="L384" s="5">
        <v>-5.7134026453765478E-11</v>
      </c>
      <c r="M384" s="5">
        <v>0</v>
      </c>
      <c r="N384" s="5">
        <v>2.0000000000000001E-4</v>
      </c>
      <c r="O384" s="5">
        <v>25.525162337662334</v>
      </c>
      <c r="P384" s="5">
        <v>25.525162337662334</v>
      </c>
      <c r="Q384" s="5">
        <v>1.0562278819444445E-8</v>
      </c>
      <c r="R384" s="5">
        <v>0</v>
      </c>
      <c r="S384" s="5">
        <v>3.6103125000000005E-5</v>
      </c>
      <c r="T384" s="5">
        <v>1.3079062499999999E-5</v>
      </c>
      <c r="U384" s="5">
        <v>1.3079062499999999E-5</v>
      </c>
      <c r="V384" s="5">
        <v>0</v>
      </c>
      <c r="W384" s="5">
        <v>0</v>
      </c>
      <c r="X384" s="5">
        <v>2.7509375</v>
      </c>
      <c r="Y384" s="5">
        <v>5127.8125</v>
      </c>
      <c r="Z384" s="5">
        <f t="shared" ref="Z384:AA384" si="186">Z383+0.0002</f>
        <v>8.0000000000000004E-4</v>
      </c>
      <c r="AA384" s="5">
        <f t="shared" si="186"/>
        <v>1E-3</v>
      </c>
      <c r="AB384" s="4">
        <v>2</v>
      </c>
    </row>
    <row r="385" spans="1:28" x14ac:dyDescent="0.25">
      <c r="B385" t="s">
        <v>191</v>
      </c>
      <c r="C385" s="11">
        <v>12</v>
      </c>
      <c r="D385" s="5">
        <v>114936514140.43758</v>
      </c>
      <c r="E385" s="5">
        <v>114936514140.43758</v>
      </c>
      <c r="F385" s="5">
        <v>0.30080407987832491</v>
      </c>
      <c r="G385" s="5">
        <v>0</v>
      </c>
      <c r="H385" s="5">
        <v>43795833333.333336</v>
      </c>
      <c r="I385" s="5">
        <v>49918958333.333344</v>
      </c>
      <c r="J385" s="5">
        <v>49918958333.333344</v>
      </c>
      <c r="K385" s="5">
        <v>-7.1992754342760306E-11</v>
      </c>
      <c r="L385" s="5">
        <v>-7.1992754342760306E-11</v>
      </c>
      <c r="M385" s="5">
        <v>0</v>
      </c>
      <c r="N385" s="5">
        <v>2.0000000000000001E-4</v>
      </c>
      <c r="O385" s="5">
        <v>8.989087301587265</v>
      </c>
      <c r="P385" s="5">
        <v>8.989087301587265</v>
      </c>
      <c r="Q385" s="5">
        <v>1.3293621103395067E-8</v>
      </c>
      <c r="R385" s="5">
        <v>0</v>
      </c>
      <c r="S385" s="5">
        <v>1.9211458333333308E-5</v>
      </c>
      <c r="T385" s="5">
        <v>1.4806562500000001E-5</v>
      </c>
      <c r="U385" s="5">
        <v>1.4806562500000001E-5</v>
      </c>
      <c r="V385" s="5">
        <v>0</v>
      </c>
      <c r="W385" s="5">
        <v>0</v>
      </c>
      <c r="X385" s="5">
        <v>3.0478819444444452</v>
      </c>
      <c r="Y385" s="5">
        <v>5574.2013888888887</v>
      </c>
      <c r="Z385" s="5">
        <f t="shared" ref="Z385:AA385" si="187">Z384+0.0002</f>
        <v>1E-3</v>
      </c>
      <c r="AA385" s="5">
        <f t="shared" si="187"/>
        <v>1.2000000000000001E-3</v>
      </c>
      <c r="AB385" s="4">
        <v>2</v>
      </c>
    </row>
    <row r="389" spans="1:28" x14ac:dyDescent="0.25">
      <c r="A389" s="15" t="s">
        <v>255</v>
      </c>
      <c r="C389" s="10" t="s">
        <v>27</v>
      </c>
      <c r="D389" s="10" t="s">
        <v>28</v>
      </c>
      <c r="E389" s="10" t="s">
        <v>29</v>
      </c>
      <c r="F389" s="10" t="s">
        <v>30</v>
      </c>
      <c r="G389" s="10" t="s">
        <v>31</v>
      </c>
      <c r="H389" s="10" t="s">
        <v>47</v>
      </c>
      <c r="I389" s="10" t="s">
        <v>32</v>
      </c>
      <c r="J389" s="10" t="s">
        <v>33</v>
      </c>
      <c r="K389" s="10" t="s">
        <v>34</v>
      </c>
      <c r="L389" s="10" t="s">
        <v>35</v>
      </c>
      <c r="M389" s="10" t="s">
        <v>36</v>
      </c>
      <c r="N389" s="10" t="s">
        <v>37</v>
      </c>
      <c r="O389" s="10" t="s">
        <v>38</v>
      </c>
      <c r="P389" s="10" t="s">
        <v>39</v>
      </c>
      <c r="Q389" s="10" t="s">
        <v>40</v>
      </c>
      <c r="R389" s="10" t="s">
        <v>41</v>
      </c>
      <c r="S389" s="10" t="s">
        <v>42</v>
      </c>
      <c r="T389" s="10" t="s">
        <v>48</v>
      </c>
      <c r="U389" s="10" t="s">
        <v>77</v>
      </c>
      <c r="V389" s="10" t="s">
        <v>78</v>
      </c>
      <c r="W389" s="10" t="s">
        <v>79</v>
      </c>
      <c r="X389" s="10" t="s">
        <v>49</v>
      </c>
      <c r="Y389" s="10" t="s">
        <v>43</v>
      </c>
      <c r="Z389" s="10" t="s">
        <v>44</v>
      </c>
      <c r="AA389" s="10" t="s">
        <v>45</v>
      </c>
      <c r="AB389" s="10" t="s">
        <v>46</v>
      </c>
    </row>
    <row r="390" spans="1:28" x14ac:dyDescent="0.25">
      <c r="A390" s="12" t="s">
        <v>171</v>
      </c>
      <c r="B390" t="s">
        <v>190</v>
      </c>
      <c r="C390" s="11">
        <v>1</v>
      </c>
      <c r="D390" s="5">
        <v>147731840312.99466</v>
      </c>
      <c r="E390" s="5">
        <v>147731840312.99466</v>
      </c>
      <c r="F390" s="5">
        <v>0.35090306622741796</v>
      </c>
      <c r="G390" s="5">
        <v>0</v>
      </c>
      <c r="H390" s="5">
        <v>53954166666.666672</v>
      </c>
      <c r="I390" s="5">
        <v>49603958333.333344</v>
      </c>
      <c r="J390" s="5">
        <v>49603958333.333344</v>
      </c>
      <c r="K390" s="5">
        <v>1.8573409861243469E-12</v>
      </c>
      <c r="L390" s="5">
        <v>1.8573409861243469E-12</v>
      </c>
      <c r="M390" s="5">
        <v>0</v>
      </c>
      <c r="N390" s="5">
        <v>2.0000000000000001E-4</v>
      </c>
      <c r="O390" s="5">
        <v>134.74016955266953</v>
      </c>
      <c r="P390" s="5">
        <v>134.74016955266953</v>
      </c>
      <c r="Q390" s="5">
        <v>-2.5229278549382643E-10</v>
      </c>
      <c r="R390" s="5">
        <v>0</v>
      </c>
      <c r="S390" s="5">
        <v>1.5256979166666668E-4</v>
      </c>
      <c r="T390" s="5">
        <v>9.3673958333333353E-6</v>
      </c>
      <c r="U390" s="5">
        <v>9.3673958333333353E-6</v>
      </c>
      <c r="V390" s="5">
        <v>0</v>
      </c>
      <c r="W390" s="5">
        <v>0</v>
      </c>
      <c r="X390" s="5">
        <v>2.3587152777777782</v>
      </c>
      <c r="Y390" s="5">
        <v>5023.3680555555566</v>
      </c>
      <c r="Z390" s="5">
        <v>-1.1999999999999999E-3</v>
      </c>
      <c r="AA390" s="5">
        <v>-1E-3</v>
      </c>
      <c r="AB390" s="4">
        <v>2</v>
      </c>
    </row>
    <row r="391" spans="1:28" x14ac:dyDescent="0.25">
      <c r="C391" s="4">
        <v>2</v>
      </c>
      <c r="D391" s="5">
        <v>133655631844.45586</v>
      </c>
      <c r="E391" s="5">
        <v>133655631844.45586</v>
      </c>
      <c r="F391" s="5">
        <v>0.31630994436254856</v>
      </c>
      <c r="G391" s="5">
        <v>0</v>
      </c>
      <c r="H391" s="5">
        <v>48737500000</v>
      </c>
      <c r="I391" s="5">
        <v>44405625000</v>
      </c>
      <c r="J391" s="5">
        <v>44405625000</v>
      </c>
      <c r="K391" s="5">
        <v>4.7403777407054323E-12</v>
      </c>
      <c r="L391" s="5">
        <v>4.7403777407054323E-12</v>
      </c>
      <c r="M391" s="5">
        <v>0</v>
      </c>
      <c r="N391" s="5">
        <v>2.0000000000000001E-4</v>
      </c>
      <c r="O391" s="5">
        <v>125.89529220779218</v>
      </c>
      <c r="P391" s="5">
        <v>125.89529220779218</v>
      </c>
      <c r="Q391" s="5">
        <v>-7.9035173611111112E-10</v>
      </c>
      <c r="R391" s="5">
        <v>0</v>
      </c>
      <c r="S391" s="5">
        <v>1.4217812500000001E-4</v>
      </c>
      <c r="T391" s="5">
        <v>8.1615625000000007E-6</v>
      </c>
      <c r="U391" s="5">
        <v>8.1615625000000007E-6</v>
      </c>
      <c r="V391" s="5">
        <v>0</v>
      </c>
      <c r="W391" s="5">
        <v>0</v>
      </c>
      <c r="X391" s="5">
        <v>2.0834374999999996</v>
      </c>
      <c r="Y391" s="5">
        <v>4475.3125</v>
      </c>
      <c r="Z391" s="5">
        <f t="shared" ref="Z391:AA391" si="188">Z390+0.0002</f>
        <v>-9.999999999999998E-4</v>
      </c>
      <c r="AA391" s="5">
        <f t="shared" si="188"/>
        <v>-8.0000000000000004E-4</v>
      </c>
      <c r="AB391" s="4">
        <v>2</v>
      </c>
    </row>
    <row r="392" spans="1:28" x14ac:dyDescent="0.25">
      <c r="C392" s="4">
        <v>3</v>
      </c>
      <c r="D392" s="5">
        <v>119048319684.47154</v>
      </c>
      <c r="E392" s="5">
        <v>119048319684.47154</v>
      </c>
      <c r="F392" s="5">
        <v>0.28087252264891482</v>
      </c>
      <c r="G392" s="5">
        <v>0</v>
      </c>
      <c r="H392" s="5">
        <v>43354166666.666664</v>
      </c>
      <c r="I392" s="5">
        <v>39198958333.333336</v>
      </c>
      <c r="J392" s="5">
        <v>39198958333.333336</v>
      </c>
      <c r="K392" s="5">
        <v>6.5145542050630206E-12</v>
      </c>
      <c r="L392" s="5">
        <v>6.5145542050630206E-12</v>
      </c>
      <c r="M392" s="5">
        <v>0</v>
      </c>
      <c r="N392" s="5">
        <v>2.0000000000000001E-4</v>
      </c>
      <c r="O392" s="5">
        <v>115.12761544011541</v>
      </c>
      <c r="P392" s="5">
        <v>115.12761544011541</v>
      </c>
      <c r="Q392" s="5">
        <v>-1.1250418595679012E-9</v>
      </c>
      <c r="R392" s="5">
        <v>0</v>
      </c>
      <c r="S392" s="5">
        <v>1.2974479166666665E-4</v>
      </c>
      <c r="T392" s="5">
        <v>7.0348958333333335E-6</v>
      </c>
      <c r="U392" s="5">
        <v>7.0348958333333335E-6</v>
      </c>
      <c r="V392" s="5">
        <v>0</v>
      </c>
      <c r="W392" s="5">
        <v>0</v>
      </c>
      <c r="X392" s="5">
        <v>1.8178819444444447</v>
      </c>
      <c r="Y392" s="5">
        <v>3934.2013888888887</v>
      </c>
      <c r="Z392" s="5">
        <f t="shared" ref="Z392:AA392" si="189">Z391+0.0002</f>
        <v>-7.9999999999999982E-4</v>
      </c>
      <c r="AA392" s="5">
        <f t="shared" si="189"/>
        <v>-6.0000000000000006E-4</v>
      </c>
      <c r="AB392" s="4">
        <v>2</v>
      </c>
    </row>
    <row r="393" spans="1:28" x14ac:dyDescent="0.25">
      <c r="C393" s="4">
        <v>4</v>
      </c>
      <c r="D393" s="5">
        <v>103909903833.04167</v>
      </c>
      <c r="E393" s="5">
        <v>103909903833.04167</v>
      </c>
      <c r="F393" s="5">
        <v>0.24459080108651682</v>
      </c>
      <c r="G393" s="5">
        <v>0</v>
      </c>
      <c r="H393" s="5">
        <v>37804166666.666672</v>
      </c>
      <c r="I393" s="5">
        <v>33983958333.33334</v>
      </c>
      <c r="J393" s="5">
        <v>33983958333.33334</v>
      </c>
      <c r="K393" s="5">
        <v>7.1798703791971168E-12</v>
      </c>
      <c r="L393" s="5">
        <v>7.1798703791971168E-12</v>
      </c>
      <c r="M393" s="5">
        <v>0</v>
      </c>
      <c r="N393" s="5">
        <v>2.0000000000000001E-4</v>
      </c>
      <c r="O393" s="5">
        <v>102.43713924963923</v>
      </c>
      <c r="P393" s="5">
        <v>102.43713924963923</v>
      </c>
      <c r="Q393" s="5">
        <v>-1.2563631558641972E-9</v>
      </c>
      <c r="R393" s="5">
        <v>0</v>
      </c>
      <c r="S393" s="5">
        <v>1.1526979166666667E-4</v>
      </c>
      <c r="T393" s="5">
        <v>5.9873958333333346E-6</v>
      </c>
      <c r="U393" s="5">
        <v>5.9873958333333346E-6</v>
      </c>
      <c r="V393" s="5">
        <v>0</v>
      </c>
      <c r="W393" s="5">
        <v>0</v>
      </c>
      <c r="X393" s="5">
        <v>1.5620486111111112</v>
      </c>
      <c r="Y393" s="5">
        <v>3400.0347222222226</v>
      </c>
      <c r="Z393" s="5">
        <f t="shared" ref="Z393:AA393" si="190">Z392+0.0002</f>
        <v>-5.9999999999999984E-4</v>
      </c>
      <c r="AA393" s="5">
        <f t="shared" si="190"/>
        <v>-4.0000000000000007E-4</v>
      </c>
      <c r="AB393" s="4">
        <v>2</v>
      </c>
    </row>
    <row r="394" spans="1:28" x14ac:dyDescent="0.25">
      <c r="C394" s="4">
        <v>5</v>
      </c>
      <c r="D394" s="5">
        <v>88240384290.16626</v>
      </c>
      <c r="E394" s="5">
        <v>88240384290.16626</v>
      </c>
      <c r="F394" s="5">
        <v>0.20746477967535445</v>
      </c>
      <c r="G394" s="5">
        <v>0</v>
      </c>
      <c r="H394" s="5">
        <v>32087500000</v>
      </c>
      <c r="I394" s="5">
        <v>28760625000</v>
      </c>
      <c r="J394" s="5">
        <v>28760625000</v>
      </c>
      <c r="K394" s="5">
        <v>6.7363262631077202E-12</v>
      </c>
      <c r="L394" s="5">
        <v>6.7363262631077202E-12</v>
      </c>
      <c r="M394" s="5">
        <v>0</v>
      </c>
      <c r="N394" s="5">
        <v>2.0000000000000001E-4</v>
      </c>
      <c r="O394" s="5">
        <v>87.823863636363626</v>
      </c>
      <c r="P394" s="5">
        <v>87.823863636363626</v>
      </c>
      <c r="Q394" s="5">
        <v>-1.1843156249999997E-9</v>
      </c>
      <c r="R394" s="5">
        <v>0</v>
      </c>
      <c r="S394" s="5">
        <v>9.8753124999999997E-5</v>
      </c>
      <c r="T394" s="5">
        <v>5.0190624999999999E-6</v>
      </c>
      <c r="U394" s="5">
        <v>5.0190624999999999E-6</v>
      </c>
      <c r="V394" s="5">
        <v>0</v>
      </c>
      <c r="W394" s="5">
        <v>0</v>
      </c>
      <c r="X394" s="5">
        <v>1.3159375000000002</v>
      </c>
      <c r="Y394" s="5">
        <v>2872.8125</v>
      </c>
      <c r="Z394" s="5">
        <f t="shared" ref="Z394:AA394" si="191">Z393+0.0002</f>
        <v>-3.9999999999999986E-4</v>
      </c>
      <c r="AA394" s="5">
        <f t="shared" si="191"/>
        <v>-2.0000000000000006E-4</v>
      </c>
      <c r="AB394" s="4">
        <v>2</v>
      </c>
    </row>
    <row r="395" spans="1:28" x14ac:dyDescent="0.25">
      <c r="C395" s="4">
        <v>6</v>
      </c>
      <c r="D395" s="5">
        <v>72039761055.845306</v>
      </c>
      <c r="E395" s="5">
        <v>72039761055.845306</v>
      </c>
      <c r="F395" s="5">
        <v>0.16949445841542787</v>
      </c>
      <c r="G395" s="5">
        <v>0</v>
      </c>
      <c r="H395" s="5">
        <v>26204166666.666664</v>
      </c>
      <c r="I395" s="5">
        <v>23528958333.333336</v>
      </c>
      <c r="J395" s="5">
        <v>23528958333.333336</v>
      </c>
      <c r="K395" s="5">
        <v>5.1839218567948322E-12</v>
      </c>
      <c r="L395" s="5">
        <v>5.1839218567948322E-12</v>
      </c>
      <c r="M395" s="5">
        <v>0</v>
      </c>
      <c r="N395" s="5">
        <v>2.0000000000000001E-4</v>
      </c>
      <c r="O395" s="5">
        <v>71.287788600288593</v>
      </c>
      <c r="P395" s="5">
        <v>71.287788600288593</v>
      </c>
      <c r="Q395" s="5">
        <v>-9.0889926697530851E-10</v>
      </c>
      <c r="R395" s="5">
        <v>0</v>
      </c>
      <c r="S395" s="5">
        <v>8.0194791666666668E-5</v>
      </c>
      <c r="T395" s="5">
        <v>4.1298958333333325E-6</v>
      </c>
      <c r="U395" s="5">
        <v>4.1298958333333325E-6</v>
      </c>
      <c r="V395" s="5">
        <v>0</v>
      </c>
      <c r="W395" s="5">
        <v>0</v>
      </c>
      <c r="X395" s="5">
        <v>1.0795486111111114</v>
      </c>
      <c r="Y395" s="5">
        <v>2352.5347222222226</v>
      </c>
      <c r="Z395" s="5">
        <f t="shared" ref="Z395:AA395" si="192">Z394+0.0002</f>
        <v>-1.9999999999999985E-4</v>
      </c>
      <c r="AA395" s="5">
        <f t="shared" si="192"/>
        <v>0</v>
      </c>
      <c r="AB395" s="4">
        <v>2</v>
      </c>
    </row>
    <row r="396" spans="1:28" x14ac:dyDescent="0.25">
      <c r="C396" s="4">
        <v>7</v>
      </c>
      <c r="D396" s="5">
        <v>68853138907.172028</v>
      </c>
      <c r="E396" s="5">
        <v>68853138907.172028</v>
      </c>
      <c r="F396" s="5">
        <v>0.16442865932284206</v>
      </c>
      <c r="G396" s="5">
        <v>0</v>
      </c>
      <c r="H396" s="5">
        <v>25204166666.666664</v>
      </c>
      <c r="I396" s="5">
        <v>23478958333.333336</v>
      </c>
      <c r="J396" s="5">
        <v>23478958333.333336</v>
      </c>
      <c r="K396" s="5">
        <v>-1.4692398845461237E-12</v>
      </c>
      <c r="L396" s="5">
        <v>-1.4692398845461237E-12</v>
      </c>
      <c r="M396" s="5">
        <v>0</v>
      </c>
      <c r="N396" s="5">
        <v>2.0000000000000001E-4</v>
      </c>
      <c r="O396" s="5">
        <v>59.750992063492056</v>
      </c>
      <c r="P396" s="5">
        <v>59.750992063492056</v>
      </c>
      <c r="Q396" s="5">
        <v>3.1131369598765474E-10</v>
      </c>
      <c r="R396" s="5">
        <v>0</v>
      </c>
      <c r="S396" s="5">
        <v>6.7944791666666669E-5</v>
      </c>
      <c r="T396" s="5">
        <v>4.6048958333333322E-6</v>
      </c>
      <c r="U396" s="5">
        <v>4.6048958333333322E-6</v>
      </c>
      <c r="V396" s="5">
        <v>0</v>
      </c>
      <c r="W396" s="5">
        <v>0</v>
      </c>
      <c r="X396" s="5">
        <v>1.1378819444444446</v>
      </c>
      <c r="Y396" s="5">
        <v>2394.2013888888887</v>
      </c>
      <c r="Z396" s="5">
        <f t="shared" ref="Z396:AA396" si="193">Z395+0.0002</f>
        <v>0</v>
      </c>
      <c r="AA396" s="5">
        <f t="shared" si="193"/>
        <v>2.0000000000000001E-4</v>
      </c>
      <c r="AB396" s="4">
        <v>2</v>
      </c>
    </row>
    <row r="397" spans="1:28" x14ac:dyDescent="0.25">
      <c r="C397" s="4">
        <v>8</v>
      </c>
      <c r="D397" s="5">
        <v>78680517844.146454</v>
      </c>
      <c r="E397" s="5">
        <v>78680517844.146454</v>
      </c>
      <c r="F397" s="5">
        <v>0.19226738239759703</v>
      </c>
      <c r="G397" s="5">
        <v>0</v>
      </c>
      <c r="H397" s="5">
        <v>29087500000</v>
      </c>
      <c r="I397" s="5">
        <v>28610625000</v>
      </c>
      <c r="J397" s="5">
        <v>28610625000</v>
      </c>
      <c r="K397" s="5">
        <v>-1.3223158960915156E-11</v>
      </c>
      <c r="L397" s="5">
        <v>-1.3223158960915156E-11</v>
      </c>
      <c r="M397" s="5">
        <v>0</v>
      </c>
      <c r="N397" s="5">
        <v>2.0000000000000001E-4</v>
      </c>
      <c r="O397" s="5">
        <v>53.213474025974023</v>
      </c>
      <c r="P397" s="5">
        <v>53.213474025974023</v>
      </c>
      <c r="Q397" s="5">
        <v>2.47632326388889E-9</v>
      </c>
      <c r="R397" s="5">
        <v>0</v>
      </c>
      <c r="S397" s="5">
        <v>6.2003124999999998E-5</v>
      </c>
      <c r="T397" s="5">
        <v>6.4440624999999989E-6</v>
      </c>
      <c r="U397" s="5">
        <v>6.4440624999999989E-6</v>
      </c>
      <c r="V397" s="5">
        <v>0</v>
      </c>
      <c r="W397" s="5">
        <v>0</v>
      </c>
      <c r="X397" s="5">
        <v>1.4909375</v>
      </c>
      <c r="Y397" s="5">
        <v>2997.8125</v>
      </c>
      <c r="Z397" s="5">
        <f t="shared" ref="Z397:AA397" si="194">Z396+0.0002</f>
        <v>2.0000000000000001E-4</v>
      </c>
      <c r="AA397" s="5">
        <f t="shared" si="194"/>
        <v>4.0000000000000002E-4</v>
      </c>
      <c r="AB397" s="4">
        <v>2</v>
      </c>
    </row>
    <row r="398" spans="1:28" x14ac:dyDescent="0.25">
      <c r="C398" s="4">
        <v>9</v>
      </c>
      <c r="D398" s="5">
        <v>87976793089.675339</v>
      </c>
      <c r="E398" s="5">
        <v>87976793089.675339</v>
      </c>
      <c r="F398" s="5">
        <v>0.21926180562358777</v>
      </c>
      <c r="G398" s="5">
        <v>0</v>
      </c>
      <c r="H398" s="5">
        <v>32804166666.666668</v>
      </c>
      <c r="I398" s="5">
        <v>33733958333.33334</v>
      </c>
      <c r="J398" s="5">
        <v>33733958333.33334</v>
      </c>
      <c r="K398" s="5">
        <v>-2.6085938327507676E-11</v>
      </c>
      <c r="L398" s="5">
        <v>-2.6085938327507676E-11</v>
      </c>
      <c r="M398" s="5">
        <v>0</v>
      </c>
      <c r="N398" s="5">
        <v>2.0000000000000001E-4</v>
      </c>
      <c r="O398" s="5">
        <v>44.753156565656553</v>
      </c>
      <c r="P398" s="5">
        <v>44.753156565656553</v>
      </c>
      <c r="Q398" s="5">
        <v>4.84470165895062E-9</v>
      </c>
      <c r="R398" s="5">
        <v>0</v>
      </c>
      <c r="S398" s="5">
        <v>5.4019791666666669E-5</v>
      </c>
      <c r="T398" s="5">
        <v>8.3623958333333339E-6</v>
      </c>
      <c r="U398" s="5">
        <v>8.3623958333333339E-6</v>
      </c>
      <c r="V398" s="5">
        <v>0</v>
      </c>
      <c r="W398" s="5">
        <v>0</v>
      </c>
      <c r="X398" s="5">
        <v>1.8537152777777781</v>
      </c>
      <c r="Y398" s="5">
        <v>3608.3680555555557</v>
      </c>
      <c r="Z398" s="5">
        <f t="shared" ref="Z398:AA398" si="195">Z397+0.0002</f>
        <v>4.0000000000000002E-4</v>
      </c>
      <c r="AA398" s="5">
        <f t="shared" si="195"/>
        <v>6.0000000000000006E-4</v>
      </c>
      <c r="AB398" s="4">
        <v>2</v>
      </c>
    </row>
    <row r="399" spans="1:28" x14ac:dyDescent="0.25">
      <c r="C399" s="4">
        <v>10</v>
      </c>
      <c r="D399" s="5">
        <v>96741964643.758667</v>
      </c>
      <c r="E399" s="5">
        <v>96741964643.758667</v>
      </c>
      <c r="F399" s="5">
        <v>0.2454119290008141</v>
      </c>
      <c r="G399" s="5">
        <v>0</v>
      </c>
      <c r="H399" s="5">
        <v>36354166666.666664</v>
      </c>
      <c r="I399" s="5">
        <v>38848958333.333336</v>
      </c>
      <c r="J399" s="5">
        <v>38848958333.333336</v>
      </c>
      <c r="K399" s="5">
        <v>-4.0057577984323699E-11</v>
      </c>
      <c r="L399" s="5">
        <v>-4.0057577984323699E-11</v>
      </c>
      <c r="M399" s="5">
        <v>0</v>
      </c>
      <c r="N399" s="5">
        <v>2.0000000000000001E-4</v>
      </c>
      <c r="O399" s="5">
        <v>34.370039682539655</v>
      </c>
      <c r="P399" s="5">
        <v>34.370039682539655</v>
      </c>
      <c r="Q399" s="5">
        <v>7.4164488811728432E-9</v>
      </c>
      <c r="R399" s="5">
        <v>0</v>
      </c>
      <c r="S399" s="5">
        <v>4.3994791666666642E-5</v>
      </c>
      <c r="T399" s="5">
        <v>1.0359895833333333E-5</v>
      </c>
      <c r="U399" s="5">
        <v>1.0359895833333333E-5</v>
      </c>
      <c r="V399" s="5">
        <v>0</v>
      </c>
      <c r="W399" s="5">
        <v>0</v>
      </c>
      <c r="X399" s="5">
        <v>2.2262152777777779</v>
      </c>
      <c r="Y399" s="5">
        <v>4225.8680555555557</v>
      </c>
      <c r="Z399" s="5">
        <f t="shared" ref="Z399:AA399" si="196">Z398+0.0002</f>
        <v>6.0000000000000006E-4</v>
      </c>
      <c r="AA399" s="5">
        <f t="shared" si="196"/>
        <v>8.0000000000000004E-4</v>
      </c>
      <c r="AB399" s="4">
        <v>2</v>
      </c>
    </row>
    <row r="400" spans="1:28" x14ac:dyDescent="0.25">
      <c r="C400" s="4">
        <v>11</v>
      </c>
      <c r="D400" s="5">
        <v>104976032506.39647</v>
      </c>
      <c r="E400" s="5">
        <v>104976032506.39647</v>
      </c>
      <c r="F400" s="5">
        <v>0.27071775252927627</v>
      </c>
      <c r="G400" s="5">
        <v>0</v>
      </c>
      <c r="H400" s="5">
        <v>39737500000</v>
      </c>
      <c r="I400" s="5">
        <v>43955625000</v>
      </c>
      <c r="J400" s="5">
        <v>43955625000</v>
      </c>
      <c r="K400" s="5">
        <v>-5.5138077931363188E-11</v>
      </c>
      <c r="L400" s="5">
        <v>-5.5138077931363188E-11</v>
      </c>
      <c r="M400" s="5">
        <v>0</v>
      </c>
      <c r="N400" s="5">
        <v>2.0000000000000001E-4</v>
      </c>
      <c r="O400" s="5">
        <v>22.064123376623375</v>
      </c>
      <c r="P400" s="5">
        <v>22.064123376623375</v>
      </c>
      <c r="Q400" s="5">
        <v>1.0191564930555557E-8</v>
      </c>
      <c r="R400" s="5">
        <v>0</v>
      </c>
      <c r="S400" s="5">
        <v>3.1928125000000005E-5</v>
      </c>
      <c r="T400" s="5">
        <v>1.24365625E-5</v>
      </c>
      <c r="U400" s="5">
        <v>1.24365625E-5</v>
      </c>
      <c r="V400" s="5">
        <v>0</v>
      </c>
      <c r="W400" s="5">
        <v>0</v>
      </c>
      <c r="X400" s="5">
        <v>2.6084375</v>
      </c>
      <c r="Y400" s="5">
        <v>4850.3125</v>
      </c>
      <c r="Z400" s="5">
        <f t="shared" ref="Z400:AA400" si="197">Z399+0.0002</f>
        <v>8.0000000000000004E-4</v>
      </c>
      <c r="AA400" s="5">
        <f t="shared" si="197"/>
        <v>1E-3</v>
      </c>
      <c r="AB400" s="4">
        <v>2</v>
      </c>
    </row>
    <row r="401" spans="1:28" x14ac:dyDescent="0.25">
      <c r="B401" t="s">
        <v>191</v>
      </c>
      <c r="C401" s="11">
        <v>12</v>
      </c>
      <c r="D401" s="5">
        <v>112678996677.58871</v>
      </c>
      <c r="E401" s="5">
        <v>112678996677.58871</v>
      </c>
      <c r="F401" s="5">
        <v>0.29517927620897405</v>
      </c>
      <c r="G401" s="5">
        <v>0</v>
      </c>
      <c r="H401" s="5">
        <v>42954166666.666672</v>
      </c>
      <c r="I401" s="5">
        <v>49053958333.333344</v>
      </c>
      <c r="J401" s="5">
        <v>49053958333.333344</v>
      </c>
      <c r="K401" s="5">
        <v>-7.1327438168626217E-11</v>
      </c>
      <c r="L401" s="5">
        <v>-7.1327438168626217E-11</v>
      </c>
      <c r="M401" s="5">
        <v>0</v>
      </c>
      <c r="N401" s="5">
        <v>2.0000000000000001E-4</v>
      </c>
      <c r="O401" s="5">
        <v>7.8354076479076156</v>
      </c>
      <c r="P401" s="5">
        <v>7.8354076479076156</v>
      </c>
      <c r="Q401" s="5">
        <v>1.3170049807098771E-8</v>
      </c>
      <c r="R401" s="5">
        <v>0</v>
      </c>
      <c r="S401" s="5">
        <v>1.7819791666666646E-5</v>
      </c>
      <c r="T401" s="5">
        <v>1.4592395833333334E-5</v>
      </c>
      <c r="U401" s="5">
        <v>1.4592395833333334E-5</v>
      </c>
      <c r="V401" s="5">
        <v>0</v>
      </c>
      <c r="W401" s="5">
        <v>0</v>
      </c>
      <c r="X401" s="5">
        <v>3.0003819444444453</v>
      </c>
      <c r="Y401" s="5">
        <v>5481.7013888888896</v>
      </c>
      <c r="Z401" s="5">
        <f t="shared" ref="Z401:AA401" si="198">Z400+0.0002</f>
        <v>1E-3</v>
      </c>
      <c r="AA401" s="5">
        <f t="shared" si="198"/>
        <v>1.2000000000000001E-3</v>
      </c>
      <c r="AB401" s="4">
        <v>2</v>
      </c>
    </row>
    <row r="404" spans="1:28" x14ac:dyDescent="0.25">
      <c r="A404" s="15" t="s">
        <v>256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x14ac:dyDescent="0.25">
      <c r="A405" s="12" t="s">
        <v>171</v>
      </c>
      <c r="C405" s="10" t="s">
        <v>27</v>
      </c>
      <c r="D405" s="10" t="s">
        <v>28</v>
      </c>
      <c r="E405" s="10" t="s">
        <v>29</v>
      </c>
      <c r="F405" s="10" t="s">
        <v>30</v>
      </c>
      <c r="G405" s="10" t="s">
        <v>31</v>
      </c>
      <c r="H405" s="10" t="s">
        <v>47</v>
      </c>
      <c r="I405" s="10" t="s">
        <v>32</v>
      </c>
      <c r="J405" s="10" t="s">
        <v>33</v>
      </c>
      <c r="K405" s="10" t="s">
        <v>34</v>
      </c>
      <c r="L405" s="10" t="s">
        <v>35</v>
      </c>
      <c r="M405" s="10" t="s">
        <v>36</v>
      </c>
      <c r="N405" s="10" t="s">
        <v>37</v>
      </c>
      <c r="O405" s="10" t="s">
        <v>38</v>
      </c>
      <c r="P405" s="10" t="s">
        <v>39</v>
      </c>
      <c r="Q405" s="10" t="s">
        <v>40</v>
      </c>
      <c r="R405" s="10" t="s">
        <v>41</v>
      </c>
      <c r="S405" s="10" t="s">
        <v>42</v>
      </c>
      <c r="T405" s="10" t="s">
        <v>48</v>
      </c>
      <c r="U405" s="10" t="s">
        <v>77</v>
      </c>
      <c r="V405" s="10" t="s">
        <v>78</v>
      </c>
      <c r="W405" s="10" t="s">
        <v>79</v>
      </c>
      <c r="X405" s="10" t="s">
        <v>49</v>
      </c>
      <c r="Y405" s="10" t="s">
        <v>43</v>
      </c>
      <c r="Z405" s="10" t="s">
        <v>44</v>
      </c>
      <c r="AA405" s="10" t="s">
        <v>45</v>
      </c>
      <c r="AB405" s="10" t="s">
        <v>46</v>
      </c>
    </row>
    <row r="406" spans="1:28" x14ac:dyDescent="0.25">
      <c r="B406" t="s">
        <v>190</v>
      </c>
      <c r="C406" s="11">
        <v>1</v>
      </c>
      <c r="D406" s="5">
        <v>145474322850.14578</v>
      </c>
      <c r="E406" s="5">
        <v>145474322850.14578</v>
      </c>
      <c r="F406" s="5">
        <v>0.34527826255806715</v>
      </c>
      <c r="G406" s="5">
        <v>0</v>
      </c>
      <c r="H406" s="5">
        <v>53112500000.000008</v>
      </c>
      <c r="I406" s="5">
        <v>48738958333.333344</v>
      </c>
      <c r="J406" s="5">
        <v>48738958333.333344</v>
      </c>
      <c r="K406" s="5">
        <v>2.5226571602584412E-12</v>
      </c>
      <c r="L406" s="5">
        <v>2.5226571602584412E-12</v>
      </c>
      <c r="M406" s="5">
        <v>0</v>
      </c>
      <c r="N406" s="5">
        <v>2.0000000000000001E-4</v>
      </c>
      <c r="O406" s="5">
        <v>133.58648989898987</v>
      </c>
      <c r="P406" s="5">
        <v>133.58648989898987</v>
      </c>
      <c r="Q406" s="5">
        <v>-3.7586408179012251E-10</v>
      </c>
      <c r="R406" s="5">
        <v>0</v>
      </c>
      <c r="S406" s="5">
        <v>1.5117812500000001E-4</v>
      </c>
      <c r="T406" s="5">
        <v>9.15322916666667E-6</v>
      </c>
      <c r="U406" s="5">
        <v>9.15322916666667E-6</v>
      </c>
      <c r="V406" s="5">
        <v>0</v>
      </c>
      <c r="W406" s="5">
        <v>0</v>
      </c>
      <c r="X406" s="5">
        <v>2.3112152777777784</v>
      </c>
      <c r="Y406" s="5">
        <v>4930.8680555555566</v>
      </c>
      <c r="Z406" s="5">
        <v>-1.1999999999999999E-3</v>
      </c>
      <c r="AA406" s="5">
        <v>-1E-3</v>
      </c>
      <c r="AB406" s="4">
        <v>2</v>
      </c>
    </row>
    <row r="407" spans="1:28" x14ac:dyDescent="0.25">
      <c r="C407" s="4">
        <v>2</v>
      </c>
      <c r="D407" s="5">
        <v>126883079455.90924</v>
      </c>
      <c r="E407" s="5">
        <v>126883079455.90924</v>
      </c>
      <c r="F407" s="5">
        <v>0.29943553335449596</v>
      </c>
      <c r="G407" s="5">
        <v>0</v>
      </c>
      <c r="H407" s="5">
        <v>46212500000</v>
      </c>
      <c r="I407" s="5">
        <v>41810625000</v>
      </c>
      <c r="J407" s="5">
        <v>41810625000</v>
      </c>
      <c r="K407" s="5">
        <v>6.7363262631077202E-12</v>
      </c>
      <c r="L407" s="5">
        <v>6.7363262631077202E-12</v>
      </c>
      <c r="M407" s="5">
        <v>0</v>
      </c>
      <c r="N407" s="5">
        <v>2.0000000000000001E-4</v>
      </c>
      <c r="O407" s="5">
        <v>122.43425324675323</v>
      </c>
      <c r="P407" s="5">
        <v>122.43425324675323</v>
      </c>
      <c r="Q407" s="5">
        <v>-1.1610656250000003E-9</v>
      </c>
      <c r="R407" s="5">
        <v>0</v>
      </c>
      <c r="S407" s="5">
        <v>1.38003125E-4</v>
      </c>
      <c r="T407" s="5">
        <v>7.5190624999999996E-6</v>
      </c>
      <c r="U407" s="5">
        <v>7.5190624999999996E-6</v>
      </c>
      <c r="V407" s="5">
        <v>0</v>
      </c>
      <c r="W407" s="5">
        <v>0</v>
      </c>
      <c r="X407" s="5">
        <v>1.9409374999999998</v>
      </c>
      <c r="Y407" s="5">
        <v>4197.8125</v>
      </c>
      <c r="Z407" s="5">
        <f t="shared" ref="Z407:AA407" si="199">Z406+0.0002</f>
        <v>-9.999999999999998E-4</v>
      </c>
      <c r="AA407" s="5">
        <f t="shared" si="199"/>
        <v>-8.0000000000000004E-4</v>
      </c>
      <c r="AB407" s="4">
        <v>2</v>
      </c>
    </row>
    <row r="408" spans="1:28" x14ac:dyDescent="0.25">
      <c r="C408" s="4">
        <v>3</v>
      </c>
      <c r="D408" s="5">
        <v>107760732370.22717</v>
      </c>
      <c r="E408" s="5">
        <v>107760732370.22717</v>
      </c>
      <c r="F408" s="5">
        <v>0.25274850430216056</v>
      </c>
      <c r="G408" s="5">
        <v>0</v>
      </c>
      <c r="H408" s="5">
        <v>39145833333.333328</v>
      </c>
      <c r="I408" s="5">
        <v>34873958333.333336</v>
      </c>
      <c r="J408" s="5">
        <v>34873958333.333336</v>
      </c>
      <c r="K408" s="5">
        <v>9.841135075733501E-12</v>
      </c>
      <c r="L408" s="5">
        <v>9.841135075733501E-12</v>
      </c>
      <c r="M408" s="5">
        <v>0</v>
      </c>
      <c r="N408" s="5">
        <v>2.0000000000000001E-4</v>
      </c>
      <c r="O408" s="5">
        <v>109.35921717171713</v>
      </c>
      <c r="P408" s="5">
        <v>109.35921717171713</v>
      </c>
      <c r="Q408" s="5">
        <v>-1.7428983410493829E-9</v>
      </c>
      <c r="R408" s="5">
        <v>0</v>
      </c>
      <c r="S408" s="5">
        <v>1.2278645833333334E-4</v>
      </c>
      <c r="T408" s="5">
        <v>5.9640625000000001E-6</v>
      </c>
      <c r="U408" s="5">
        <v>5.9640625000000001E-6</v>
      </c>
      <c r="V408" s="5">
        <v>0</v>
      </c>
      <c r="W408" s="5">
        <v>0</v>
      </c>
      <c r="X408" s="5">
        <v>1.5803819444444445</v>
      </c>
      <c r="Y408" s="5">
        <v>3471.7013888888887</v>
      </c>
      <c r="Z408" s="5">
        <f t="shared" ref="Z408:AA408" si="200">Z407+0.0002</f>
        <v>-7.9999999999999982E-4</v>
      </c>
      <c r="AA408" s="5">
        <f t="shared" si="200"/>
        <v>-6.0000000000000006E-4</v>
      </c>
      <c r="AB408" s="4">
        <v>2</v>
      </c>
    </row>
    <row r="409" spans="1:28" x14ac:dyDescent="0.25">
      <c r="C409" s="4">
        <v>4</v>
      </c>
      <c r="D409" s="5">
        <v>88107281593.099548</v>
      </c>
      <c r="E409" s="5">
        <v>88107281593.099548</v>
      </c>
      <c r="F409" s="5">
        <v>0.2052171754010608</v>
      </c>
      <c r="G409" s="5">
        <v>0</v>
      </c>
      <c r="H409" s="5">
        <v>31912500000</v>
      </c>
      <c r="I409" s="5">
        <v>27928958333.33334</v>
      </c>
      <c r="J409" s="5">
        <v>27928958333.33334</v>
      </c>
      <c r="K409" s="5">
        <v>1.1837083598135788E-11</v>
      </c>
      <c r="L409" s="5">
        <v>1.1837083598135788E-11</v>
      </c>
      <c r="M409" s="5">
        <v>0</v>
      </c>
      <c r="N409" s="5">
        <v>2.0000000000000001E-4</v>
      </c>
      <c r="O409" s="5">
        <v>94.361381673881652</v>
      </c>
      <c r="P409" s="5">
        <v>94.361381673881652</v>
      </c>
      <c r="Q409" s="5">
        <v>-2.1213622299382721E-9</v>
      </c>
      <c r="R409" s="5">
        <v>0</v>
      </c>
      <c r="S409" s="5">
        <v>1.05528125E-4</v>
      </c>
      <c r="T409" s="5">
        <v>4.4882291666666672E-6</v>
      </c>
      <c r="U409" s="5">
        <v>4.4882291666666672E-6</v>
      </c>
      <c r="V409" s="5">
        <v>0</v>
      </c>
      <c r="W409" s="5">
        <v>0</v>
      </c>
      <c r="X409" s="5">
        <v>1.2295486111111109</v>
      </c>
      <c r="Y409" s="5">
        <v>2752.5347222222231</v>
      </c>
      <c r="Z409" s="5">
        <f t="shared" ref="Z409:AA409" si="201">Z408+0.0002</f>
        <v>-5.9999999999999984E-4</v>
      </c>
      <c r="AA409" s="5">
        <f t="shared" si="201"/>
        <v>-4.0000000000000007E-4</v>
      </c>
      <c r="AB409" s="4">
        <v>2</v>
      </c>
    </row>
    <row r="410" spans="1:28" x14ac:dyDescent="0.25">
      <c r="C410" s="4">
        <v>5</v>
      </c>
      <c r="D410" s="5">
        <v>67922727124.526398</v>
      </c>
      <c r="E410" s="5">
        <v>67922727124.526398</v>
      </c>
      <c r="F410" s="5">
        <v>0.15684154665119676</v>
      </c>
      <c r="G410" s="5">
        <v>0</v>
      </c>
      <c r="H410" s="5">
        <v>24512500000</v>
      </c>
      <c r="I410" s="5">
        <v>20975625000</v>
      </c>
      <c r="J410" s="5">
        <v>20975625000</v>
      </c>
      <c r="K410" s="5">
        <v>1.2724171830314585E-11</v>
      </c>
      <c r="L410" s="5">
        <v>1.2724171830314585E-11</v>
      </c>
      <c r="M410" s="5">
        <v>0</v>
      </c>
      <c r="N410" s="5">
        <v>2.0000000000000001E-4</v>
      </c>
      <c r="O410" s="5">
        <v>77.440746753246742</v>
      </c>
      <c r="P410" s="5">
        <v>77.440746753246742</v>
      </c>
      <c r="Q410" s="5">
        <v>-2.2964572916666675E-9</v>
      </c>
      <c r="R410" s="5">
        <v>0</v>
      </c>
      <c r="S410" s="5">
        <v>8.6228125000000004E-5</v>
      </c>
      <c r="T410" s="5">
        <v>3.0915625000000001E-6</v>
      </c>
      <c r="U410" s="5">
        <v>3.0915625000000001E-6</v>
      </c>
      <c r="V410" s="5">
        <v>0</v>
      </c>
      <c r="W410" s="5">
        <v>0</v>
      </c>
      <c r="X410" s="5">
        <v>0.88843749999999999</v>
      </c>
      <c r="Y410" s="5">
        <v>2040.3125</v>
      </c>
      <c r="Z410" s="5">
        <f t="shared" ref="Z410:AA410" si="202">Z409+0.0002</f>
        <v>-3.9999999999999986E-4</v>
      </c>
      <c r="AA410" s="5">
        <f t="shared" si="202"/>
        <v>-2.0000000000000006E-4</v>
      </c>
      <c r="AB410" s="4">
        <v>2</v>
      </c>
    </row>
    <row r="411" spans="1:28" x14ac:dyDescent="0.25">
      <c r="C411" s="4">
        <v>6</v>
      </c>
      <c r="D411" s="5">
        <v>47207068964.507706</v>
      </c>
      <c r="E411" s="5">
        <v>47207068964.507706</v>
      </c>
      <c r="F411" s="5">
        <v>0.10762161805256845</v>
      </c>
      <c r="G411" s="5">
        <v>0</v>
      </c>
      <c r="H411" s="5">
        <v>16945833333.333336</v>
      </c>
      <c r="I411" s="5">
        <v>14013958333.333336</v>
      </c>
      <c r="J411" s="5">
        <v>14013958333.333336</v>
      </c>
      <c r="K411" s="5">
        <v>1.2502399772269886E-11</v>
      </c>
      <c r="L411" s="5">
        <v>1.2502399772269886E-11</v>
      </c>
      <c r="M411" s="5">
        <v>0</v>
      </c>
      <c r="N411" s="5">
        <v>2.0000000000000001E-4</v>
      </c>
      <c r="O411" s="5">
        <v>58.597312409812396</v>
      </c>
      <c r="P411" s="5">
        <v>58.597312409812396</v>
      </c>
      <c r="Q411" s="5">
        <v>-2.2681835262345685E-9</v>
      </c>
      <c r="R411" s="5">
        <v>0</v>
      </c>
      <c r="S411" s="5">
        <v>6.4886458333333338E-5</v>
      </c>
      <c r="T411" s="5">
        <v>1.7740624999999979E-6</v>
      </c>
      <c r="U411" s="5">
        <v>1.7740624999999979E-6</v>
      </c>
      <c r="V411" s="5">
        <v>0</v>
      </c>
      <c r="W411" s="5">
        <v>0</v>
      </c>
      <c r="X411" s="5">
        <v>0.55704861111111104</v>
      </c>
      <c r="Y411" s="5">
        <v>1335.0347222222226</v>
      </c>
      <c r="Z411" s="5">
        <f t="shared" ref="Z411:AA411" si="203">Z410+0.0002</f>
        <v>-1.9999999999999985E-4</v>
      </c>
      <c r="AA411" s="5">
        <f t="shared" si="203"/>
        <v>0</v>
      </c>
      <c r="AB411" s="4">
        <v>2</v>
      </c>
    </row>
    <row r="412" spans="1:28" x14ac:dyDescent="0.25">
      <c r="C412" s="4">
        <v>7</v>
      </c>
      <c r="D412" s="5">
        <v>44020446815.834427</v>
      </c>
      <c r="E412" s="5">
        <v>44020446815.834427</v>
      </c>
      <c r="F412" s="5">
        <v>0.10255581895998264</v>
      </c>
      <c r="G412" s="5">
        <v>0</v>
      </c>
      <c r="H412" s="5">
        <v>15945833333.333336</v>
      </c>
      <c r="I412" s="5">
        <v>13963958333.333336</v>
      </c>
      <c r="J412" s="5">
        <v>13963958333.333336</v>
      </c>
      <c r="K412" s="5">
        <v>5.84923803092893E-12</v>
      </c>
      <c r="L412" s="5">
        <v>5.84923803092893E-12</v>
      </c>
      <c r="M412" s="5">
        <v>0</v>
      </c>
      <c r="N412" s="5">
        <v>2.0000000000000001E-4</v>
      </c>
      <c r="O412" s="5">
        <v>47.060515873015866</v>
      </c>
      <c r="P412" s="5">
        <v>47.060515873015866</v>
      </c>
      <c r="Q412" s="5">
        <v>-1.0479705632716053E-9</v>
      </c>
      <c r="R412" s="5">
        <v>0</v>
      </c>
      <c r="S412" s="5">
        <v>5.2636458333333338E-5</v>
      </c>
      <c r="T412" s="5">
        <v>2.2490624999999976E-6</v>
      </c>
      <c r="U412" s="5">
        <v>2.2490624999999976E-6</v>
      </c>
      <c r="V412" s="5">
        <v>0</v>
      </c>
      <c r="W412" s="5">
        <v>0</v>
      </c>
      <c r="X412" s="5">
        <v>0.61538194444444416</v>
      </c>
      <c r="Y412" s="5">
        <v>1376.7013888888887</v>
      </c>
      <c r="Z412" s="5">
        <f t="shared" ref="Z412:AA412" si="204">Z411+0.0002</f>
        <v>0</v>
      </c>
      <c r="AA412" s="5">
        <f t="shared" si="204"/>
        <v>2.0000000000000001E-4</v>
      </c>
      <c r="AB412" s="4">
        <v>2</v>
      </c>
    </row>
    <row r="413" spans="1:28" x14ac:dyDescent="0.25">
      <c r="C413" s="4">
        <v>8</v>
      </c>
      <c r="D413" s="5">
        <v>58362860678.506592</v>
      </c>
      <c r="E413" s="5">
        <v>58362860678.506592</v>
      </c>
      <c r="F413" s="5">
        <v>0.14164414937343933</v>
      </c>
      <c r="G413" s="5">
        <v>0</v>
      </c>
      <c r="H413" s="5">
        <v>21512500000</v>
      </c>
      <c r="I413" s="5">
        <v>20825625000</v>
      </c>
      <c r="J413" s="5">
        <v>20825625000</v>
      </c>
      <c r="K413" s="5">
        <v>-7.2353133937082911E-12</v>
      </c>
      <c r="L413" s="5">
        <v>-7.2353133937082911E-12</v>
      </c>
      <c r="M413" s="5">
        <v>0</v>
      </c>
      <c r="N413" s="5">
        <v>2.0000000000000001E-4</v>
      </c>
      <c r="O413" s="5">
        <v>42.830357142857132</v>
      </c>
      <c r="P413" s="5">
        <v>42.830357142857132</v>
      </c>
      <c r="Q413" s="5">
        <v>1.3641815972222223E-9</v>
      </c>
      <c r="R413" s="5">
        <v>0</v>
      </c>
      <c r="S413" s="5">
        <v>4.9478125000000005E-5</v>
      </c>
      <c r="T413" s="5">
        <v>4.5165624999999992E-6</v>
      </c>
      <c r="U413" s="5">
        <v>4.5165624999999992E-6</v>
      </c>
      <c r="V413" s="5">
        <v>0</v>
      </c>
      <c r="W413" s="5">
        <v>0</v>
      </c>
      <c r="X413" s="5">
        <v>1.0634374999999998</v>
      </c>
      <c r="Y413" s="5">
        <v>2165.3125</v>
      </c>
      <c r="Z413" s="5">
        <f t="shared" ref="Z413:AA413" si="205">Z412+0.0002</f>
        <v>2.0000000000000001E-4</v>
      </c>
      <c r="AA413" s="5">
        <f t="shared" si="205"/>
        <v>4.0000000000000002E-4</v>
      </c>
      <c r="AB413" s="4">
        <v>2</v>
      </c>
    </row>
    <row r="414" spans="1:28" x14ac:dyDescent="0.25">
      <c r="C414" s="4">
        <v>9</v>
      </c>
      <c r="D414" s="5">
        <v>72174170849.733215</v>
      </c>
      <c r="E414" s="5">
        <v>72174170849.733215</v>
      </c>
      <c r="F414" s="5">
        <v>0.17988817993813175</v>
      </c>
      <c r="G414" s="5">
        <v>0</v>
      </c>
      <c r="H414" s="5">
        <v>26912500000</v>
      </c>
      <c r="I414" s="5">
        <v>27678958333.33334</v>
      </c>
      <c r="J414" s="5">
        <v>27678958333.33334</v>
      </c>
      <c r="K414" s="5">
        <v>-2.1428725108569004E-11</v>
      </c>
      <c r="L414" s="5">
        <v>-2.1428725108569004E-11</v>
      </c>
      <c r="M414" s="5">
        <v>0</v>
      </c>
      <c r="N414" s="5">
        <v>2.0000000000000001E-4</v>
      </c>
      <c r="O414" s="5">
        <v>36.677398989898975</v>
      </c>
      <c r="P414" s="5">
        <v>36.677398989898975</v>
      </c>
      <c r="Q414" s="5">
        <v>3.9797025848765454E-9</v>
      </c>
      <c r="R414" s="5">
        <v>0</v>
      </c>
      <c r="S414" s="5">
        <v>4.4278125000000001E-5</v>
      </c>
      <c r="T414" s="5">
        <v>6.8632291666666657E-6</v>
      </c>
      <c r="U414" s="5">
        <v>6.8632291666666657E-6</v>
      </c>
      <c r="V414" s="5">
        <v>0</v>
      </c>
      <c r="W414" s="5">
        <v>0</v>
      </c>
      <c r="X414" s="5">
        <v>1.5212152777777779</v>
      </c>
      <c r="Y414" s="5">
        <v>2960.8680555555561</v>
      </c>
      <c r="Z414" s="5">
        <f t="shared" ref="Z414:AA414" si="206">Z413+0.0002</f>
        <v>4.0000000000000002E-4</v>
      </c>
      <c r="AA414" s="5">
        <f t="shared" si="206"/>
        <v>6.0000000000000006E-4</v>
      </c>
      <c r="AB414" s="4">
        <v>2</v>
      </c>
    </row>
    <row r="415" spans="1:28" x14ac:dyDescent="0.25">
      <c r="C415" s="4">
        <v>10</v>
      </c>
      <c r="D415" s="5">
        <v>85454377329.514297</v>
      </c>
      <c r="E415" s="5">
        <v>85454377329.514297</v>
      </c>
      <c r="F415" s="5">
        <v>0.21728791065405983</v>
      </c>
      <c r="G415" s="5">
        <v>0</v>
      </c>
      <c r="H415" s="5">
        <v>32145833333.333332</v>
      </c>
      <c r="I415" s="5">
        <v>34523958333.333336</v>
      </c>
      <c r="J415" s="5">
        <v>34523958333.333336</v>
      </c>
      <c r="K415" s="5">
        <v>-3.6730997113653219E-11</v>
      </c>
      <c r="L415" s="5">
        <v>-3.6730997113653219E-11</v>
      </c>
      <c r="M415" s="5">
        <v>0</v>
      </c>
      <c r="N415" s="5">
        <v>2.0000000000000001E-4</v>
      </c>
      <c r="O415" s="5">
        <v>28.601641414141387</v>
      </c>
      <c r="P415" s="5">
        <v>28.601641414141387</v>
      </c>
      <c r="Q415" s="5">
        <v>6.7985923996913617E-9</v>
      </c>
      <c r="R415" s="5">
        <v>0</v>
      </c>
      <c r="S415" s="5">
        <v>3.7036458333333305E-5</v>
      </c>
      <c r="T415" s="5">
        <v>9.2890624999999996E-6</v>
      </c>
      <c r="U415" s="5">
        <v>9.2890624999999996E-6</v>
      </c>
      <c r="V415" s="5">
        <v>0</v>
      </c>
      <c r="W415" s="5">
        <v>0</v>
      </c>
      <c r="X415" s="5">
        <v>1.9887152777777777</v>
      </c>
      <c r="Y415" s="5">
        <v>3763.3680555555557</v>
      </c>
      <c r="Z415" s="5">
        <f t="shared" ref="Z415:AA415" si="207">Z414+0.0002</f>
        <v>6.0000000000000006E-4</v>
      </c>
      <c r="AA415" s="5">
        <f t="shared" si="207"/>
        <v>8.0000000000000004E-4</v>
      </c>
      <c r="AB415" s="4">
        <v>2</v>
      </c>
    </row>
    <row r="416" spans="1:28" x14ac:dyDescent="0.25">
      <c r="C416" s="4">
        <v>11</v>
      </c>
      <c r="D416" s="5">
        <v>98203480117.849854</v>
      </c>
      <c r="E416" s="5">
        <v>98203480117.849854</v>
      </c>
      <c r="F416" s="5">
        <v>0.25384334152122368</v>
      </c>
      <c r="G416" s="5">
        <v>0</v>
      </c>
      <c r="H416" s="5">
        <v>37212500000</v>
      </c>
      <c r="I416" s="5">
        <v>41360625000</v>
      </c>
      <c r="J416" s="5">
        <v>41360625000</v>
      </c>
      <c r="K416" s="5">
        <v>-5.3142129408960904E-11</v>
      </c>
      <c r="L416" s="5">
        <v>-5.3142129408960904E-11</v>
      </c>
      <c r="M416" s="5">
        <v>0</v>
      </c>
      <c r="N416" s="5">
        <v>2.0000000000000001E-4</v>
      </c>
      <c r="O416" s="5">
        <v>18.603084415584412</v>
      </c>
      <c r="P416" s="5">
        <v>18.603084415584412</v>
      </c>
      <c r="Q416" s="5">
        <v>9.8208510416666686E-9</v>
      </c>
      <c r="R416" s="5">
        <v>0</v>
      </c>
      <c r="S416" s="5">
        <v>2.7753125000000005E-5</v>
      </c>
      <c r="T416" s="5">
        <v>1.1794062499999999E-5</v>
      </c>
      <c r="U416" s="5">
        <v>1.1794062499999999E-5</v>
      </c>
      <c r="V416" s="5">
        <v>0</v>
      </c>
      <c r="W416" s="5">
        <v>0</v>
      </c>
      <c r="X416" s="5">
        <v>2.4659374999999999</v>
      </c>
      <c r="Y416" s="5">
        <v>4572.8125</v>
      </c>
      <c r="Z416" s="5">
        <f t="shared" ref="Z416:AA416" si="208">Z415+0.0002</f>
        <v>8.0000000000000004E-4</v>
      </c>
      <c r="AA416" s="5">
        <f t="shared" si="208"/>
        <v>1E-3</v>
      </c>
      <c r="AB416" s="4">
        <v>2</v>
      </c>
    </row>
    <row r="417" spans="1:28" x14ac:dyDescent="0.25">
      <c r="B417" t="s">
        <v>191</v>
      </c>
      <c r="C417" s="11">
        <v>12</v>
      </c>
      <c r="D417" s="5">
        <v>110421479214.73984</v>
      </c>
      <c r="E417" s="5">
        <v>110421479214.73984</v>
      </c>
      <c r="F417" s="5">
        <v>0.28955447253962324</v>
      </c>
      <c r="G417" s="5">
        <v>0</v>
      </c>
      <c r="H417" s="5">
        <v>42112500000.000008</v>
      </c>
      <c r="I417" s="5">
        <v>48188958333.333344</v>
      </c>
      <c r="J417" s="5">
        <v>48188958333.333344</v>
      </c>
      <c r="K417" s="5">
        <v>-7.0662121994492116E-11</v>
      </c>
      <c r="L417" s="5">
        <v>-7.0662121994492116E-11</v>
      </c>
      <c r="M417" s="5">
        <v>0</v>
      </c>
      <c r="N417" s="5">
        <v>2.0000000000000001E-4</v>
      </c>
      <c r="O417" s="5">
        <v>6.6817279942279635</v>
      </c>
      <c r="P417" s="5">
        <v>6.6817279942279635</v>
      </c>
      <c r="Q417" s="5">
        <v>1.3046478510802474E-8</v>
      </c>
      <c r="R417" s="5">
        <v>0</v>
      </c>
      <c r="S417" s="5">
        <v>1.6428124999999981E-5</v>
      </c>
      <c r="T417" s="5">
        <v>1.4378229166666668E-5</v>
      </c>
      <c r="U417" s="5">
        <v>1.4378229166666668E-5</v>
      </c>
      <c r="V417" s="5">
        <v>0</v>
      </c>
      <c r="W417" s="5">
        <v>0</v>
      </c>
      <c r="X417" s="5">
        <v>2.9528819444444454</v>
      </c>
      <c r="Y417" s="5">
        <v>5389.2013888888896</v>
      </c>
      <c r="Z417" s="5">
        <f t="shared" ref="Z417:AA417" si="209">Z416+0.0002</f>
        <v>1E-3</v>
      </c>
      <c r="AA417" s="5">
        <f t="shared" si="209"/>
        <v>1.2000000000000001E-3</v>
      </c>
      <c r="AB417" s="4">
        <v>2</v>
      </c>
    </row>
    <row r="418" spans="1:28" x14ac:dyDescent="0.25">
      <c r="A418" t="s">
        <v>169</v>
      </c>
    </row>
    <row r="419" spans="1:28" x14ac:dyDescent="0.25">
      <c r="A419" t="s">
        <v>169</v>
      </c>
    </row>
    <row r="420" spans="1:28" x14ac:dyDescent="0.25">
      <c r="A420" t="s">
        <v>169</v>
      </c>
    </row>
    <row r="421" spans="1:28" x14ac:dyDescent="0.25">
      <c r="A421" t="s">
        <v>169</v>
      </c>
    </row>
    <row r="422" spans="1:28" x14ac:dyDescent="0.25">
      <c r="A422" s="15" t="s">
        <v>166</v>
      </c>
      <c r="C422" s="10" t="s">
        <v>27</v>
      </c>
      <c r="D422" s="10" t="s">
        <v>28</v>
      </c>
      <c r="E422" s="10" t="s">
        <v>29</v>
      </c>
      <c r="F422" s="10" t="s">
        <v>30</v>
      </c>
      <c r="G422" s="10" t="s">
        <v>31</v>
      </c>
      <c r="H422" s="10" t="s">
        <v>47</v>
      </c>
      <c r="I422" s="10" t="s">
        <v>32</v>
      </c>
      <c r="J422" s="10" t="s">
        <v>33</v>
      </c>
      <c r="K422" s="10" t="s">
        <v>34</v>
      </c>
      <c r="L422" s="10" t="s">
        <v>35</v>
      </c>
      <c r="M422" s="10" t="s">
        <v>36</v>
      </c>
      <c r="N422" s="10" t="s">
        <v>37</v>
      </c>
      <c r="O422" s="10" t="s">
        <v>38</v>
      </c>
      <c r="P422" s="10" t="s">
        <v>39</v>
      </c>
      <c r="Q422" s="10" t="s">
        <v>40</v>
      </c>
      <c r="R422" s="10" t="s">
        <v>41</v>
      </c>
      <c r="S422" s="10" t="s">
        <v>42</v>
      </c>
      <c r="T422" s="10" t="s">
        <v>48</v>
      </c>
      <c r="U422" s="10" t="s">
        <v>77</v>
      </c>
      <c r="V422" s="10" t="s">
        <v>78</v>
      </c>
      <c r="W422" s="10" t="s">
        <v>79</v>
      </c>
      <c r="X422" s="10" t="s">
        <v>49</v>
      </c>
      <c r="Y422" s="10" t="s">
        <v>43</v>
      </c>
      <c r="Z422" s="10" t="s">
        <v>44</v>
      </c>
      <c r="AA422" s="10" t="s">
        <v>45</v>
      </c>
      <c r="AB422" s="10" t="s">
        <v>46</v>
      </c>
    </row>
    <row r="423" spans="1:28" x14ac:dyDescent="0.25">
      <c r="A423" s="12" t="s">
        <v>172</v>
      </c>
      <c r="B423" t="s">
        <v>190</v>
      </c>
      <c r="C423" s="11">
        <v>1</v>
      </c>
      <c r="D423" s="5">
        <v>154570780662.97134</v>
      </c>
      <c r="E423" s="5">
        <v>154570780662.97134</v>
      </c>
      <c r="F423" s="5">
        <v>0.36788301471656509</v>
      </c>
      <c r="G423" s="5">
        <v>0</v>
      </c>
      <c r="H423" s="5">
        <v>56499999999.999809</v>
      </c>
      <c r="I423" s="5">
        <v>52199999999.999992</v>
      </c>
      <c r="J423" s="5">
        <v>52199999999.999992</v>
      </c>
      <c r="K423" s="5">
        <v>-1.2592063653464866E-24</v>
      </c>
      <c r="L423" s="5">
        <v>-1.2592063653464866E-24</v>
      </c>
      <c r="M423" s="5">
        <v>0</v>
      </c>
      <c r="N423" s="5">
        <v>2.0000000000000001E-4</v>
      </c>
      <c r="O423" s="5">
        <v>138.44155844155623</v>
      </c>
      <c r="P423" s="5">
        <v>138.44155844155623</v>
      </c>
      <c r="Q423" s="5">
        <v>9.300000000023094E-11</v>
      </c>
      <c r="R423" s="5">
        <v>0</v>
      </c>
      <c r="S423" s="5">
        <v>1.5699999999999766E-4</v>
      </c>
      <c r="T423" s="5">
        <v>1.0000000000000091E-5</v>
      </c>
      <c r="U423" s="5">
        <v>1.0000000000000091E-5</v>
      </c>
      <c r="V423" s="5">
        <v>0</v>
      </c>
      <c r="W423" s="5">
        <v>0</v>
      </c>
      <c r="X423" s="5">
        <v>2.5000000000000111</v>
      </c>
      <c r="Y423" s="5">
        <v>5300.0000000000082</v>
      </c>
      <c r="Z423" s="5">
        <v>-1.1999999999999999E-3</v>
      </c>
      <c r="AA423" s="5">
        <v>-1E-3</v>
      </c>
      <c r="AB423" s="4">
        <v>2</v>
      </c>
    </row>
    <row r="424" spans="1:28" x14ac:dyDescent="0.25">
      <c r="C424" s="4">
        <v>2</v>
      </c>
      <c r="D424" s="5">
        <v>154570780627.35867</v>
      </c>
      <c r="E424" s="5">
        <v>154570780627.35867</v>
      </c>
      <c r="F424" s="5">
        <v>0.36788301465995132</v>
      </c>
      <c r="G424" s="5">
        <v>0</v>
      </c>
      <c r="H424" s="5">
        <v>56499999988.824127</v>
      </c>
      <c r="I424" s="5">
        <v>52199999999.441208</v>
      </c>
      <c r="J424" s="5">
        <v>52199999999.441208</v>
      </c>
      <c r="K424" s="5">
        <v>-7.4354876667346337E-20</v>
      </c>
      <c r="L424" s="5">
        <v>-7.4354876667346337E-20</v>
      </c>
      <c r="M424" s="5">
        <v>0</v>
      </c>
      <c r="N424" s="5">
        <v>2.0000000000000001E-4</v>
      </c>
      <c r="O424" s="5">
        <v>138.44155831262466</v>
      </c>
      <c r="P424" s="5">
        <v>138.44155831262466</v>
      </c>
      <c r="Q424" s="5">
        <v>9.3000013636942542E-11</v>
      </c>
      <c r="R424" s="5">
        <v>0</v>
      </c>
      <c r="S424" s="5">
        <v>1.5699999986309556E-4</v>
      </c>
      <c r="T424" s="5">
        <v>1.0000000005308539E-5</v>
      </c>
      <c r="U424" s="5">
        <v>1.0000000005308539E-5</v>
      </c>
      <c r="V424" s="5">
        <v>0</v>
      </c>
      <c r="W424" s="5">
        <v>0</v>
      </c>
      <c r="X424" s="5">
        <v>2.5000000006519256</v>
      </c>
      <c r="Y424" s="5">
        <v>5300.0000004656613</v>
      </c>
      <c r="Z424" s="5">
        <f t="shared" ref="Z424:AA424" si="210">Z423+0.0002</f>
        <v>-9.999999999999998E-4</v>
      </c>
      <c r="AA424" s="5">
        <f t="shared" si="210"/>
        <v>-8.0000000000000004E-4</v>
      </c>
      <c r="AB424" s="4">
        <v>2</v>
      </c>
    </row>
    <row r="425" spans="1:28" x14ac:dyDescent="0.25">
      <c r="C425" s="4">
        <v>3</v>
      </c>
      <c r="D425" s="5">
        <v>154570774773.18695</v>
      </c>
      <c r="E425" s="5">
        <v>154570774773.18695</v>
      </c>
      <c r="F425" s="5">
        <v>0.36788300535352697</v>
      </c>
      <c r="G425" s="5">
        <v>0</v>
      </c>
      <c r="H425" s="5">
        <v>56499998151.715286</v>
      </c>
      <c r="I425" s="5">
        <v>52199999907.585762</v>
      </c>
      <c r="J425" s="5">
        <v>52199999907.585762</v>
      </c>
      <c r="K425" s="5">
        <v>-1.2296937161587045E-17</v>
      </c>
      <c r="L425" s="5">
        <v>-1.2296937161587045E-17</v>
      </c>
      <c r="M425" s="5">
        <v>0</v>
      </c>
      <c r="N425" s="5">
        <v>2.0000000000000001E-4</v>
      </c>
      <c r="O425" s="5">
        <v>138.44153711827369</v>
      </c>
      <c r="P425" s="5">
        <v>138.44153711827369</v>
      </c>
      <c r="Q425" s="5">
        <v>9.3002255300970071E-11</v>
      </c>
      <c r="R425" s="5">
        <v>0</v>
      </c>
      <c r="S425" s="5">
        <v>1.5699997735851222E-4</v>
      </c>
      <c r="T425" s="5">
        <v>1.0000000877935241E-5</v>
      </c>
      <c r="U425" s="5">
        <v>1.0000000877935241E-5</v>
      </c>
      <c r="V425" s="5">
        <v>0</v>
      </c>
      <c r="W425" s="5">
        <v>0</v>
      </c>
      <c r="X425" s="5">
        <v>2.5000001078166085</v>
      </c>
      <c r="Y425" s="5">
        <v>5300.0000770118631</v>
      </c>
      <c r="Z425" s="5">
        <f t="shared" ref="Z425:AA425" si="211">Z424+0.0002</f>
        <v>-7.9999999999999982E-4</v>
      </c>
      <c r="AA425" s="5">
        <f t="shared" si="211"/>
        <v>-6.0000000000000006E-4</v>
      </c>
      <c r="AB425" s="4">
        <v>2</v>
      </c>
    </row>
    <row r="426" spans="1:28" x14ac:dyDescent="0.25">
      <c r="C426" s="4">
        <v>4</v>
      </c>
      <c r="D426" s="5">
        <v>154570610298.19873</v>
      </c>
      <c r="E426" s="5">
        <v>154570610298.19873</v>
      </c>
      <c r="F426" s="5">
        <v>0.36788274388630338</v>
      </c>
      <c r="G426" s="5">
        <v>0</v>
      </c>
      <c r="H426" s="5">
        <v>56499946537.504211</v>
      </c>
      <c r="I426" s="5">
        <v>52199997326.875214</v>
      </c>
      <c r="J426" s="5">
        <v>52199997326.875214</v>
      </c>
      <c r="K426" s="5">
        <v>-3.5569463159364114E-16</v>
      </c>
      <c r="L426" s="5">
        <v>-3.5569463159364114E-16</v>
      </c>
      <c r="M426" s="5">
        <v>0</v>
      </c>
      <c r="N426" s="5">
        <v>2.0000000000000001E-4</v>
      </c>
      <c r="O426" s="5">
        <v>138.44094165562211</v>
      </c>
      <c r="P426" s="5">
        <v>138.44094165562211</v>
      </c>
      <c r="Q426" s="5">
        <v>9.3065235630396597E-11</v>
      </c>
      <c r="R426" s="5">
        <v>0</v>
      </c>
      <c r="S426" s="5">
        <v>1.5699934508442656E-4</v>
      </c>
      <c r="T426" s="5">
        <v>1.0000025394685501E-5</v>
      </c>
      <c r="U426" s="5">
        <v>1.0000025394685501E-5</v>
      </c>
      <c r="V426" s="5">
        <v>0</v>
      </c>
      <c r="W426" s="5">
        <v>0</v>
      </c>
      <c r="X426" s="5">
        <v>2.500003118645588</v>
      </c>
      <c r="Y426" s="5">
        <v>5300.0022276039917</v>
      </c>
      <c r="Z426" s="5">
        <f t="shared" ref="Z426:AA426" si="212">Z425+0.0002</f>
        <v>-5.9999999999999984E-4</v>
      </c>
      <c r="AA426" s="5">
        <f t="shared" si="212"/>
        <v>-4.0000000000000007E-4</v>
      </c>
      <c r="AB426" s="4">
        <v>2</v>
      </c>
    </row>
    <row r="427" spans="1:28" x14ac:dyDescent="0.25">
      <c r="C427" s="4">
        <v>5</v>
      </c>
      <c r="D427" s="5">
        <v>154568677734.53552</v>
      </c>
      <c r="E427" s="5">
        <v>154568677734.53552</v>
      </c>
      <c r="F427" s="5">
        <v>0.36787967167416313</v>
      </c>
      <c r="G427" s="5">
        <v>0</v>
      </c>
      <c r="H427" s="5">
        <v>56499340075.999496</v>
      </c>
      <c r="I427" s="5">
        <v>52199967003.799973</v>
      </c>
      <c r="J427" s="5">
        <v>52199967003.799973</v>
      </c>
      <c r="K427" s="5">
        <v>-4.3905811123301336E-15</v>
      </c>
      <c r="L427" s="5">
        <v>-4.3905811123301336E-15</v>
      </c>
      <c r="M427" s="5">
        <v>0</v>
      </c>
      <c r="N427" s="5">
        <v>2.0000000000000001E-4</v>
      </c>
      <c r="O427" s="5">
        <v>138.43394503263488</v>
      </c>
      <c r="P427" s="5">
        <v>138.43394503263488</v>
      </c>
      <c r="Q427" s="5">
        <v>9.3805247819982474E-11</v>
      </c>
      <c r="R427" s="5">
        <v>0</v>
      </c>
      <c r="S427" s="5">
        <v>1.5699191593099385E-4</v>
      </c>
      <c r="T427" s="5">
        <v>1.0000313463900238E-5</v>
      </c>
      <c r="U427" s="5">
        <v>1.0000313463900238E-5</v>
      </c>
      <c r="V427" s="5">
        <v>0</v>
      </c>
      <c r="W427" s="5">
        <v>0</v>
      </c>
      <c r="X427" s="5">
        <v>2.5000384955666961</v>
      </c>
      <c r="Y427" s="5">
        <v>5300.0274968333542</v>
      </c>
      <c r="Z427" s="5">
        <f t="shared" ref="Z427:AA427" si="213">Z426+0.0002</f>
        <v>-3.9999999999999986E-4</v>
      </c>
      <c r="AA427" s="5">
        <f t="shared" si="213"/>
        <v>-2.0000000000000006E-4</v>
      </c>
      <c r="AB427" s="4">
        <v>2</v>
      </c>
    </row>
    <row r="428" spans="1:28" x14ac:dyDescent="0.25">
      <c r="C428" s="4">
        <v>6</v>
      </c>
      <c r="D428" s="5">
        <v>154555137439.44891</v>
      </c>
      <c r="E428" s="5">
        <v>154555137439.44891</v>
      </c>
      <c r="F428" s="5">
        <v>0.36785814655717003</v>
      </c>
      <c r="G428" s="5">
        <v>0</v>
      </c>
      <c r="H428" s="5">
        <v>56495090970.06385</v>
      </c>
      <c r="I428" s="5">
        <v>52199754548.503189</v>
      </c>
      <c r="J428" s="5">
        <v>52199754548.503189</v>
      </c>
      <c r="K428" s="5">
        <v>-3.2660570158274453E-14</v>
      </c>
      <c r="L428" s="5">
        <v>-3.2660570158274453E-14</v>
      </c>
      <c r="M428" s="5">
        <v>0</v>
      </c>
      <c r="N428" s="5">
        <v>2.0000000000000001E-4</v>
      </c>
      <c r="O428" s="5">
        <v>138.38492396199203</v>
      </c>
      <c r="P428" s="5">
        <v>138.38492396199203</v>
      </c>
      <c r="Q428" s="5">
        <v>9.8990061963660517E-11</v>
      </c>
      <c r="R428" s="5">
        <v>0</v>
      </c>
      <c r="S428" s="5">
        <v>1.5693986438328219E-4</v>
      </c>
      <c r="T428" s="5">
        <v>1.0002331789219671E-5</v>
      </c>
      <c r="U428" s="5">
        <v>1.0002331789219671E-5</v>
      </c>
      <c r="V428" s="5">
        <v>0</v>
      </c>
      <c r="W428" s="5">
        <v>0</v>
      </c>
      <c r="X428" s="5">
        <v>2.5002863600796088</v>
      </c>
      <c r="Y428" s="5">
        <v>5300.2045429140062</v>
      </c>
      <c r="Z428" s="5">
        <f t="shared" ref="Z428:AA428" si="214">Z427+0.0002</f>
        <v>-1.9999999999999985E-4</v>
      </c>
      <c r="AA428" s="5">
        <f t="shared" si="214"/>
        <v>0</v>
      </c>
      <c r="AB428" s="4">
        <v>2</v>
      </c>
    </row>
    <row r="429" spans="1:28" x14ac:dyDescent="0.25">
      <c r="C429" s="4">
        <v>7</v>
      </c>
      <c r="D429" s="5">
        <v>154487636278.52686</v>
      </c>
      <c r="E429" s="5">
        <v>154487636278.52686</v>
      </c>
      <c r="F429" s="5">
        <v>0.36775083941380821</v>
      </c>
      <c r="G429" s="5">
        <v>0</v>
      </c>
      <c r="H429" s="5">
        <v>56473908301.46595</v>
      </c>
      <c r="I429" s="5">
        <v>52198695415.073296</v>
      </c>
      <c r="J429" s="5">
        <v>52198695415.073296</v>
      </c>
      <c r="K429" s="5">
        <v>-1.735922904533313E-13</v>
      </c>
      <c r="L429" s="5">
        <v>-1.735922904533313E-13</v>
      </c>
      <c r="M429" s="5">
        <v>0</v>
      </c>
      <c r="N429" s="5">
        <v>2.0000000000000001E-4</v>
      </c>
      <c r="O429" s="5">
        <v>138.14054382427167</v>
      </c>
      <c r="P429" s="5">
        <v>138.14054382427167</v>
      </c>
      <c r="Q429" s="5">
        <v>1.2483742877696733E-10</v>
      </c>
      <c r="R429" s="5">
        <v>0</v>
      </c>
      <c r="S429" s="5">
        <v>1.5668037669295791E-4</v>
      </c>
      <c r="T429" s="5">
        <v>1.0012393556803674E-5</v>
      </c>
      <c r="U429" s="5">
        <v>1.0012393556803674E-5</v>
      </c>
      <c r="V429" s="5">
        <v>0</v>
      </c>
      <c r="W429" s="5">
        <v>0</v>
      </c>
      <c r="X429" s="5">
        <v>2.5015220157478195</v>
      </c>
      <c r="Y429" s="5">
        <v>5301.0871541055849</v>
      </c>
      <c r="Z429" s="5">
        <f t="shared" ref="Z429:AA429" si="215">Z428+0.0002</f>
        <v>0</v>
      </c>
      <c r="AA429" s="5">
        <f t="shared" si="215"/>
        <v>2.0000000000000001E-4</v>
      </c>
      <c r="AB429" s="4">
        <v>2</v>
      </c>
    </row>
    <row r="430" spans="1:28" x14ac:dyDescent="0.25">
      <c r="C430" s="4">
        <v>8</v>
      </c>
      <c r="D430" s="5">
        <v>154222994747.67947</v>
      </c>
      <c r="E430" s="5">
        <v>154222994747.67947</v>
      </c>
      <c r="F430" s="5">
        <v>0.36733013662437169</v>
      </c>
      <c r="G430" s="5">
        <v>0</v>
      </c>
      <c r="H430" s="5">
        <v>56390860635.787247</v>
      </c>
      <c r="I430" s="5">
        <v>52194543031.78936</v>
      </c>
      <c r="J430" s="5">
        <v>52194543031.78936</v>
      </c>
      <c r="K430" s="5">
        <v>-7.2612184245455407E-13</v>
      </c>
      <c r="L430" s="5">
        <v>-7.2612184245455407E-13</v>
      </c>
      <c r="M430" s="5">
        <v>0</v>
      </c>
      <c r="N430" s="5">
        <v>2.0000000000000001E-4</v>
      </c>
      <c r="O430" s="5">
        <v>137.18243980248056</v>
      </c>
      <c r="P430" s="5">
        <v>137.18243980248056</v>
      </c>
      <c r="Q430" s="5">
        <v>2.2617326698193537E-10</v>
      </c>
      <c r="R430" s="5">
        <v>0</v>
      </c>
      <c r="S430" s="5">
        <v>1.5566304278839379E-4</v>
      </c>
      <c r="T430" s="5">
        <v>1.0051841198001058E-5</v>
      </c>
      <c r="U430" s="5">
        <v>1.0051841198001058E-5</v>
      </c>
      <c r="V430" s="5">
        <v>0</v>
      </c>
      <c r="W430" s="5">
        <v>0</v>
      </c>
      <c r="X430" s="5">
        <v>2.5063664629124105</v>
      </c>
      <c r="Y430" s="5">
        <v>5304.5474735088646</v>
      </c>
      <c r="Z430" s="5">
        <f t="shared" ref="Z430:AA430" si="216">Z429+0.0002</f>
        <v>2.0000000000000001E-4</v>
      </c>
      <c r="AA430" s="5">
        <f t="shared" si="216"/>
        <v>4.0000000000000002E-4</v>
      </c>
      <c r="AB430" s="4">
        <v>2</v>
      </c>
    </row>
    <row r="431" spans="1:28" x14ac:dyDescent="0.25">
      <c r="C431" s="4">
        <v>9</v>
      </c>
      <c r="D431" s="5">
        <v>153354906547.05957</v>
      </c>
      <c r="E431" s="5">
        <v>153354906547.05957</v>
      </c>
      <c r="F431" s="5">
        <v>0.36595012976638397</v>
      </c>
      <c r="G431" s="5">
        <v>0</v>
      </c>
      <c r="H431" s="5">
        <v>56118444214.850327</v>
      </c>
      <c r="I431" s="5">
        <v>52180922210.742516</v>
      </c>
      <c r="J431" s="5">
        <v>52180922210.742516</v>
      </c>
      <c r="K431" s="5">
        <v>-2.5385523519451286E-12</v>
      </c>
      <c r="L431" s="5">
        <v>-2.5385523519451286E-12</v>
      </c>
      <c r="M431" s="5">
        <v>0</v>
      </c>
      <c r="N431" s="5">
        <v>2.0000000000000001E-4</v>
      </c>
      <c r="O431" s="5">
        <v>134.03962698084896</v>
      </c>
      <c r="P431" s="5">
        <v>134.03962698084896</v>
      </c>
      <c r="Q431" s="5">
        <v>5.5857931513314485E-10</v>
      </c>
      <c r="R431" s="5">
        <v>0</v>
      </c>
      <c r="S431" s="5">
        <v>1.5232594163191649E-4</v>
      </c>
      <c r="T431" s="5">
        <v>1.0181238997946096E-5</v>
      </c>
      <c r="U431" s="5">
        <v>1.0181238997946096E-5</v>
      </c>
      <c r="V431" s="5">
        <v>0</v>
      </c>
      <c r="W431" s="5">
        <v>0</v>
      </c>
      <c r="X431" s="5">
        <v>2.5222574208003978</v>
      </c>
      <c r="Y431" s="5">
        <v>5315.8981577145696</v>
      </c>
      <c r="Z431" s="5">
        <f t="shared" ref="Z431:AA431" si="217">Z430+0.0002</f>
        <v>4.0000000000000002E-4</v>
      </c>
      <c r="AA431" s="5">
        <f t="shared" si="217"/>
        <v>6.0000000000000006E-4</v>
      </c>
      <c r="AB431" s="4">
        <v>2</v>
      </c>
    </row>
    <row r="432" spans="1:28" x14ac:dyDescent="0.25">
      <c r="C432" s="4">
        <v>10</v>
      </c>
      <c r="D432" s="5">
        <v>150873048857.26376</v>
      </c>
      <c r="E432" s="5">
        <v>150873048857.26376</v>
      </c>
      <c r="F432" s="5">
        <v>0.36200470045399141</v>
      </c>
      <c r="G432" s="5">
        <v>0</v>
      </c>
      <c r="H432" s="5">
        <v>55339607699.567482</v>
      </c>
      <c r="I432" s="5">
        <v>52141980384.978371</v>
      </c>
      <c r="J432" s="5">
        <v>52141980384.978371</v>
      </c>
      <c r="K432" s="5">
        <v>-7.7202776581842645E-12</v>
      </c>
      <c r="L432" s="5">
        <v>-7.7202776581842645E-12</v>
      </c>
      <c r="M432" s="5">
        <v>0</v>
      </c>
      <c r="N432" s="5">
        <v>2.0000000000000001E-4</v>
      </c>
      <c r="O432" s="5">
        <v>125.05434856860316</v>
      </c>
      <c r="P432" s="5">
        <v>125.05434856860316</v>
      </c>
      <c r="Q432" s="5">
        <v>1.5089257271101739E-9</v>
      </c>
      <c r="R432" s="5">
        <v>0</v>
      </c>
      <c r="S432" s="5">
        <v>1.4278519431970162E-4</v>
      </c>
      <c r="T432" s="5">
        <v>1.0551186342705448E-5</v>
      </c>
      <c r="U432" s="5">
        <v>1.0551186342705448E-5</v>
      </c>
      <c r="V432" s="5">
        <v>0</v>
      </c>
      <c r="W432" s="5">
        <v>0</v>
      </c>
      <c r="X432" s="5">
        <v>2.5676895508585638</v>
      </c>
      <c r="Y432" s="5">
        <v>5348.3496791846883</v>
      </c>
      <c r="Z432" s="5">
        <f t="shared" ref="Z432:AA432" si="218">Z431+0.0002</f>
        <v>6.0000000000000006E-4</v>
      </c>
      <c r="AA432" s="5">
        <f t="shared" si="218"/>
        <v>8.0000000000000004E-4</v>
      </c>
      <c r="AB432" s="4">
        <v>2</v>
      </c>
    </row>
    <row r="433" spans="1:28" x14ac:dyDescent="0.25">
      <c r="C433" s="4">
        <v>11</v>
      </c>
      <c r="D433" s="5">
        <v>144510911169.62833</v>
      </c>
      <c r="E433" s="5">
        <v>144510911169.62833</v>
      </c>
      <c r="F433" s="5">
        <v>0.35189075853641949</v>
      </c>
      <c r="G433" s="5">
        <v>0</v>
      </c>
      <c r="H433" s="5">
        <v>53343093086.034058</v>
      </c>
      <c r="I433" s="5">
        <v>52042154654.301704</v>
      </c>
      <c r="J433" s="5">
        <v>52042154654.301704</v>
      </c>
      <c r="K433" s="5">
        <v>-2.1003412300972946E-11</v>
      </c>
      <c r="L433" s="5">
        <v>-2.1003412300972946E-11</v>
      </c>
      <c r="M433" s="5">
        <v>0</v>
      </c>
      <c r="N433" s="5">
        <v>2.0000000000000001E-4</v>
      </c>
      <c r="O433" s="5">
        <v>102.02096568952712</v>
      </c>
      <c r="P433" s="5">
        <v>102.02096568952712</v>
      </c>
      <c r="Q433" s="5">
        <v>3.9450987392886447E-9</v>
      </c>
      <c r="R433" s="5">
        <v>0</v>
      </c>
      <c r="S433" s="5">
        <v>1.1832789030391723E-4</v>
      </c>
      <c r="T433" s="5">
        <v>1.1499530784133822E-5</v>
      </c>
      <c r="U433" s="5">
        <v>1.1499530784133822E-5</v>
      </c>
      <c r="V433" s="5">
        <v>0</v>
      </c>
      <c r="W433" s="5">
        <v>0</v>
      </c>
      <c r="X433" s="5">
        <v>2.68415290331468</v>
      </c>
      <c r="Y433" s="5">
        <v>5431.5377880819142</v>
      </c>
      <c r="Z433" s="5">
        <f t="shared" ref="Z433:AA433" si="219">Z432+0.0002</f>
        <v>8.0000000000000004E-4</v>
      </c>
      <c r="AA433" s="5">
        <f t="shared" si="219"/>
        <v>1E-3</v>
      </c>
      <c r="AB433" s="4">
        <v>2</v>
      </c>
    </row>
    <row r="434" spans="1:28" x14ac:dyDescent="0.25">
      <c r="B434" t="s">
        <v>191</v>
      </c>
      <c r="C434" s="11">
        <v>12</v>
      </c>
      <c r="D434" s="5">
        <v>129585872382.24188</v>
      </c>
      <c r="E434" s="5">
        <v>129585872382.24188</v>
      </c>
      <c r="F434" s="5">
        <v>0.32816430324349155</v>
      </c>
      <c r="G434" s="5">
        <v>0</v>
      </c>
      <c r="H434" s="5">
        <v>48659438077.359627</v>
      </c>
      <c r="I434" s="5">
        <v>51807971903.867981</v>
      </c>
      <c r="J434" s="5">
        <v>51807971903.867981</v>
      </c>
      <c r="K434" s="5">
        <v>-5.216452661432565E-11</v>
      </c>
      <c r="L434" s="5">
        <v>-5.216452661432565E-11</v>
      </c>
      <c r="M434" s="5">
        <v>0</v>
      </c>
      <c r="N434" s="5">
        <v>2.0000000000000001E-4</v>
      </c>
      <c r="O434" s="5">
        <v>47.986590805902154</v>
      </c>
      <c r="P434" s="5">
        <v>47.986590805902154</v>
      </c>
      <c r="Q434" s="5">
        <v>9.660155294919599E-9</v>
      </c>
      <c r="R434" s="5">
        <v>0</v>
      </c>
      <c r="S434" s="5">
        <v>6.0953116447655389E-5</v>
      </c>
      <c r="T434" s="5">
        <v>1.3724266913254178E-5</v>
      </c>
      <c r="U434" s="5">
        <v>1.3724266913254178E-5</v>
      </c>
      <c r="V434" s="5">
        <v>0</v>
      </c>
      <c r="W434" s="5">
        <v>0</v>
      </c>
      <c r="X434" s="5">
        <v>2.957366112154022</v>
      </c>
      <c r="Y434" s="5">
        <v>5626.6900801100155</v>
      </c>
      <c r="Z434" s="5">
        <f t="shared" ref="Z434:AA434" si="220">Z433+0.0002</f>
        <v>1E-3</v>
      </c>
      <c r="AA434" s="5">
        <f t="shared" si="220"/>
        <v>1.2000000000000001E-3</v>
      </c>
      <c r="AB434" s="4">
        <v>2</v>
      </c>
    </row>
    <row r="438" spans="1:28" x14ac:dyDescent="0.25">
      <c r="A438" s="15" t="s">
        <v>168</v>
      </c>
      <c r="C438" s="10" t="s">
        <v>27</v>
      </c>
      <c r="D438" s="10" t="s">
        <v>28</v>
      </c>
      <c r="E438" s="10" t="s">
        <v>29</v>
      </c>
      <c r="F438" s="10" t="s">
        <v>30</v>
      </c>
      <c r="G438" s="10" t="s">
        <v>31</v>
      </c>
      <c r="H438" s="10" t="s">
        <v>47</v>
      </c>
      <c r="I438" s="10" t="s">
        <v>32</v>
      </c>
      <c r="J438" s="10" t="s">
        <v>33</v>
      </c>
      <c r="K438" s="10" t="s">
        <v>34</v>
      </c>
      <c r="L438" s="10" t="s">
        <v>35</v>
      </c>
      <c r="M438" s="10" t="s">
        <v>36</v>
      </c>
      <c r="N438" s="10" t="s">
        <v>37</v>
      </c>
      <c r="O438" s="10" t="s">
        <v>38</v>
      </c>
      <c r="P438" s="10" t="s">
        <v>39</v>
      </c>
      <c r="Q438" s="10" t="s">
        <v>40</v>
      </c>
      <c r="R438" s="10" t="s">
        <v>41</v>
      </c>
      <c r="S438" s="10" t="s">
        <v>42</v>
      </c>
      <c r="T438" s="10" t="s">
        <v>48</v>
      </c>
      <c r="U438" s="10" t="s">
        <v>77</v>
      </c>
      <c r="V438" s="10" t="s">
        <v>78</v>
      </c>
      <c r="W438" s="10" t="s">
        <v>79</v>
      </c>
      <c r="X438" s="10" t="s">
        <v>49</v>
      </c>
      <c r="Y438" s="10" t="s">
        <v>43</v>
      </c>
      <c r="Z438" s="10" t="s">
        <v>44</v>
      </c>
      <c r="AA438" s="10" t="s">
        <v>45</v>
      </c>
      <c r="AB438" s="10" t="s">
        <v>46</v>
      </c>
    </row>
    <row r="439" spans="1:28" x14ac:dyDescent="0.25">
      <c r="A439" s="12" t="s">
        <v>172</v>
      </c>
      <c r="B439" t="s">
        <v>190</v>
      </c>
      <c r="C439" s="11">
        <v>1</v>
      </c>
      <c r="D439" s="5">
        <v>150055745737.27362</v>
      </c>
      <c r="E439" s="5">
        <v>150055745737.27362</v>
      </c>
      <c r="F439" s="5">
        <v>0.35663340737786342</v>
      </c>
      <c r="G439" s="5">
        <v>0</v>
      </c>
      <c r="H439" s="5">
        <v>54816666666.666481</v>
      </c>
      <c r="I439" s="5">
        <v>50470000000</v>
      </c>
      <c r="J439" s="5">
        <v>50470000000</v>
      </c>
      <c r="K439" s="5">
        <v>1.3306323482669295E-12</v>
      </c>
      <c r="L439" s="5">
        <v>1.3306323482669295E-12</v>
      </c>
      <c r="M439" s="5">
        <v>0</v>
      </c>
      <c r="N439" s="5">
        <v>2.0000000000000001E-4</v>
      </c>
      <c r="O439" s="5">
        <v>136.13419913419693</v>
      </c>
      <c r="P439" s="5">
        <v>136.13419913419693</v>
      </c>
      <c r="Q439" s="5">
        <v>-1.5414259259236114E-10</v>
      </c>
      <c r="R439" s="5">
        <v>0</v>
      </c>
      <c r="S439" s="5">
        <v>1.5421666666666433E-4</v>
      </c>
      <c r="T439" s="5">
        <v>9.5716666666667583E-6</v>
      </c>
      <c r="U439" s="5">
        <v>9.5716666666667583E-6</v>
      </c>
      <c r="V439" s="5">
        <v>0</v>
      </c>
      <c r="W439" s="5">
        <v>0</v>
      </c>
      <c r="X439" s="5">
        <v>2.4050000000000114</v>
      </c>
      <c r="Y439" s="5">
        <v>5115.0000000000082</v>
      </c>
      <c r="Z439" s="5">
        <v>-1.1999999999999999E-3</v>
      </c>
      <c r="AA439" s="5">
        <v>-1E-3</v>
      </c>
      <c r="AB439" s="4">
        <v>2</v>
      </c>
    </row>
    <row r="440" spans="1:28" x14ac:dyDescent="0.25">
      <c r="C440" s="4">
        <v>2</v>
      </c>
      <c r="D440" s="5">
        <v>141025675850.26544</v>
      </c>
      <c r="E440" s="5">
        <v>141025675850.26544</v>
      </c>
      <c r="F440" s="5">
        <v>0.3341341926438462</v>
      </c>
      <c r="G440" s="5">
        <v>0</v>
      </c>
      <c r="H440" s="5">
        <v>51449999988.824127</v>
      </c>
      <c r="I440" s="5">
        <v>47009999999.441208</v>
      </c>
      <c r="J440" s="5">
        <v>47009999999.441208</v>
      </c>
      <c r="K440" s="5">
        <v>3.9918969704496983E-12</v>
      </c>
      <c r="L440" s="5">
        <v>3.9918969704496983E-12</v>
      </c>
      <c r="M440" s="5">
        <v>0</v>
      </c>
      <c r="N440" s="5">
        <v>2.0000000000000001E-4</v>
      </c>
      <c r="O440" s="5">
        <v>131.51948039054673</v>
      </c>
      <c r="P440" s="5">
        <v>131.51948039054673</v>
      </c>
      <c r="Q440" s="5">
        <v>-6.4842776414083529E-10</v>
      </c>
      <c r="R440" s="5">
        <v>0</v>
      </c>
      <c r="S440" s="5">
        <v>1.4864999986309558E-4</v>
      </c>
      <c r="T440" s="5">
        <v>8.7150000053085389E-6</v>
      </c>
      <c r="U440" s="5">
        <v>8.7150000053085389E-6</v>
      </c>
      <c r="V440" s="5">
        <v>0</v>
      </c>
      <c r="W440" s="5">
        <v>0</v>
      </c>
      <c r="X440" s="5">
        <v>2.2150000006519255</v>
      </c>
      <c r="Y440" s="5">
        <v>4745.0000004656613</v>
      </c>
      <c r="Z440" s="5">
        <f t="shared" ref="Z440:AA440" si="221">Z439+0.0002</f>
        <v>-9.999999999999998E-4</v>
      </c>
      <c r="AA440" s="5">
        <f t="shared" si="221"/>
        <v>-8.0000000000000004E-4</v>
      </c>
      <c r="AB440" s="4">
        <v>2</v>
      </c>
    </row>
    <row r="441" spans="1:28" x14ac:dyDescent="0.25">
      <c r="C441" s="4">
        <v>3</v>
      </c>
      <c r="D441" s="5">
        <v>131995600144.69823</v>
      </c>
      <c r="E441" s="5">
        <v>131995600144.69823</v>
      </c>
      <c r="F441" s="5">
        <v>0.31163496866001844</v>
      </c>
      <c r="G441" s="5">
        <v>0</v>
      </c>
      <c r="H441" s="5">
        <v>48083331485.048622</v>
      </c>
      <c r="I441" s="5">
        <v>43549999907.585762</v>
      </c>
      <c r="J441" s="5">
        <v>43549999907.585762</v>
      </c>
      <c r="K441" s="5">
        <v>6.6531494444037959E-12</v>
      </c>
      <c r="L441" s="5">
        <v>6.6531494444037959E-12</v>
      </c>
      <c r="M441" s="5">
        <v>0</v>
      </c>
      <c r="N441" s="5">
        <v>2.0000000000000001E-4</v>
      </c>
      <c r="O441" s="5">
        <v>126.90474058147716</v>
      </c>
      <c r="P441" s="5">
        <v>126.90474058147716</v>
      </c>
      <c r="Q441" s="5">
        <v>-1.142710707661993E-9</v>
      </c>
      <c r="R441" s="5">
        <v>0</v>
      </c>
      <c r="S441" s="5">
        <v>1.4308331069184555E-4</v>
      </c>
      <c r="T441" s="5">
        <v>7.8583342112685741E-6</v>
      </c>
      <c r="U441" s="5">
        <v>7.8583342112685741E-6</v>
      </c>
      <c r="V441" s="5">
        <v>0</v>
      </c>
      <c r="W441" s="5">
        <v>0</v>
      </c>
      <c r="X441" s="5">
        <v>2.0250001078166084</v>
      </c>
      <c r="Y441" s="5">
        <v>4375.0000770118631</v>
      </c>
      <c r="Z441" s="5">
        <f t="shared" ref="Z441:AA441" si="222">Z440+0.0002</f>
        <v>-7.9999999999999982E-4</v>
      </c>
      <c r="AA441" s="5">
        <f t="shared" si="222"/>
        <v>-6.0000000000000006E-4</v>
      </c>
      <c r="AB441" s="4">
        <v>2</v>
      </c>
    </row>
    <row r="442" spans="1:28" x14ac:dyDescent="0.25">
      <c r="C442" s="4">
        <v>4</v>
      </c>
      <c r="D442" s="5">
        <v>122965365818.31451</v>
      </c>
      <c r="E442" s="5">
        <v>122965365818.31451</v>
      </c>
      <c r="F442" s="5">
        <v>0.28913549251539145</v>
      </c>
      <c r="G442" s="5">
        <v>0</v>
      </c>
      <c r="H442" s="5">
        <v>44716613204.170883</v>
      </c>
      <c r="I442" s="5">
        <v>40089997326.875214</v>
      </c>
      <c r="J442" s="5">
        <v>40089997326.875214</v>
      </c>
      <c r="K442" s="5">
        <v>9.3140707432457477E-12</v>
      </c>
      <c r="L442" s="5">
        <v>9.3140707432457477E-12</v>
      </c>
      <c r="M442" s="5">
        <v>0</v>
      </c>
      <c r="N442" s="5">
        <v>2.0000000000000001E-4</v>
      </c>
      <c r="O442" s="5">
        <v>122.28942650410696</v>
      </c>
      <c r="P442" s="5">
        <v>122.28942650410696</v>
      </c>
      <c r="Q442" s="5">
        <v>-1.6369329125177517E-9</v>
      </c>
      <c r="R442" s="5">
        <v>0</v>
      </c>
      <c r="S442" s="5">
        <v>1.3751601175109322E-4</v>
      </c>
      <c r="T442" s="5">
        <v>7.0016920613521676E-6</v>
      </c>
      <c r="U442" s="5">
        <v>7.0016920613521676E-6</v>
      </c>
      <c r="V442" s="5">
        <v>0</v>
      </c>
      <c r="W442" s="5">
        <v>0</v>
      </c>
      <c r="X442" s="5">
        <v>1.835003118645588</v>
      </c>
      <c r="Y442" s="5">
        <v>4005.0022276039917</v>
      </c>
      <c r="Z442" s="5">
        <f t="shared" ref="Z442:AA442" si="223">Z441+0.0002</f>
        <v>-5.9999999999999984E-4</v>
      </c>
      <c r="AA442" s="5">
        <f t="shared" si="223"/>
        <v>-4.0000000000000007E-4</v>
      </c>
      <c r="AB442" s="4">
        <v>2</v>
      </c>
    </row>
    <row r="443" spans="1:28" x14ac:dyDescent="0.25">
      <c r="C443" s="4">
        <v>5</v>
      </c>
      <c r="D443" s="5">
        <v>113933363403.25581</v>
      </c>
      <c r="E443" s="5">
        <v>113933363403.25581</v>
      </c>
      <c r="F443" s="5">
        <v>0.2666332056258478</v>
      </c>
      <c r="G443" s="5">
        <v>0</v>
      </c>
      <c r="H443" s="5">
        <v>41349340075.999496</v>
      </c>
      <c r="I443" s="5">
        <v>36629967003.799973</v>
      </c>
      <c r="J443" s="5">
        <v>36629967003.799973</v>
      </c>
      <c r="K443" s="5">
        <v>1.1971300553301395E-11</v>
      </c>
      <c r="L443" s="5">
        <v>1.1971300553301395E-11</v>
      </c>
      <c r="M443" s="5">
        <v>0</v>
      </c>
      <c r="N443" s="5">
        <v>2.0000000000000001E-4</v>
      </c>
      <c r="O443" s="5">
        <v>117.66771126640111</v>
      </c>
      <c r="P443" s="5">
        <v>117.66771126640111</v>
      </c>
      <c r="Q443" s="5">
        <v>-2.1304780855133515E-9</v>
      </c>
      <c r="R443" s="5">
        <v>0</v>
      </c>
      <c r="S443" s="5">
        <v>1.3194191593099387E-4</v>
      </c>
      <c r="T443" s="5">
        <v>6.1453134639002381E-6</v>
      </c>
      <c r="U443" s="5">
        <v>6.1453134639002381E-6</v>
      </c>
      <c r="V443" s="5">
        <v>0</v>
      </c>
      <c r="W443" s="5">
        <v>0</v>
      </c>
      <c r="X443" s="5">
        <v>1.6450384955666961</v>
      </c>
      <c r="Y443" s="5">
        <v>3635.0274968333542</v>
      </c>
      <c r="Z443" s="5">
        <f t="shared" ref="Z443:AA443" si="224">Z442+0.0002</f>
        <v>-3.9999999999999986E-4</v>
      </c>
      <c r="AA443" s="5">
        <f t="shared" si="224"/>
        <v>-2.0000000000000006E-4</v>
      </c>
      <c r="AB443" s="4">
        <v>2</v>
      </c>
    </row>
    <row r="444" spans="1:28" x14ac:dyDescent="0.25">
      <c r="C444" s="4">
        <v>6</v>
      </c>
      <c r="D444" s="5">
        <v>104889753256.77371</v>
      </c>
      <c r="E444" s="5">
        <v>104889753256.77371</v>
      </c>
      <c r="F444" s="5">
        <v>0.24411246583145124</v>
      </c>
      <c r="G444" s="5">
        <v>0</v>
      </c>
      <c r="H444" s="5">
        <v>37978424303.397186</v>
      </c>
      <c r="I444" s="5">
        <v>33169754548.503189</v>
      </c>
      <c r="J444" s="5">
        <v>33169754548.503189</v>
      </c>
      <c r="K444" s="5">
        <v>1.4604295260791834E-11</v>
      </c>
      <c r="L444" s="5">
        <v>1.4604295260791834E-11</v>
      </c>
      <c r="M444" s="5">
        <v>0</v>
      </c>
      <c r="N444" s="5">
        <v>2.0000000000000001E-4</v>
      </c>
      <c r="O444" s="5">
        <v>113.00397158103965</v>
      </c>
      <c r="P444" s="5">
        <v>113.00397158103965</v>
      </c>
      <c r="Q444" s="5">
        <v>-2.6195784565548584E-9</v>
      </c>
      <c r="R444" s="5">
        <v>0</v>
      </c>
      <c r="S444" s="5">
        <v>1.2632319771661553E-4</v>
      </c>
      <c r="T444" s="5">
        <v>5.2906651225530036E-6</v>
      </c>
      <c r="U444" s="5">
        <v>5.2906651225530036E-6</v>
      </c>
      <c r="V444" s="5">
        <v>0</v>
      </c>
      <c r="W444" s="5">
        <v>0</v>
      </c>
      <c r="X444" s="5">
        <v>1.4552863600796087</v>
      </c>
      <c r="Y444" s="5">
        <v>3265.2045429140062</v>
      </c>
      <c r="Z444" s="5">
        <f t="shared" ref="Z444:AA444" si="225">Z443+0.0002</f>
        <v>-1.9999999999999985E-4</v>
      </c>
      <c r="AA444" s="5">
        <f t="shared" si="225"/>
        <v>0</v>
      </c>
      <c r="AB444" s="4">
        <v>2</v>
      </c>
    </row>
    <row r="445" spans="1:28" x14ac:dyDescent="0.25">
      <c r="C445" s="4">
        <v>7</v>
      </c>
      <c r="D445" s="5">
        <v>104822252095.85165</v>
      </c>
      <c r="E445" s="5">
        <v>104822252095.85165</v>
      </c>
      <c r="F445" s="5">
        <v>0.24400515868808942</v>
      </c>
      <c r="G445" s="5">
        <v>0</v>
      </c>
      <c r="H445" s="5">
        <v>37957241634.799286</v>
      </c>
      <c r="I445" s="5">
        <v>33168695415.073296</v>
      </c>
      <c r="J445" s="5">
        <v>33168695415.073296</v>
      </c>
      <c r="K445" s="5">
        <v>1.4463363540496776E-11</v>
      </c>
      <c r="L445" s="5">
        <v>1.4463363540496776E-11</v>
      </c>
      <c r="M445" s="5">
        <v>0</v>
      </c>
      <c r="N445" s="5">
        <v>2.0000000000000001E-4</v>
      </c>
      <c r="O445" s="5">
        <v>112.75959144331929</v>
      </c>
      <c r="P445" s="5">
        <v>112.75959144331929</v>
      </c>
      <c r="Q445" s="5">
        <v>-2.5937310897415515E-9</v>
      </c>
      <c r="R445" s="5">
        <v>0</v>
      </c>
      <c r="S445" s="5">
        <v>1.2606371002629125E-4</v>
      </c>
      <c r="T445" s="5">
        <v>5.3007268901370066E-6</v>
      </c>
      <c r="U445" s="5">
        <v>5.3007268901370066E-6</v>
      </c>
      <c r="V445" s="5">
        <v>0</v>
      </c>
      <c r="W445" s="5">
        <v>0</v>
      </c>
      <c r="X445" s="5">
        <v>1.4565220157478194</v>
      </c>
      <c r="Y445" s="5">
        <v>3266.0871541055849</v>
      </c>
      <c r="Z445" s="5">
        <f t="shared" ref="Z445:AA445" si="226">Z444+0.0002</f>
        <v>0</v>
      </c>
      <c r="AA445" s="5">
        <f t="shared" si="226"/>
        <v>2.0000000000000001E-4</v>
      </c>
      <c r="AB445" s="4">
        <v>2</v>
      </c>
    </row>
    <row r="446" spans="1:28" x14ac:dyDescent="0.25">
      <c r="C446" s="4">
        <v>8</v>
      </c>
      <c r="D446" s="5">
        <v>113587680416.39977</v>
      </c>
      <c r="E446" s="5">
        <v>113587680416.39977</v>
      </c>
      <c r="F446" s="5">
        <v>0.26608367057605631</v>
      </c>
      <c r="G446" s="5">
        <v>0</v>
      </c>
      <c r="H446" s="5">
        <v>41240860635.787247</v>
      </c>
      <c r="I446" s="5">
        <v>36624543031.78936</v>
      </c>
      <c r="J446" s="5">
        <v>36624543031.78936</v>
      </c>
      <c r="K446" s="5">
        <v>1.1249569291959171E-11</v>
      </c>
      <c r="L446" s="5">
        <v>1.1249569291959171E-11</v>
      </c>
      <c r="M446" s="5">
        <v>0</v>
      </c>
      <c r="N446" s="5">
        <v>2.0000000000000001E-4</v>
      </c>
      <c r="O446" s="5">
        <v>116.41620603624679</v>
      </c>
      <c r="P446" s="5">
        <v>116.41620603624679</v>
      </c>
      <c r="Q446" s="5">
        <v>-1.9981100663513985E-9</v>
      </c>
      <c r="R446" s="5">
        <v>0</v>
      </c>
      <c r="S446" s="5">
        <v>1.3061304278839378E-4</v>
      </c>
      <c r="T446" s="5">
        <v>6.1968411980010574E-6</v>
      </c>
      <c r="U446" s="5">
        <v>6.1968411980010574E-6</v>
      </c>
      <c r="V446" s="5">
        <v>0</v>
      </c>
      <c r="W446" s="5">
        <v>0</v>
      </c>
      <c r="X446" s="5">
        <v>1.6513664629124105</v>
      </c>
      <c r="Y446" s="5">
        <v>3639.5474735088646</v>
      </c>
      <c r="Z446" s="5">
        <f t="shared" ref="Z446:AA446" si="227">Z445+0.0002</f>
        <v>2.0000000000000001E-4</v>
      </c>
      <c r="AA446" s="5">
        <f t="shared" si="227"/>
        <v>4.0000000000000002E-4</v>
      </c>
      <c r="AB446" s="4">
        <v>2</v>
      </c>
    </row>
    <row r="447" spans="1:28" x14ac:dyDescent="0.25">
      <c r="C447" s="4">
        <v>9</v>
      </c>
      <c r="D447" s="5">
        <v>121749662067.17535</v>
      </c>
      <c r="E447" s="5">
        <v>121749662067.17535</v>
      </c>
      <c r="F447" s="5">
        <v>0.28720287839547204</v>
      </c>
      <c r="G447" s="5">
        <v>0</v>
      </c>
      <c r="H447" s="5">
        <v>44335110881.516998</v>
      </c>
      <c r="I447" s="5">
        <v>40070922210.742516</v>
      </c>
      <c r="J447" s="5">
        <v>40070922210.742516</v>
      </c>
      <c r="K447" s="5">
        <v>6.7758740859322123E-12</v>
      </c>
      <c r="L447" s="5">
        <v>6.7758740859322123E-12</v>
      </c>
      <c r="M447" s="5">
        <v>0</v>
      </c>
      <c r="N447" s="5">
        <v>2.0000000000000001E-4</v>
      </c>
      <c r="O447" s="5">
        <v>117.88811182933381</v>
      </c>
      <c r="P447" s="5">
        <v>117.88811182933381</v>
      </c>
      <c r="Q447" s="5">
        <v>-1.1714188330150035E-9</v>
      </c>
      <c r="R447" s="5">
        <v>0</v>
      </c>
      <c r="S447" s="5">
        <v>1.3284260829858315E-4</v>
      </c>
      <c r="T447" s="5">
        <v>7.1829056646127628E-6</v>
      </c>
      <c r="U447" s="5">
        <v>7.1829056646127628E-6</v>
      </c>
      <c r="V447" s="5">
        <v>0</v>
      </c>
      <c r="W447" s="5">
        <v>0</v>
      </c>
      <c r="X447" s="5">
        <v>1.8572574208003978</v>
      </c>
      <c r="Y447" s="5">
        <v>4020.8981577145696</v>
      </c>
      <c r="Z447" s="5">
        <f t="shared" ref="Z447:AA447" si="228">Z446+0.0002</f>
        <v>4.0000000000000002E-4</v>
      </c>
      <c r="AA447" s="5">
        <f t="shared" si="228"/>
        <v>6.0000000000000006E-4</v>
      </c>
      <c r="AB447" s="4">
        <v>2</v>
      </c>
    </row>
    <row r="448" spans="1:28" x14ac:dyDescent="0.25">
      <c r="C448" s="4">
        <v>10</v>
      </c>
      <c r="D448" s="5">
        <v>128297874228.77504</v>
      </c>
      <c r="E448" s="5">
        <v>128297874228.77504</v>
      </c>
      <c r="F448" s="5">
        <v>0.30575666376048288</v>
      </c>
      <c r="G448" s="5">
        <v>0</v>
      </c>
      <c r="H448" s="5">
        <v>46922941032.900818</v>
      </c>
      <c r="I448" s="5">
        <v>43491980384.978371</v>
      </c>
      <c r="J448" s="5">
        <v>43491980384.978371</v>
      </c>
      <c r="K448" s="5">
        <v>-1.067115916843307E-12</v>
      </c>
      <c r="L448" s="5">
        <v>-1.067115916843307E-12</v>
      </c>
      <c r="M448" s="5">
        <v>0</v>
      </c>
      <c r="N448" s="5">
        <v>2.0000000000000001E-4</v>
      </c>
      <c r="O448" s="5">
        <v>113.51755203180663</v>
      </c>
      <c r="P448" s="5">
        <v>113.51755203180663</v>
      </c>
      <c r="Q448" s="5">
        <v>2.7321276414721085E-10</v>
      </c>
      <c r="R448" s="5">
        <v>0</v>
      </c>
      <c r="S448" s="5">
        <v>1.2886852765303495E-4</v>
      </c>
      <c r="T448" s="5">
        <v>8.4095196760387809E-6</v>
      </c>
      <c r="U448" s="5">
        <v>8.4095196760387809E-6</v>
      </c>
      <c r="V448" s="5">
        <v>0</v>
      </c>
      <c r="W448" s="5">
        <v>0</v>
      </c>
      <c r="X448" s="5">
        <v>2.0926895508585637</v>
      </c>
      <c r="Y448" s="5">
        <v>4423.3496791846883</v>
      </c>
      <c r="Z448" s="5">
        <f t="shared" ref="Z448:AA448" si="229">Z447+0.0002</f>
        <v>6.0000000000000006E-4</v>
      </c>
      <c r="AA448" s="5">
        <f t="shared" si="229"/>
        <v>8.0000000000000004E-4</v>
      </c>
      <c r="AB448" s="4">
        <v>2</v>
      </c>
    </row>
    <row r="449" spans="1:28" x14ac:dyDescent="0.25">
      <c r="C449" s="4">
        <v>11</v>
      </c>
      <c r="D449" s="5">
        <v>130965806392.5351</v>
      </c>
      <c r="E449" s="5">
        <v>130965806392.5351</v>
      </c>
      <c r="F449" s="5">
        <v>0.31814193652031436</v>
      </c>
      <c r="G449" s="5">
        <v>0</v>
      </c>
      <c r="H449" s="5">
        <v>48293093086.034058</v>
      </c>
      <c r="I449" s="5">
        <v>46852154654.301704</v>
      </c>
      <c r="J449" s="5">
        <v>46852154654.301704</v>
      </c>
      <c r="K449" s="5">
        <v>-1.7011515256168372E-11</v>
      </c>
      <c r="L449" s="5">
        <v>-1.7011515256168372E-11</v>
      </c>
      <c r="M449" s="5">
        <v>0</v>
      </c>
      <c r="N449" s="5">
        <v>2.0000000000000001E-4</v>
      </c>
      <c r="O449" s="5">
        <v>95.098887767449199</v>
      </c>
      <c r="P449" s="5">
        <v>95.098887767449199</v>
      </c>
      <c r="Q449" s="5">
        <v>3.203670961510867E-9</v>
      </c>
      <c r="R449" s="5">
        <v>0</v>
      </c>
      <c r="S449" s="5">
        <v>1.0997789030391723E-4</v>
      </c>
      <c r="T449" s="5">
        <v>1.0214530784133821E-5</v>
      </c>
      <c r="U449" s="5">
        <v>1.0214530784133821E-5</v>
      </c>
      <c r="V449" s="5">
        <v>0</v>
      </c>
      <c r="W449" s="5">
        <v>0</v>
      </c>
      <c r="X449" s="5">
        <v>2.3991529033146799</v>
      </c>
      <c r="Y449" s="5">
        <v>4876.5377880819142</v>
      </c>
      <c r="Z449" s="5">
        <f t="shared" ref="Z449:AA449" si="230">Z448+0.0002</f>
        <v>8.0000000000000004E-4</v>
      </c>
      <c r="AA449" s="5">
        <f t="shared" si="230"/>
        <v>1E-3</v>
      </c>
      <c r="AB449" s="4">
        <v>2</v>
      </c>
    </row>
    <row r="450" spans="1:28" x14ac:dyDescent="0.25">
      <c r="B450" t="s">
        <v>191</v>
      </c>
      <c r="C450" s="11">
        <v>12</v>
      </c>
      <c r="D450" s="5">
        <v>125070837456.54414</v>
      </c>
      <c r="E450" s="5">
        <v>125070837456.54414</v>
      </c>
      <c r="F450" s="5">
        <v>0.31691469590478988</v>
      </c>
      <c r="G450" s="5">
        <v>0</v>
      </c>
      <c r="H450" s="5">
        <v>46976104744.026299</v>
      </c>
      <c r="I450" s="5">
        <v>50077971903.867981</v>
      </c>
      <c r="J450" s="5">
        <v>50077971903.867981</v>
      </c>
      <c r="K450" s="5">
        <v>-5.0833894266057461E-11</v>
      </c>
      <c r="L450" s="5">
        <v>-5.0833894266057461E-11</v>
      </c>
      <c r="M450" s="5">
        <v>0</v>
      </c>
      <c r="N450" s="5">
        <v>2.0000000000000001E-4</v>
      </c>
      <c r="O450" s="5">
        <v>45.679231498542855</v>
      </c>
      <c r="P450" s="5">
        <v>45.679231498542855</v>
      </c>
      <c r="Q450" s="5">
        <v>9.4130127023270067E-9</v>
      </c>
      <c r="R450" s="5">
        <v>0</v>
      </c>
      <c r="S450" s="5">
        <v>5.8169783114322065E-5</v>
      </c>
      <c r="T450" s="5">
        <v>1.3295933579920846E-5</v>
      </c>
      <c r="U450" s="5">
        <v>1.3295933579920846E-5</v>
      </c>
      <c r="V450" s="5">
        <v>0</v>
      </c>
      <c r="W450" s="5">
        <v>0</v>
      </c>
      <c r="X450" s="5">
        <v>2.8623661121540223</v>
      </c>
      <c r="Y450" s="5">
        <v>5441.6900801100155</v>
      </c>
      <c r="Z450" s="5">
        <f t="shared" ref="Z450:AA450" si="231">Z449+0.0002</f>
        <v>1E-3</v>
      </c>
      <c r="AA450" s="5">
        <f t="shared" si="231"/>
        <v>1.2000000000000001E-3</v>
      </c>
      <c r="AB450" s="4">
        <v>2</v>
      </c>
    </row>
    <row r="454" spans="1:28" x14ac:dyDescent="0.25">
      <c r="A454" s="15" t="s">
        <v>255</v>
      </c>
      <c r="C454" s="10" t="s">
        <v>27</v>
      </c>
      <c r="D454" s="10" t="s">
        <v>28</v>
      </c>
      <c r="E454" s="10" t="s">
        <v>29</v>
      </c>
      <c r="F454" s="10" t="s">
        <v>30</v>
      </c>
      <c r="G454" s="10" t="s">
        <v>31</v>
      </c>
      <c r="H454" s="10" t="s">
        <v>47</v>
      </c>
      <c r="I454" s="10" t="s">
        <v>32</v>
      </c>
      <c r="J454" s="10" t="s">
        <v>33</v>
      </c>
      <c r="K454" s="10" t="s">
        <v>34</v>
      </c>
      <c r="L454" s="10" t="s">
        <v>35</v>
      </c>
      <c r="M454" s="10" t="s">
        <v>36</v>
      </c>
      <c r="N454" s="10" t="s">
        <v>37</v>
      </c>
      <c r="O454" s="10" t="s">
        <v>38</v>
      </c>
      <c r="P454" s="10" t="s">
        <v>39</v>
      </c>
      <c r="Q454" s="10" t="s">
        <v>40</v>
      </c>
      <c r="R454" s="10" t="s">
        <v>41</v>
      </c>
      <c r="S454" s="10" t="s">
        <v>42</v>
      </c>
      <c r="T454" s="10" t="s">
        <v>48</v>
      </c>
      <c r="U454" s="10" t="s">
        <v>77</v>
      </c>
      <c r="V454" s="10" t="s">
        <v>78</v>
      </c>
      <c r="W454" s="10" t="s">
        <v>79</v>
      </c>
      <c r="X454" s="10" t="s">
        <v>49</v>
      </c>
      <c r="Y454" s="10" t="s">
        <v>43</v>
      </c>
      <c r="Z454" s="10" t="s">
        <v>44</v>
      </c>
      <c r="AA454" s="10" t="s">
        <v>45</v>
      </c>
      <c r="AB454" s="10" t="s">
        <v>46</v>
      </c>
    </row>
    <row r="455" spans="1:28" x14ac:dyDescent="0.25">
      <c r="A455" s="12" t="s">
        <v>172</v>
      </c>
      <c r="B455" t="s">
        <v>190</v>
      </c>
      <c r="C455" s="11">
        <v>1</v>
      </c>
      <c r="D455" s="5">
        <v>147798228274.42474</v>
      </c>
      <c r="E455" s="5">
        <v>147798228274.42474</v>
      </c>
      <c r="F455" s="5">
        <v>0.35100860370851256</v>
      </c>
      <c r="G455" s="5">
        <v>0</v>
      </c>
      <c r="H455" s="5">
        <v>53974999999.999817</v>
      </c>
      <c r="I455" s="5">
        <v>49605000000</v>
      </c>
      <c r="J455" s="5">
        <v>49605000000</v>
      </c>
      <c r="K455" s="5">
        <v>1.9959485224010237E-12</v>
      </c>
      <c r="L455" s="5">
        <v>1.9959485224010237E-12</v>
      </c>
      <c r="M455" s="5">
        <v>0</v>
      </c>
      <c r="N455" s="5">
        <v>2.0000000000000001E-4</v>
      </c>
      <c r="O455" s="5">
        <v>134.98051948051727</v>
      </c>
      <c r="P455" s="5">
        <v>134.98051948051727</v>
      </c>
      <c r="Q455" s="5">
        <v>-2.7771388888865713E-10</v>
      </c>
      <c r="R455" s="5">
        <v>0</v>
      </c>
      <c r="S455" s="5">
        <v>1.5282499999999768E-4</v>
      </c>
      <c r="T455" s="5">
        <v>9.3575000000000912E-6</v>
      </c>
      <c r="U455" s="5">
        <v>9.3575000000000912E-6</v>
      </c>
      <c r="V455" s="5">
        <v>0</v>
      </c>
      <c r="W455" s="5">
        <v>0</v>
      </c>
      <c r="X455" s="5">
        <v>2.3575000000000115</v>
      </c>
      <c r="Y455" s="5">
        <v>5022.5000000000091</v>
      </c>
      <c r="Z455" s="5">
        <v>-1.1999999999999999E-3</v>
      </c>
      <c r="AA455" s="5">
        <v>-1E-3</v>
      </c>
      <c r="AB455" s="4">
        <v>2</v>
      </c>
    </row>
    <row r="456" spans="1:28" x14ac:dyDescent="0.25">
      <c r="C456" s="4">
        <v>2</v>
      </c>
      <c r="D456" s="5">
        <v>134253123461.71883</v>
      </c>
      <c r="E456" s="5">
        <v>134253123461.71883</v>
      </c>
      <c r="F456" s="5">
        <v>0.31725978163579366</v>
      </c>
      <c r="G456" s="5">
        <v>0</v>
      </c>
      <c r="H456" s="5">
        <v>48924999988.824127</v>
      </c>
      <c r="I456" s="5">
        <v>44414999999.441208</v>
      </c>
      <c r="J456" s="5">
        <v>44414999999.441208</v>
      </c>
      <c r="K456" s="5">
        <v>5.9878454928519854E-12</v>
      </c>
      <c r="L456" s="5">
        <v>5.9878454928519854E-12</v>
      </c>
      <c r="M456" s="5">
        <v>0</v>
      </c>
      <c r="N456" s="5">
        <v>2.0000000000000001E-4</v>
      </c>
      <c r="O456" s="5">
        <v>128.05844142950778</v>
      </c>
      <c r="P456" s="5">
        <v>128.05844142950778</v>
      </c>
      <c r="Q456" s="5">
        <v>-1.0191416530297241E-9</v>
      </c>
      <c r="R456" s="5">
        <v>0</v>
      </c>
      <c r="S456" s="5">
        <v>1.4447499986309557E-4</v>
      </c>
      <c r="T456" s="5">
        <v>8.0725000053085395E-6</v>
      </c>
      <c r="U456" s="5">
        <v>8.0725000053085395E-6</v>
      </c>
      <c r="V456" s="5">
        <v>0</v>
      </c>
      <c r="W456" s="5">
        <v>0</v>
      </c>
      <c r="X456" s="5">
        <v>2.0725000006519254</v>
      </c>
      <c r="Y456" s="5">
        <v>4467.5000004656613</v>
      </c>
      <c r="Z456" s="5">
        <f t="shared" ref="Z456:AA456" si="232">Z455+0.0002</f>
        <v>-9.999999999999998E-4</v>
      </c>
      <c r="AA456" s="5">
        <f t="shared" si="232"/>
        <v>-8.0000000000000004E-4</v>
      </c>
      <c r="AB456" s="4">
        <v>2</v>
      </c>
    </row>
    <row r="457" spans="1:28" x14ac:dyDescent="0.25">
      <c r="C457" s="4">
        <v>3</v>
      </c>
      <c r="D457" s="5">
        <v>120708012830.45387</v>
      </c>
      <c r="E457" s="5">
        <v>120708012830.45387</v>
      </c>
      <c r="F457" s="5">
        <v>0.28351095031326418</v>
      </c>
      <c r="G457" s="5">
        <v>0</v>
      </c>
      <c r="H457" s="5">
        <v>43874998151.715286</v>
      </c>
      <c r="I457" s="5">
        <v>39224999907.585762</v>
      </c>
      <c r="J457" s="5">
        <v>39224999907.585762</v>
      </c>
      <c r="K457" s="5">
        <v>9.9797303150742746E-12</v>
      </c>
      <c r="L457" s="5">
        <v>9.9797303150742746E-12</v>
      </c>
      <c r="M457" s="5">
        <v>0</v>
      </c>
      <c r="N457" s="5">
        <v>2.0000000000000001E-4</v>
      </c>
      <c r="O457" s="5">
        <v>121.13634231307888</v>
      </c>
      <c r="P457" s="5">
        <v>121.13634231307888</v>
      </c>
      <c r="Q457" s="5">
        <v>-1.7605671891434743E-9</v>
      </c>
      <c r="R457" s="5">
        <v>0</v>
      </c>
      <c r="S457" s="5">
        <v>1.3612497735851221E-4</v>
      </c>
      <c r="T457" s="5">
        <v>6.7875008779352408E-6</v>
      </c>
      <c r="U457" s="5">
        <v>6.7875008779352408E-6</v>
      </c>
      <c r="V457" s="5">
        <v>0</v>
      </c>
      <c r="W457" s="5">
        <v>0</v>
      </c>
      <c r="X457" s="5">
        <v>1.7875001078166086</v>
      </c>
      <c r="Y457" s="5">
        <v>3912.5000770118631</v>
      </c>
      <c r="Z457" s="5">
        <f t="shared" ref="Z457:AA457" si="233">Z456+0.0002</f>
        <v>-7.9999999999999982E-4</v>
      </c>
      <c r="AA457" s="5">
        <f t="shared" si="233"/>
        <v>-6.0000000000000006E-4</v>
      </c>
      <c r="AB457" s="4">
        <v>2</v>
      </c>
    </row>
    <row r="458" spans="1:28" x14ac:dyDescent="0.25">
      <c r="C458" s="4">
        <v>4</v>
      </c>
      <c r="D458" s="5">
        <v>107162743578.37242</v>
      </c>
      <c r="E458" s="5">
        <v>107162743578.37242</v>
      </c>
      <c r="F458" s="5">
        <v>0.24976186682993551</v>
      </c>
      <c r="G458" s="5">
        <v>0</v>
      </c>
      <c r="H458" s="5">
        <v>38824946537.504211</v>
      </c>
      <c r="I458" s="5">
        <v>34034997326.875217</v>
      </c>
      <c r="J458" s="5">
        <v>34034997326.875217</v>
      </c>
      <c r="K458" s="5">
        <v>1.3971283962184417E-11</v>
      </c>
      <c r="L458" s="5">
        <v>1.3971283962184417E-11</v>
      </c>
      <c r="M458" s="5">
        <v>0</v>
      </c>
      <c r="N458" s="5">
        <v>2.0000000000000001E-4</v>
      </c>
      <c r="O458" s="5">
        <v>114.21366892834939</v>
      </c>
      <c r="P458" s="5">
        <v>114.21366892834939</v>
      </c>
      <c r="Q458" s="5">
        <v>-2.501931986591825E-9</v>
      </c>
      <c r="R458" s="5">
        <v>0</v>
      </c>
      <c r="S458" s="5">
        <v>1.2777434508442657E-4</v>
      </c>
      <c r="T458" s="5">
        <v>5.5025253946855011E-6</v>
      </c>
      <c r="U458" s="5">
        <v>5.5025253946855011E-6</v>
      </c>
      <c r="V458" s="5">
        <v>0</v>
      </c>
      <c r="W458" s="5">
        <v>0</v>
      </c>
      <c r="X458" s="5">
        <v>1.5025031186455882</v>
      </c>
      <c r="Y458" s="5">
        <v>3357.5022276039917</v>
      </c>
      <c r="Z458" s="5">
        <f t="shared" ref="Z458:AA458" si="234">Z457+0.0002</f>
        <v>-5.9999999999999984E-4</v>
      </c>
      <c r="AA458" s="5">
        <f t="shared" si="234"/>
        <v>-4.0000000000000007E-4</v>
      </c>
      <c r="AB458" s="4">
        <v>2</v>
      </c>
    </row>
    <row r="459" spans="1:28" x14ac:dyDescent="0.25">
      <c r="C459" s="4">
        <v>5</v>
      </c>
      <c r="D459" s="5">
        <v>93615706237.615967</v>
      </c>
      <c r="E459" s="5">
        <v>93615706237.615967</v>
      </c>
      <c r="F459" s="5">
        <v>0.21600997260169011</v>
      </c>
      <c r="G459" s="5">
        <v>0</v>
      </c>
      <c r="H459" s="5">
        <v>33774340075.999496</v>
      </c>
      <c r="I459" s="5">
        <v>28844967003.799973</v>
      </c>
      <c r="J459" s="5">
        <v>28844967003.799973</v>
      </c>
      <c r="K459" s="5">
        <v>1.7959146120508257E-11</v>
      </c>
      <c r="L459" s="5">
        <v>1.7959146120508257E-11</v>
      </c>
      <c r="M459" s="5">
        <v>0</v>
      </c>
      <c r="N459" s="5">
        <v>2.0000000000000001E-4</v>
      </c>
      <c r="O459" s="5">
        <v>107.28459438328424</v>
      </c>
      <c r="P459" s="5">
        <v>107.28459438328424</v>
      </c>
      <c r="Q459" s="5">
        <v>-3.2426197521800176E-9</v>
      </c>
      <c r="R459" s="5">
        <v>0</v>
      </c>
      <c r="S459" s="5">
        <v>1.1941691593099385E-4</v>
      </c>
      <c r="T459" s="5">
        <v>4.2178134639002375E-6</v>
      </c>
      <c r="U459" s="5">
        <v>4.2178134639002375E-6</v>
      </c>
      <c r="V459" s="5">
        <v>0</v>
      </c>
      <c r="W459" s="5">
        <v>0</v>
      </c>
      <c r="X459" s="5">
        <v>1.2175384955666961</v>
      </c>
      <c r="Y459" s="5">
        <v>2802.5274968333542</v>
      </c>
      <c r="Z459" s="5">
        <f t="shared" ref="Z459:AA459" si="235">Z458+0.0002</f>
        <v>-3.9999999999999986E-4</v>
      </c>
      <c r="AA459" s="5">
        <f t="shared" si="235"/>
        <v>-2.0000000000000006E-4</v>
      </c>
      <c r="AB459" s="4">
        <v>2</v>
      </c>
    </row>
    <row r="460" spans="1:28" x14ac:dyDescent="0.25">
      <c r="C460" s="4">
        <v>6</v>
      </c>
      <c r="D460" s="5">
        <v>80057061165.436127</v>
      </c>
      <c r="E460" s="5">
        <v>80057061165.436127</v>
      </c>
      <c r="F460" s="5">
        <v>0.1822396254685919</v>
      </c>
      <c r="G460" s="5">
        <v>0</v>
      </c>
      <c r="H460" s="5">
        <v>28720090970.06385</v>
      </c>
      <c r="I460" s="5">
        <v>23654754548.503189</v>
      </c>
      <c r="J460" s="5">
        <v>23654754548.503189</v>
      </c>
      <c r="K460" s="5">
        <v>2.1922773176266888E-11</v>
      </c>
      <c r="L460" s="5">
        <v>2.1922773176266888E-11</v>
      </c>
      <c r="M460" s="5">
        <v>0</v>
      </c>
      <c r="N460" s="5">
        <v>2.0000000000000001E-4</v>
      </c>
      <c r="O460" s="5">
        <v>100.31349539056347</v>
      </c>
      <c r="P460" s="5">
        <v>100.31349539056347</v>
      </c>
      <c r="Q460" s="5">
        <v>-3.9788627158141172E-9</v>
      </c>
      <c r="R460" s="5">
        <v>0</v>
      </c>
      <c r="S460" s="5">
        <v>1.110148643832822E-4</v>
      </c>
      <c r="T460" s="5">
        <v>2.9348317892196706E-6</v>
      </c>
      <c r="U460" s="5">
        <v>2.9348317892196706E-6</v>
      </c>
      <c r="V460" s="5">
        <v>0</v>
      </c>
      <c r="W460" s="5">
        <v>0</v>
      </c>
      <c r="X460" s="5">
        <v>0.93278636007960891</v>
      </c>
      <c r="Y460" s="5">
        <v>2247.7045429140062</v>
      </c>
      <c r="Z460" s="5">
        <f t="shared" ref="Z460:AA460" si="236">Z459+0.0002</f>
        <v>-1.9999999999999985E-4</v>
      </c>
      <c r="AA460" s="5">
        <f t="shared" si="236"/>
        <v>0</v>
      </c>
      <c r="AB460" s="4">
        <v>2</v>
      </c>
    </row>
    <row r="461" spans="1:28" x14ac:dyDescent="0.25">
      <c r="C461" s="4">
        <v>7</v>
      </c>
      <c r="D461" s="5">
        <v>79989560004.514069</v>
      </c>
      <c r="E461" s="5">
        <v>79989560004.514069</v>
      </c>
      <c r="F461" s="5">
        <v>0.18213231832523008</v>
      </c>
      <c r="G461" s="5">
        <v>0</v>
      </c>
      <c r="H461" s="5">
        <v>28698908301.46595</v>
      </c>
      <c r="I461" s="5">
        <v>23653695415.073296</v>
      </c>
      <c r="J461" s="5">
        <v>23653695415.073296</v>
      </c>
      <c r="K461" s="5">
        <v>2.178184145597183E-11</v>
      </c>
      <c r="L461" s="5">
        <v>2.178184145597183E-11</v>
      </c>
      <c r="M461" s="5">
        <v>0</v>
      </c>
      <c r="N461" s="5">
        <v>2.0000000000000001E-4</v>
      </c>
      <c r="O461" s="5">
        <v>100.06911525284312</v>
      </c>
      <c r="P461" s="5">
        <v>100.06911525284312</v>
      </c>
      <c r="Q461" s="5">
        <v>-3.9530153490008103E-9</v>
      </c>
      <c r="R461" s="5">
        <v>0</v>
      </c>
      <c r="S461" s="5">
        <v>1.1075537669295792E-4</v>
      </c>
      <c r="T461" s="5">
        <v>2.9448935568036736E-6</v>
      </c>
      <c r="U461" s="5">
        <v>2.9448935568036736E-6</v>
      </c>
      <c r="V461" s="5">
        <v>0</v>
      </c>
      <c r="W461" s="5">
        <v>0</v>
      </c>
      <c r="X461" s="5">
        <v>0.93402201574781962</v>
      </c>
      <c r="Y461" s="5">
        <v>2248.5871541055849</v>
      </c>
      <c r="Z461" s="5">
        <f t="shared" ref="Z461:AA461" si="237">Z460+0.0002</f>
        <v>0</v>
      </c>
      <c r="AA461" s="5">
        <f t="shared" si="237"/>
        <v>2.0000000000000001E-4</v>
      </c>
      <c r="AB461" s="4">
        <v>2</v>
      </c>
    </row>
    <row r="462" spans="1:28" x14ac:dyDescent="0.25">
      <c r="C462" s="4">
        <v>8</v>
      </c>
      <c r="D462" s="5">
        <v>93270023250.759918</v>
      </c>
      <c r="E462" s="5">
        <v>93270023250.759918</v>
      </c>
      <c r="F462" s="5">
        <v>0.21546043755189867</v>
      </c>
      <c r="G462" s="5">
        <v>0</v>
      </c>
      <c r="H462" s="5">
        <v>33665860635.787247</v>
      </c>
      <c r="I462" s="5">
        <v>28839543031.78936</v>
      </c>
      <c r="J462" s="5">
        <v>28839543031.78936</v>
      </c>
      <c r="K462" s="5">
        <v>1.7237414859166033E-11</v>
      </c>
      <c r="L462" s="5">
        <v>1.7237414859166033E-11</v>
      </c>
      <c r="M462" s="5">
        <v>0</v>
      </c>
      <c r="N462" s="5">
        <v>2.0000000000000001E-4</v>
      </c>
      <c r="O462" s="5">
        <v>106.03308915312992</v>
      </c>
      <c r="P462" s="5">
        <v>106.03308915312992</v>
      </c>
      <c r="Q462" s="5">
        <v>-3.1102517330180646E-9</v>
      </c>
      <c r="R462" s="5">
        <v>0</v>
      </c>
      <c r="S462" s="5">
        <v>1.1808804278839378E-4</v>
      </c>
      <c r="T462" s="5">
        <v>4.2693411980010568E-6</v>
      </c>
      <c r="U462" s="5">
        <v>4.2693411980010568E-6</v>
      </c>
      <c r="V462" s="5">
        <v>0</v>
      </c>
      <c r="W462" s="5">
        <v>0</v>
      </c>
      <c r="X462" s="5">
        <v>1.2238664629124105</v>
      </c>
      <c r="Y462" s="5">
        <v>2807.0474735088646</v>
      </c>
      <c r="Z462" s="5">
        <f t="shared" ref="Z462:AA462" si="238">Z461+0.0002</f>
        <v>2.0000000000000001E-4</v>
      </c>
      <c r="AA462" s="5">
        <f t="shared" si="238"/>
        <v>4.0000000000000002E-4</v>
      </c>
      <c r="AB462" s="4">
        <v>2</v>
      </c>
    </row>
    <row r="463" spans="1:28" x14ac:dyDescent="0.25">
      <c r="C463" s="4">
        <v>9</v>
      </c>
      <c r="D463" s="5">
        <v>105947039827.23326</v>
      </c>
      <c r="E463" s="5">
        <v>105947039827.23326</v>
      </c>
      <c r="F463" s="5">
        <v>0.2478292527100161</v>
      </c>
      <c r="G463" s="5">
        <v>0</v>
      </c>
      <c r="H463" s="5">
        <v>38443444214.850327</v>
      </c>
      <c r="I463" s="5">
        <v>34015922210.742519</v>
      </c>
      <c r="J463" s="5">
        <v>34015922210.742519</v>
      </c>
      <c r="K463" s="5">
        <v>1.143308730487088E-11</v>
      </c>
      <c r="L463" s="5">
        <v>1.143308730487088E-11</v>
      </c>
      <c r="M463" s="5">
        <v>0</v>
      </c>
      <c r="N463" s="5">
        <v>2.0000000000000001E-4</v>
      </c>
      <c r="O463" s="5">
        <v>109.81235425357625</v>
      </c>
      <c r="P463" s="5">
        <v>109.81235425357625</v>
      </c>
      <c r="Q463" s="5">
        <v>-2.0364179070890769E-9</v>
      </c>
      <c r="R463" s="5">
        <v>0</v>
      </c>
      <c r="S463" s="5">
        <v>1.2310094163191649E-4</v>
      </c>
      <c r="T463" s="5">
        <v>5.6837389979460962E-6</v>
      </c>
      <c r="U463" s="5">
        <v>5.6837389979460962E-6</v>
      </c>
      <c r="V463" s="5">
        <v>0</v>
      </c>
      <c r="W463" s="5">
        <v>0</v>
      </c>
      <c r="X463" s="5">
        <v>1.524757420800398</v>
      </c>
      <c r="Y463" s="5">
        <v>3373.3981577145696</v>
      </c>
      <c r="Z463" s="5">
        <f t="shared" ref="Z463:AA463" si="239">Z462+0.0002</f>
        <v>4.0000000000000002E-4</v>
      </c>
      <c r="AA463" s="5">
        <f t="shared" si="239"/>
        <v>6.0000000000000006E-4</v>
      </c>
      <c r="AB463" s="4">
        <v>2</v>
      </c>
    </row>
    <row r="464" spans="1:28" x14ac:dyDescent="0.25">
      <c r="C464" s="4">
        <v>10</v>
      </c>
      <c r="D464" s="5">
        <v>117010286914.53069</v>
      </c>
      <c r="E464" s="5">
        <v>117010286914.53069</v>
      </c>
      <c r="F464" s="5">
        <v>0.27763264541372862</v>
      </c>
      <c r="G464" s="5">
        <v>0</v>
      </c>
      <c r="H464" s="5">
        <v>42714607699.567482</v>
      </c>
      <c r="I464" s="5">
        <v>39166980384.978371</v>
      </c>
      <c r="J464" s="5">
        <v>39166980384.978371</v>
      </c>
      <c r="K464" s="5">
        <v>2.259464953827171E-12</v>
      </c>
      <c r="L464" s="5">
        <v>2.259464953827171E-12</v>
      </c>
      <c r="M464" s="5">
        <v>0</v>
      </c>
      <c r="N464" s="5">
        <v>2.0000000000000001E-4</v>
      </c>
      <c r="O464" s="5">
        <v>107.74915376340836</v>
      </c>
      <c r="P464" s="5">
        <v>107.74915376340836</v>
      </c>
      <c r="Q464" s="5">
        <v>-3.4464371733427046E-10</v>
      </c>
      <c r="R464" s="5">
        <v>0</v>
      </c>
      <c r="S464" s="5">
        <v>1.2191019431970162E-4</v>
      </c>
      <c r="T464" s="5">
        <v>7.3386863427054475E-6</v>
      </c>
      <c r="U464" s="5">
        <v>7.3386863427054475E-6</v>
      </c>
      <c r="V464" s="5">
        <v>0</v>
      </c>
      <c r="W464" s="5">
        <v>0</v>
      </c>
      <c r="X464" s="5">
        <v>1.8551895508585639</v>
      </c>
      <c r="Y464" s="5">
        <v>3960.8496791846883</v>
      </c>
      <c r="Z464" s="5">
        <f t="shared" ref="Z464:AA464" si="240">Z463+0.0002</f>
        <v>6.0000000000000006E-4</v>
      </c>
      <c r="AA464" s="5">
        <f t="shared" si="240"/>
        <v>8.0000000000000004E-4</v>
      </c>
      <c r="AB464" s="4">
        <v>2</v>
      </c>
    </row>
    <row r="465" spans="1:28" x14ac:dyDescent="0.25">
      <c r="C465" s="4">
        <v>11</v>
      </c>
      <c r="D465" s="5">
        <v>124193254003.98848</v>
      </c>
      <c r="E465" s="5">
        <v>124193254003.98848</v>
      </c>
      <c r="F465" s="5">
        <v>0.30126752551226182</v>
      </c>
      <c r="G465" s="5">
        <v>0</v>
      </c>
      <c r="H465" s="5">
        <v>45768093086.034058</v>
      </c>
      <c r="I465" s="5">
        <v>44257154654.301704</v>
      </c>
      <c r="J465" s="5">
        <v>44257154654.301704</v>
      </c>
      <c r="K465" s="5">
        <v>-1.5015566733766085E-11</v>
      </c>
      <c r="L465" s="5">
        <v>-1.5015566733766085E-11</v>
      </c>
      <c r="M465" s="5">
        <v>0</v>
      </c>
      <c r="N465" s="5">
        <v>2.0000000000000001E-4</v>
      </c>
      <c r="O465" s="5">
        <v>91.637848806410233</v>
      </c>
      <c r="P465" s="5">
        <v>91.637848806410233</v>
      </c>
      <c r="Q465" s="5">
        <v>2.8329570726219778E-9</v>
      </c>
      <c r="R465" s="5">
        <v>0</v>
      </c>
      <c r="S465" s="5">
        <v>1.0580289030391723E-4</v>
      </c>
      <c r="T465" s="5">
        <v>9.5720307841338218E-6</v>
      </c>
      <c r="U465" s="5">
        <v>9.5720307841338218E-6</v>
      </c>
      <c r="V465" s="5">
        <v>0</v>
      </c>
      <c r="W465" s="5">
        <v>0</v>
      </c>
      <c r="X465" s="5">
        <v>2.2566529033146798</v>
      </c>
      <c r="Y465" s="5">
        <v>4599.0377880819142</v>
      </c>
      <c r="Z465" s="5">
        <f t="shared" ref="Z465:AA465" si="241">Z464+0.0002</f>
        <v>8.0000000000000004E-4</v>
      </c>
      <c r="AA465" s="5">
        <f t="shared" si="241"/>
        <v>1E-3</v>
      </c>
      <c r="AB465" s="4">
        <v>2</v>
      </c>
    </row>
    <row r="466" spans="1:28" x14ac:dyDescent="0.25">
      <c r="B466" t="s">
        <v>191</v>
      </c>
      <c r="C466" s="11">
        <v>12</v>
      </c>
      <c r="D466" s="5">
        <v>122813319993.69528</v>
      </c>
      <c r="E466" s="5">
        <v>122813319993.69528</v>
      </c>
      <c r="F466" s="5">
        <v>0.31128989223543901</v>
      </c>
      <c r="G466" s="5">
        <v>0</v>
      </c>
      <c r="H466" s="5">
        <v>46134438077.359634</v>
      </c>
      <c r="I466" s="5">
        <v>49212971903.867989</v>
      </c>
      <c r="J466" s="5">
        <v>49212971903.867989</v>
      </c>
      <c r="K466" s="5">
        <v>-5.0168578091923366E-11</v>
      </c>
      <c r="L466" s="5">
        <v>-5.0168578091923366E-11</v>
      </c>
      <c r="M466" s="5">
        <v>0</v>
      </c>
      <c r="N466" s="5">
        <v>2.0000000000000001E-4</v>
      </c>
      <c r="O466" s="5">
        <v>44.525551844863202</v>
      </c>
      <c r="P466" s="5">
        <v>44.525551844863202</v>
      </c>
      <c r="Q466" s="5">
        <v>9.2894414060307106E-9</v>
      </c>
      <c r="R466" s="5">
        <v>0</v>
      </c>
      <c r="S466" s="5">
        <v>5.6778116447655396E-5</v>
      </c>
      <c r="T466" s="5">
        <v>1.3081766913254179E-5</v>
      </c>
      <c r="U466" s="5">
        <v>1.3081766913254179E-5</v>
      </c>
      <c r="V466" s="5">
        <v>0</v>
      </c>
      <c r="W466" s="5">
        <v>0</v>
      </c>
      <c r="X466" s="5">
        <v>2.8148661121540224</v>
      </c>
      <c r="Y466" s="5">
        <v>5349.1900801100164</v>
      </c>
      <c r="Z466" s="5">
        <f t="shared" ref="Z466:AA466" si="242">Z465+0.0002</f>
        <v>1E-3</v>
      </c>
      <c r="AA466" s="5">
        <f t="shared" si="242"/>
        <v>1.2000000000000001E-3</v>
      </c>
      <c r="AB466" s="4">
        <v>2</v>
      </c>
    </row>
    <row r="469" spans="1:28" x14ac:dyDescent="0.25">
      <c r="A469" s="15" t="s">
        <v>256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x14ac:dyDescent="0.25">
      <c r="A470" s="12" t="s">
        <v>172</v>
      </c>
      <c r="C470" s="10" t="s">
        <v>27</v>
      </c>
      <c r="D470" s="10" t="s">
        <v>28</v>
      </c>
      <c r="E470" s="10" t="s">
        <v>29</v>
      </c>
      <c r="F470" s="10" t="s">
        <v>30</v>
      </c>
      <c r="G470" s="10" t="s">
        <v>31</v>
      </c>
      <c r="H470" s="10" t="s">
        <v>47</v>
      </c>
      <c r="I470" s="10" t="s">
        <v>32</v>
      </c>
      <c r="J470" s="10" t="s">
        <v>33</v>
      </c>
      <c r="K470" s="10" t="s">
        <v>34</v>
      </c>
      <c r="L470" s="10" t="s">
        <v>35</v>
      </c>
      <c r="M470" s="10" t="s">
        <v>36</v>
      </c>
      <c r="N470" s="10" t="s">
        <v>37</v>
      </c>
      <c r="O470" s="10" t="s">
        <v>38</v>
      </c>
      <c r="P470" s="10" t="s">
        <v>39</v>
      </c>
      <c r="Q470" s="10" t="s">
        <v>40</v>
      </c>
      <c r="R470" s="10" t="s">
        <v>41</v>
      </c>
      <c r="S470" s="10" t="s">
        <v>42</v>
      </c>
      <c r="T470" s="10" t="s">
        <v>48</v>
      </c>
      <c r="U470" s="10" t="s">
        <v>77</v>
      </c>
      <c r="V470" s="10" t="s">
        <v>78</v>
      </c>
      <c r="W470" s="10" t="s">
        <v>79</v>
      </c>
      <c r="X470" s="10" t="s">
        <v>49</v>
      </c>
      <c r="Y470" s="10" t="s">
        <v>43</v>
      </c>
      <c r="Z470" s="10" t="s">
        <v>44</v>
      </c>
      <c r="AA470" s="10" t="s">
        <v>45</v>
      </c>
      <c r="AB470" s="10" t="s">
        <v>46</v>
      </c>
    </row>
    <row r="471" spans="1:28" x14ac:dyDescent="0.25">
      <c r="B471" t="s">
        <v>190</v>
      </c>
      <c r="C471" s="11">
        <v>1</v>
      </c>
      <c r="D471" s="5">
        <v>145540710811.57587</v>
      </c>
      <c r="E471" s="5">
        <v>145540710811.57587</v>
      </c>
      <c r="F471" s="5">
        <v>0.34538380003916175</v>
      </c>
      <c r="G471" s="5">
        <v>0</v>
      </c>
      <c r="H471" s="5">
        <v>53133333333.333153</v>
      </c>
      <c r="I471" s="5">
        <v>48740000000</v>
      </c>
      <c r="J471" s="5">
        <v>48740000000</v>
      </c>
      <c r="K471" s="5">
        <v>2.6612646965351179E-12</v>
      </c>
      <c r="L471" s="5">
        <v>2.6612646965351179E-12</v>
      </c>
      <c r="M471" s="5">
        <v>0</v>
      </c>
      <c r="N471" s="5">
        <v>2.0000000000000001E-4</v>
      </c>
      <c r="O471" s="5">
        <v>133.82683982683761</v>
      </c>
      <c r="P471" s="5">
        <v>133.82683982683761</v>
      </c>
      <c r="Q471" s="5">
        <v>-4.0128518518495321E-10</v>
      </c>
      <c r="R471" s="5">
        <v>0</v>
      </c>
      <c r="S471" s="5">
        <v>1.5143333333333101E-4</v>
      </c>
      <c r="T471" s="5">
        <v>9.1433333333334259E-6</v>
      </c>
      <c r="U471" s="5">
        <v>9.1433333333334259E-6</v>
      </c>
      <c r="V471" s="5">
        <v>0</v>
      </c>
      <c r="W471" s="5">
        <v>0</v>
      </c>
      <c r="X471" s="5">
        <v>2.3100000000000116</v>
      </c>
      <c r="Y471" s="5">
        <v>4930.0000000000091</v>
      </c>
      <c r="Z471" s="5">
        <v>-1.1999999999999999E-3</v>
      </c>
      <c r="AA471" s="5">
        <v>-1E-3</v>
      </c>
      <c r="AB471" s="4">
        <v>2</v>
      </c>
    </row>
    <row r="472" spans="1:28" x14ac:dyDescent="0.25">
      <c r="C472" s="4">
        <v>2</v>
      </c>
      <c r="D472" s="5">
        <v>127480571073.17221</v>
      </c>
      <c r="E472" s="5">
        <v>127480571073.17221</v>
      </c>
      <c r="F472" s="5">
        <v>0.30038537062774107</v>
      </c>
      <c r="G472" s="5">
        <v>0</v>
      </c>
      <c r="H472" s="5">
        <v>46399999988.824127</v>
      </c>
      <c r="I472" s="5">
        <v>41819999999.441208</v>
      </c>
      <c r="J472" s="5">
        <v>41819999999.441208</v>
      </c>
      <c r="K472" s="5">
        <v>7.9837940152542741E-12</v>
      </c>
      <c r="L472" s="5">
        <v>7.9837940152542741E-12</v>
      </c>
      <c r="M472" s="5">
        <v>0</v>
      </c>
      <c r="N472" s="5">
        <v>2.0000000000000001E-4</v>
      </c>
      <c r="O472" s="5">
        <v>124.59740246846883</v>
      </c>
      <c r="P472" s="5">
        <v>124.59740246846883</v>
      </c>
      <c r="Q472" s="5">
        <v>-1.3898555419186132E-9</v>
      </c>
      <c r="R472" s="5">
        <v>0</v>
      </c>
      <c r="S472" s="5">
        <v>1.4029999986309556E-4</v>
      </c>
      <c r="T472" s="5">
        <v>7.4300000053085385E-6</v>
      </c>
      <c r="U472" s="5">
        <v>7.4300000053085385E-6</v>
      </c>
      <c r="V472" s="5">
        <v>0</v>
      </c>
      <c r="W472" s="5">
        <v>0</v>
      </c>
      <c r="X472" s="5">
        <v>1.9300000006519256</v>
      </c>
      <c r="Y472" s="5">
        <v>4190.0000004656613</v>
      </c>
      <c r="Z472" s="5">
        <f t="shared" ref="Z472:AA472" si="243">Z471+0.0002</f>
        <v>-9.999999999999998E-4</v>
      </c>
      <c r="AA472" s="5">
        <f t="shared" si="243"/>
        <v>-8.0000000000000004E-4</v>
      </c>
      <c r="AB472" s="4">
        <v>2</v>
      </c>
    </row>
    <row r="473" spans="1:28" x14ac:dyDescent="0.25">
      <c r="C473" s="4">
        <v>3</v>
      </c>
      <c r="D473" s="5">
        <v>109420425516.2095</v>
      </c>
      <c r="E473" s="5">
        <v>109420425516.2095</v>
      </c>
      <c r="F473" s="5">
        <v>0.25538693196650991</v>
      </c>
      <c r="G473" s="5">
        <v>0</v>
      </c>
      <c r="H473" s="5">
        <v>39666664818.381958</v>
      </c>
      <c r="I473" s="5">
        <v>34899999907.585762</v>
      </c>
      <c r="J473" s="5">
        <v>34899999907.585762</v>
      </c>
      <c r="K473" s="5">
        <v>1.3306311185744754E-11</v>
      </c>
      <c r="L473" s="5">
        <v>1.3306311185744754E-11</v>
      </c>
      <c r="M473" s="5">
        <v>0</v>
      </c>
      <c r="N473" s="5">
        <v>2.0000000000000001E-4</v>
      </c>
      <c r="O473" s="5">
        <v>115.36794404468061</v>
      </c>
      <c r="P473" s="5">
        <v>115.36794404468061</v>
      </c>
      <c r="Q473" s="5">
        <v>-2.3784236706249562E-9</v>
      </c>
      <c r="R473" s="5">
        <v>0</v>
      </c>
      <c r="S473" s="5">
        <v>1.2916664402517889E-4</v>
      </c>
      <c r="T473" s="5">
        <v>5.7166675446019074E-6</v>
      </c>
      <c r="U473" s="5">
        <v>5.7166675446019074E-6</v>
      </c>
      <c r="V473" s="5">
        <v>0</v>
      </c>
      <c r="W473" s="5">
        <v>0</v>
      </c>
      <c r="X473" s="5">
        <v>1.5500001078166084</v>
      </c>
      <c r="Y473" s="5">
        <v>3450.0000770118631</v>
      </c>
      <c r="Z473" s="5">
        <f t="shared" ref="Z473:AA473" si="244">Z472+0.0002</f>
        <v>-7.9999999999999982E-4</v>
      </c>
      <c r="AA473" s="5">
        <f t="shared" si="244"/>
        <v>-6.0000000000000006E-4</v>
      </c>
      <c r="AB473" s="4">
        <v>2</v>
      </c>
    </row>
    <row r="474" spans="1:28" x14ac:dyDescent="0.25">
      <c r="C474" s="4">
        <v>4</v>
      </c>
      <c r="D474" s="5">
        <v>91360121338.430298</v>
      </c>
      <c r="E474" s="5">
        <v>91360121338.430298</v>
      </c>
      <c r="F474" s="5">
        <v>0.21038824114447949</v>
      </c>
      <c r="G474" s="5">
        <v>0</v>
      </c>
      <c r="H474" s="5">
        <v>32933279870.837547</v>
      </c>
      <c r="I474" s="5">
        <v>27979997326.875217</v>
      </c>
      <c r="J474" s="5">
        <v>27979997326.875217</v>
      </c>
      <c r="K474" s="5">
        <v>1.8628497181123089E-11</v>
      </c>
      <c r="L474" s="5">
        <v>1.8628497181123089E-11</v>
      </c>
      <c r="M474" s="5">
        <v>0</v>
      </c>
      <c r="N474" s="5">
        <v>2.0000000000000001E-4</v>
      </c>
      <c r="O474" s="5">
        <v>106.13791135259181</v>
      </c>
      <c r="P474" s="5">
        <v>106.13791135259181</v>
      </c>
      <c r="Q474" s="5">
        <v>-3.3669310606658997E-9</v>
      </c>
      <c r="R474" s="5">
        <v>0</v>
      </c>
      <c r="S474" s="5">
        <v>1.180326784177599E-4</v>
      </c>
      <c r="T474" s="5">
        <v>4.0033587280188336E-6</v>
      </c>
      <c r="U474" s="5">
        <v>4.0033587280188336E-6</v>
      </c>
      <c r="V474" s="5">
        <v>0</v>
      </c>
      <c r="W474" s="5">
        <v>0</v>
      </c>
      <c r="X474" s="5">
        <v>1.1700031186455879</v>
      </c>
      <c r="Y474" s="5">
        <v>2710.0022276039922</v>
      </c>
      <c r="Z474" s="5">
        <f t="shared" ref="Z474:AA474" si="245">Z473+0.0002</f>
        <v>-5.9999999999999984E-4</v>
      </c>
      <c r="AA474" s="5">
        <f t="shared" si="245"/>
        <v>-4.0000000000000007E-4</v>
      </c>
      <c r="AB474" s="4">
        <v>2</v>
      </c>
    </row>
    <row r="475" spans="1:28" x14ac:dyDescent="0.25">
      <c r="C475" s="4">
        <v>5</v>
      </c>
      <c r="D475" s="5">
        <v>73298049071.976105</v>
      </c>
      <c r="E475" s="5">
        <v>73298049071.976105</v>
      </c>
      <c r="F475" s="5">
        <v>0.16538673957753242</v>
      </c>
      <c r="G475" s="5">
        <v>0</v>
      </c>
      <c r="H475" s="5">
        <v>26199340075.999496</v>
      </c>
      <c r="I475" s="5">
        <v>21059967003.799973</v>
      </c>
      <c r="J475" s="5">
        <v>21059967003.799973</v>
      </c>
      <c r="K475" s="5">
        <v>2.3946991687715121E-11</v>
      </c>
      <c r="L475" s="5">
        <v>2.3946991687715121E-11</v>
      </c>
      <c r="M475" s="5">
        <v>0</v>
      </c>
      <c r="N475" s="5">
        <v>2.0000000000000001E-4</v>
      </c>
      <c r="O475" s="5">
        <v>96.901477500167346</v>
      </c>
      <c r="P475" s="5">
        <v>96.901477500167346</v>
      </c>
      <c r="Q475" s="5">
        <v>-4.3547614188466849E-9</v>
      </c>
      <c r="R475" s="5">
        <v>0</v>
      </c>
      <c r="S475" s="5">
        <v>1.0689191593099385E-4</v>
      </c>
      <c r="T475" s="5">
        <v>2.2903134639002378E-6</v>
      </c>
      <c r="U475" s="5">
        <v>2.2903134639002378E-6</v>
      </c>
      <c r="V475" s="5">
        <v>0</v>
      </c>
      <c r="W475" s="5">
        <v>0</v>
      </c>
      <c r="X475" s="5">
        <v>0.79003849556669592</v>
      </c>
      <c r="Y475" s="5">
        <v>1970.0274968333542</v>
      </c>
      <c r="Z475" s="5">
        <f t="shared" ref="Z475:AA475" si="246">Z474+0.0002</f>
        <v>-3.9999999999999986E-4</v>
      </c>
      <c r="AA475" s="5">
        <f t="shared" si="246"/>
        <v>-2.0000000000000006E-4</v>
      </c>
      <c r="AB475" s="4">
        <v>2</v>
      </c>
    </row>
    <row r="476" spans="1:28" x14ac:dyDescent="0.25">
      <c r="C476" s="4">
        <v>6</v>
      </c>
      <c r="D476" s="5">
        <v>55224369074.098526</v>
      </c>
      <c r="E476" s="5">
        <v>55224369074.098526</v>
      </c>
      <c r="F476" s="5">
        <v>0.12036678510573248</v>
      </c>
      <c r="G476" s="5">
        <v>0</v>
      </c>
      <c r="H476" s="5">
        <v>19461757636.730522</v>
      </c>
      <c r="I476" s="5">
        <v>14139754548.503189</v>
      </c>
      <c r="J476" s="5">
        <v>14139754548.503189</v>
      </c>
      <c r="K476" s="5">
        <v>2.9241251091741942E-11</v>
      </c>
      <c r="L476" s="5">
        <v>2.9241251091741942E-11</v>
      </c>
      <c r="M476" s="5">
        <v>0</v>
      </c>
      <c r="N476" s="5">
        <v>2.0000000000000001E-4</v>
      </c>
      <c r="O476" s="5">
        <v>87.623019200087271</v>
      </c>
      <c r="P476" s="5">
        <v>87.623019200087271</v>
      </c>
      <c r="Q476" s="5">
        <v>-5.3381469750733772E-9</v>
      </c>
      <c r="R476" s="5">
        <v>0</v>
      </c>
      <c r="S476" s="5">
        <v>9.570653104994887E-5</v>
      </c>
      <c r="T476" s="5">
        <v>5.7899845588633601E-7</v>
      </c>
      <c r="U476" s="5">
        <v>5.7899845588633601E-7</v>
      </c>
      <c r="V476" s="5">
        <v>0</v>
      </c>
      <c r="W476" s="5">
        <v>0</v>
      </c>
      <c r="X476" s="5">
        <v>0.4102863600796085</v>
      </c>
      <c r="Y476" s="5">
        <v>1230.2045429140062</v>
      </c>
      <c r="Z476" s="5">
        <f t="shared" ref="Z476:AA476" si="247">Z475+0.0002</f>
        <v>-1.9999999999999985E-4</v>
      </c>
      <c r="AA476" s="5">
        <f t="shared" si="247"/>
        <v>0</v>
      </c>
      <c r="AB476" s="4">
        <v>2</v>
      </c>
    </row>
    <row r="477" spans="1:28" x14ac:dyDescent="0.25">
      <c r="C477" s="4">
        <v>7</v>
      </c>
      <c r="D477" s="5">
        <v>55156867913.176468</v>
      </c>
      <c r="E477" s="5">
        <v>55156867913.176468</v>
      </c>
      <c r="F477" s="5">
        <v>0.12025947796237066</v>
      </c>
      <c r="G477" s="5">
        <v>0</v>
      </c>
      <c r="H477" s="5">
        <v>19440574968.132622</v>
      </c>
      <c r="I477" s="5">
        <v>14138695415.073296</v>
      </c>
      <c r="J477" s="5">
        <v>14138695415.073296</v>
      </c>
      <c r="K477" s="5">
        <v>2.9100319371446884E-11</v>
      </c>
      <c r="L477" s="5">
        <v>2.9100319371446884E-11</v>
      </c>
      <c r="M477" s="5">
        <v>0</v>
      </c>
      <c r="N477" s="5">
        <v>2.0000000000000001E-4</v>
      </c>
      <c r="O477" s="5">
        <v>87.378639062366915</v>
      </c>
      <c r="P477" s="5">
        <v>87.378639062366915</v>
      </c>
      <c r="Q477" s="5">
        <v>-5.3122996082600703E-9</v>
      </c>
      <c r="R477" s="5">
        <v>0</v>
      </c>
      <c r="S477" s="5">
        <v>9.5447043359624589E-5</v>
      </c>
      <c r="T477" s="5">
        <v>5.89060223470339E-7</v>
      </c>
      <c r="U477" s="5">
        <v>5.89060223470339E-7</v>
      </c>
      <c r="V477" s="5">
        <v>0</v>
      </c>
      <c r="W477" s="5">
        <v>0</v>
      </c>
      <c r="X477" s="5">
        <v>0.41152201574781921</v>
      </c>
      <c r="Y477" s="5">
        <v>1231.0871541055849</v>
      </c>
      <c r="Z477" s="5">
        <f t="shared" ref="Z477:AA477" si="248">Z476+0.0002</f>
        <v>0</v>
      </c>
      <c r="AA477" s="5">
        <f t="shared" si="248"/>
        <v>2.0000000000000001E-4</v>
      </c>
      <c r="AB477" s="4">
        <v>2</v>
      </c>
    </row>
    <row r="478" spans="1:28" x14ac:dyDescent="0.25">
      <c r="C478" s="4">
        <v>8</v>
      </c>
      <c r="D478" s="5">
        <v>72952366085.120056</v>
      </c>
      <c r="E478" s="5">
        <v>72952366085.120056</v>
      </c>
      <c r="F478" s="5">
        <v>0.16483720452774098</v>
      </c>
      <c r="G478" s="5">
        <v>0</v>
      </c>
      <c r="H478" s="5">
        <v>26090860635.787247</v>
      </c>
      <c r="I478" s="5">
        <v>21054543031.78936</v>
      </c>
      <c r="J478" s="5">
        <v>21054543031.78936</v>
      </c>
      <c r="K478" s="5">
        <v>2.3225260426372897E-11</v>
      </c>
      <c r="L478" s="5">
        <v>2.3225260426372897E-11</v>
      </c>
      <c r="M478" s="5">
        <v>0</v>
      </c>
      <c r="N478" s="5">
        <v>2.0000000000000001E-4</v>
      </c>
      <c r="O478" s="5">
        <v>95.649972270013023</v>
      </c>
      <c r="P478" s="5">
        <v>95.649972270013023</v>
      </c>
      <c r="Q478" s="5">
        <v>-4.2223933996847319E-9</v>
      </c>
      <c r="R478" s="5">
        <v>0</v>
      </c>
      <c r="S478" s="5">
        <v>1.0556304278839379E-4</v>
      </c>
      <c r="T478" s="5">
        <v>2.341841198001057E-6</v>
      </c>
      <c r="U478" s="5">
        <v>2.341841198001057E-6</v>
      </c>
      <c r="V478" s="5">
        <v>0</v>
      </c>
      <c r="W478" s="5">
        <v>0</v>
      </c>
      <c r="X478" s="5">
        <v>0.79636646291241031</v>
      </c>
      <c r="Y478" s="5">
        <v>1974.5474735088646</v>
      </c>
      <c r="Z478" s="5">
        <f t="shared" ref="Z478:AA478" si="249">Z477+0.0002</f>
        <v>2.0000000000000001E-4</v>
      </c>
      <c r="AA478" s="5">
        <f t="shared" si="249"/>
        <v>4.0000000000000002E-4</v>
      </c>
      <c r="AB478" s="4">
        <v>2</v>
      </c>
    </row>
    <row r="479" spans="1:28" x14ac:dyDescent="0.25">
      <c r="C479" s="4">
        <v>9</v>
      </c>
      <c r="D479" s="5">
        <v>90144417587.291138</v>
      </c>
      <c r="E479" s="5">
        <v>90144417587.291138</v>
      </c>
      <c r="F479" s="5">
        <v>0.20845562702456008</v>
      </c>
      <c r="G479" s="5">
        <v>0</v>
      </c>
      <c r="H479" s="5">
        <v>32551777548.183662</v>
      </c>
      <c r="I479" s="5">
        <v>27960922210.742519</v>
      </c>
      <c r="J479" s="5">
        <v>27960922210.742519</v>
      </c>
      <c r="K479" s="5">
        <v>1.6090300523809552E-11</v>
      </c>
      <c r="L479" s="5">
        <v>1.6090300523809552E-11</v>
      </c>
      <c r="M479" s="5">
        <v>0</v>
      </c>
      <c r="N479" s="5">
        <v>2.0000000000000001E-4</v>
      </c>
      <c r="O479" s="5">
        <v>101.73659667781867</v>
      </c>
      <c r="P479" s="5">
        <v>101.73659667781867</v>
      </c>
      <c r="Q479" s="5">
        <v>-2.9014169811631515E-9</v>
      </c>
      <c r="R479" s="5">
        <v>0</v>
      </c>
      <c r="S479" s="5">
        <v>1.1335927496524983E-4</v>
      </c>
      <c r="T479" s="5">
        <v>4.1845723312794288E-6</v>
      </c>
      <c r="U479" s="5">
        <v>4.1845723312794288E-6</v>
      </c>
      <c r="V479" s="5">
        <v>0</v>
      </c>
      <c r="W479" s="5">
        <v>0</v>
      </c>
      <c r="X479" s="5">
        <v>1.1922574208003978</v>
      </c>
      <c r="Y479" s="5">
        <v>2725.8981577145701</v>
      </c>
      <c r="Z479" s="5">
        <f t="shared" ref="Z479:AA479" si="250">Z478+0.0002</f>
        <v>4.0000000000000002E-4</v>
      </c>
      <c r="AA479" s="5">
        <f t="shared" si="250"/>
        <v>6.0000000000000006E-4</v>
      </c>
      <c r="AB479" s="4">
        <v>2</v>
      </c>
    </row>
    <row r="480" spans="1:28" x14ac:dyDescent="0.25">
      <c r="C480" s="4">
        <v>10</v>
      </c>
      <c r="D480" s="5">
        <v>105722699600.28632</v>
      </c>
      <c r="E480" s="5">
        <v>105722699600.28632</v>
      </c>
      <c r="F480" s="5">
        <v>0.24950862706697435</v>
      </c>
      <c r="G480" s="5">
        <v>0</v>
      </c>
      <c r="H480" s="5">
        <v>38506274366.234146</v>
      </c>
      <c r="I480" s="5">
        <v>34841980384.978371</v>
      </c>
      <c r="J480" s="5">
        <v>34841980384.978371</v>
      </c>
      <c r="K480" s="5">
        <v>5.5860458244976506E-12</v>
      </c>
      <c r="L480" s="5">
        <v>5.5860458244976506E-12</v>
      </c>
      <c r="M480" s="5">
        <v>0</v>
      </c>
      <c r="N480" s="5">
        <v>2.0000000000000001E-4</v>
      </c>
      <c r="O480" s="5">
        <v>101.98075549501009</v>
      </c>
      <c r="P480" s="5">
        <v>101.98075549501009</v>
      </c>
      <c r="Q480" s="5">
        <v>-9.6250019881575219E-10</v>
      </c>
      <c r="R480" s="5">
        <v>0</v>
      </c>
      <c r="S480" s="5">
        <v>1.1495186098636829E-4</v>
      </c>
      <c r="T480" s="5">
        <v>6.2678530093721141E-6</v>
      </c>
      <c r="U480" s="5">
        <v>6.2678530093721141E-6</v>
      </c>
      <c r="V480" s="5">
        <v>0</v>
      </c>
      <c r="W480" s="5">
        <v>0</v>
      </c>
      <c r="X480" s="5">
        <v>1.6176895508585636</v>
      </c>
      <c r="Y480" s="5">
        <v>3498.3496791846883</v>
      </c>
      <c r="Z480" s="5">
        <f t="shared" ref="Z480:AA480" si="251">Z479+0.0002</f>
        <v>6.0000000000000006E-4</v>
      </c>
      <c r="AA480" s="5">
        <f t="shared" si="251"/>
        <v>8.0000000000000004E-4</v>
      </c>
      <c r="AB480" s="4">
        <v>2</v>
      </c>
    </row>
    <row r="481" spans="1:28" x14ac:dyDescent="0.25">
      <c r="C481" s="4">
        <v>11</v>
      </c>
      <c r="D481" s="5">
        <v>117420701615.44186</v>
      </c>
      <c r="E481" s="5">
        <v>117420701615.44186</v>
      </c>
      <c r="F481" s="5">
        <v>0.28439311450420923</v>
      </c>
      <c r="G481" s="5">
        <v>0</v>
      </c>
      <c r="H481" s="5">
        <v>43243093086.034058</v>
      </c>
      <c r="I481" s="5">
        <v>41662154654.301704</v>
      </c>
      <c r="J481" s="5">
        <v>41662154654.301704</v>
      </c>
      <c r="K481" s="5">
        <v>-1.3019618211363796E-11</v>
      </c>
      <c r="L481" s="5">
        <v>-1.3019618211363796E-11</v>
      </c>
      <c r="M481" s="5">
        <v>0</v>
      </c>
      <c r="N481" s="5">
        <v>2.0000000000000001E-4</v>
      </c>
      <c r="O481" s="5">
        <v>88.176809845371281</v>
      </c>
      <c r="P481" s="5">
        <v>88.176809845371281</v>
      </c>
      <c r="Q481" s="5">
        <v>2.4622431837330889E-9</v>
      </c>
      <c r="R481" s="5">
        <v>0</v>
      </c>
      <c r="S481" s="5">
        <v>1.0162789030391723E-4</v>
      </c>
      <c r="T481" s="5">
        <v>8.9295307841338207E-6</v>
      </c>
      <c r="U481" s="5">
        <v>8.9295307841338207E-6</v>
      </c>
      <c r="V481" s="5">
        <v>0</v>
      </c>
      <c r="W481" s="5">
        <v>0</v>
      </c>
      <c r="X481" s="5">
        <v>2.1141529033146798</v>
      </c>
      <c r="Y481" s="5">
        <v>4321.5377880819142</v>
      </c>
      <c r="Z481" s="5">
        <f t="shared" ref="Z481:AA481" si="252">Z480+0.0002</f>
        <v>8.0000000000000004E-4</v>
      </c>
      <c r="AA481" s="5">
        <f t="shared" si="252"/>
        <v>1E-3</v>
      </c>
      <c r="AB481" s="4">
        <v>2</v>
      </c>
    </row>
    <row r="482" spans="1:28" x14ac:dyDescent="0.25">
      <c r="B482" t="s">
        <v>191</v>
      </c>
      <c r="C482" s="11">
        <v>12</v>
      </c>
      <c r="D482" s="5">
        <v>120555802530.84641</v>
      </c>
      <c r="E482" s="5">
        <v>120555802530.84641</v>
      </c>
      <c r="F482" s="5">
        <v>0.30566508856608821</v>
      </c>
      <c r="G482" s="5">
        <v>0</v>
      </c>
      <c r="H482" s="5">
        <v>45292771410.69297</v>
      </c>
      <c r="I482" s="5">
        <v>48347971903.867989</v>
      </c>
      <c r="J482" s="5">
        <v>48347971903.867989</v>
      </c>
      <c r="K482" s="5">
        <v>-4.9503261917789271E-11</v>
      </c>
      <c r="L482" s="5">
        <v>-4.9503261917789271E-11</v>
      </c>
      <c r="M482" s="5">
        <v>0</v>
      </c>
      <c r="N482" s="5">
        <v>2.0000000000000001E-4</v>
      </c>
      <c r="O482" s="5">
        <v>43.371872191183549</v>
      </c>
      <c r="P482" s="5">
        <v>43.371872191183549</v>
      </c>
      <c r="Q482" s="5">
        <v>9.1658701097344144E-9</v>
      </c>
      <c r="R482" s="5">
        <v>0</v>
      </c>
      <c r="S482" s="5">
        <v>5.5386449780988734E-5</v>
      </c>
      <c r="T482" s="5">
        <v>1.2867600246587514E-5</v>
      </c>
      <c r="U482" s="5">
        <v>1.2867600246587514E-5</v>
      </c>
      <c r="V482" s="5">
        <v>0</v>
      </c>
      <c r="W482" s="5">
        <v>0</v>
      </c>
      <c r="X482" s="5">
        <v>2.7673661121540225</v>
      </c>
      <c r="Y482" s="5">
        <v>5256.6900801100164</v>
      </c>
      <c r="Z482" s="5">
        <f t="shared" ref="Z482:AA482" si="253">Z481+0.0002</f>
        <v>1E-3</v>
      </c>
      <c r="AA482" s="5">
        <f t="shared" si="253"/>
        <v>1.2000000000000001E-3</v>
      </c>
      <c r="AB482" s="4">
        <v>2</v>
      </c>
    </row>
    <row r="484" spans="1:28" x14ac:dyDescent="0.25">
      <c r="A484" t="s">
        <v>200</v>
      </c>
    </row>
    <row r="485" spans="1:28" x14ac:dyDescent="0.25">
      <c r="A485" t="s">
        <v>200</v>
      </c>
    </row>
    <row r="486" spans="1:28" x14ac:dyDescent="0.25">
      <c r="A486" t="s">
        <v>200</v>
      </c>
    </row>
    <row r="487" spans="1:28" x14ac:dyDescent="0.25">
      <c r="C487" s="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4"/>
    </row>
    <row r="488" spans="1:28" x14ac:dyDescent="0.25">
      <c r="C488" s="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4"/>
    </row>
    <row r="489" spans="1:28" x14ac:dyDescent="0.25">
      <c r="C489" s="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4"/>
    </row>
    <row r="490" spans="1:28" x14ac:dyDescent="0.25">
      <c r="C490" s="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4"/>
    </row>
    <row r="491" spans="1:28" x14ac:dyDescent="0.25">
      <c r="C491" s="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4"/>
    </row>
    <row r="492" spans="1:28" x14ac:dyDescent="0.25">
      <c r="C492" s="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4"/>
    </row>
    <row r="493" spans="1:28" x14ac:dyDescent="0.25">
      <c r="C493" s="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4"/>
    </row>
    <row r="494" spans="1:28" x14ac:dyDescent="0.25">
      <c r="C494" s="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4"/>
    </row>
    <row r="495" spans="1:28" x14ac:dyDescent="0.25">
      <c r="C495" s="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4"/>
    </row>
    <row r="496" spans="1:28" x14ac:dyDescent="0.25">
      <c r="C496" s="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4"/>
    </row>
    <row r="497" spans="1:28" x14ac:dyDescent="0.25">
      <c r="C497" s="11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4"/>
    </row>
    <row r="502" spans="1:28" x14ac:dyDescent="0.25">
      <c r="A502" s="15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x14ac:dyDescent="0.25">
      <c r="A503" s="12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x14ac:dyDescent="0.25">
      <c r="C504" s="11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4"/>
    </row>
    <row r="505" spans="1:28" x14ac:dyDescent="0.25">
      <c r="C505" s="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4"/>
    </row>
    <row r="506" spans="1:28" x14ac:dyDescent="0.25">
      <c r="C506" s="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4"/>
    </row>
    <row r="507" spans="1:28" x14ac:dyDescent="0.25">
      <c r="C507" s="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4"/>
    </row>
    <row r="508" spans="1:28" x14ac:dyDescent="0.25">
      <c r="C508" s="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4"/>
    </row>
    <row r="509" spans="1:28" x14ac:dyDescent="0.25">
      <c r="C509" s="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4"/>
    </row>
    <row r="510" spans="1:28" x14ac:dyDescent="0.25">
      <c r="C510" s="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4"/>
    </row>
    <row r="511" spans="1:28" x14ac:dyDescent="0.25">
      <c r="C511" s="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4"/>
    </row>
    <row r="512" spans="1:28" x14ac:dyDescent="0.25">
      <c r="C512" s="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4"/>
    </row>
    <row r="513" spans="1:28" x14ac:dyDescent="0.25">
      <c r="C513" s="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4"/>
    </row>
    <row r="514" spans="1:28" x14ac:dyDescent="0.25">
      <c r="C514" s="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4"/>
    </row>
    <row r="515" spans="1:28" x14ac:dyDescent="0.25">
      <c r="C515" s="11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4"/>
    </row>
    <row r="520" spans="1:28" x14ac:dyDescent="0.25">
      <c r="A520" s="15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x14ac:dyDescent="0.25">
      <c r="A521" s="12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x14ac:dyDescent="0.25">
      <c r="C522" s="11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4"/>
    </row>
    <row r="523" spans="1:28" x14ac:dyDescent="0.25">
      <c r="C523" s="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4"/>
    </row>
    <row r="524" spans="1:28" x14ac:dyDescent="0.25">
      <c r="C524" s="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4"/>
    </row>
    <row r="525" spans="1:28" x14ac:dyDescent="0.25">
      <c r="C525" s="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4"/>
    </row>
    <row r="526" spans="1:28" x14ac:dyDescent="0.25">
      <c r="C526" s="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4"/>
    </row>
    <row r="527" spans="1:28" x14ac:dyDescent="0.25">
      <c r="C527" s="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4"/>
    </row>
    <row r="528" spans="1:28" x14ac:dyDescent="0.25">
      <c r="C528" s="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4"/>
    </row>
    <row r="529" spans="1:28" x14ac:dyDescent="0.25">
      <c r="C529" s="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4"/>
    </row>
    <row r="530" spans="1:28" x14ac:dyDescent="0.25">
      <c r="C530" s="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4"/>
    </row>
    <row r="531" spans="1:28" x14ac:dyDescent="0.25">
      <c r="C531" s="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4"/>
    </row>
    <row r="532" spans="1:28" x14ac:dyDescent="0.25">
      <c r="C532" s="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4"/>
    </row>
    <row r="533" spans="1:28" x14ac:dyDescent="0.25">
      <c r="C533" s="11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4"/>
    </row>
    <row r="538" spans="1:28" x14ac:dyDescent="0.25">
      <c r="A538" s="15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x14ac:dyDescent="0.25">
      <c r="A539" s="12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x14ac:dyDescent="0.25">
      <c r="C540" s="11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4"/>
    </row>
    <row r="541" spans="1:28" x14ac:dyDescent="0.25">
      <c r="C541" s="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4"/>
    </row>
    <row r="542" spans="1:28" x14ac:dyDescent="0.25">
      <c r="C542" s="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4"/>
    </row>
    <row r="543" spans="1:28" x14ac:dyDescent="0.25">
      <c r="C543" s="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4"/>
    </row>
    <row r="544" spans="1:28" x14ac:dyDescent="0.25">
      <c r="C544" s="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4"/>
    </row>
    <row r="545" spans="3:28" x14ac:dyDescent="0.25">
      <c r="C545" s="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4"/>
    </row>
    <row r="546" spans="3:28" x14ac:dyDescent="0.25">
      <c r="C546" s="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4"/>
    </row>
    <row r="547" spans="3:28" x14ac:dyDescent="0.25">
      <c r="C547" s="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4"/>
    </row>
    <row r="548" spans="3:28" x14ac:dyDescent="0.25">
      <c r="C548" s="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4"/>
    </row>
    <row r="549" spans="3:28" x14ac:dyDescent="0.25">
      <c r="C549" s="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4"/>
    </row>
    <row r="550" spans="3:28" x14ac:dyDescent="0.25">
      <c r="C550" s="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4"/>
    </row>
    <row r="551" spans="3:28" x14ac:dyDescent="0.25">
      <c r="C551" s="11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95"/>
  <sheetViews>
    <sheetView topLeftCell="A414" zoomScale="90" zoomScaleNormal="90" workbookViewId="0">
      <selection activeCell="C409" sqref="C409:AB420"/>
    </sheetView>
  </sheetViews>
  <sheetFormatPr defaultRowHeight="14" x14ac:dyDescent="0.25"/>
  <cols>
    <col min="1" max="1" width="15.08984375" customWidth="1"/>
    <col min="2" max="2" width="15.36328125" customWidth="1"/>
    <col min="3" max="3" width="10.453125" bestFit="1" customWidth="1"/>
    <col min="4" max="4" width="11.90625" customWidth="1"/>
    <col min="5" max="5" width="13.1796875" customWidth="1"/>
    <col min="6" max="6" width="11.36328125" customWidth="1"/>
    <col min="7" max="7" width="10.54296875" bestFit="1" customWidth="1"/>
    <col min="8" max="8" width="11.54296875" customWidth="1"/>
    <col min="9" max="9" width="11" customWidth="1"/>
    <col min="10" max="10" width="11.36328125" bestFit="1" customWidth="1"/>
    <col min="11" max="11" width="11.6328125" customWidth="1"/>
    <col min="12" max="12" width="11.453125" customWidth="1"/>
    <col min="13" max="13" width="10.26953125" bestFit="1" customWidth="1"/>
    <col min="14" max="14" width="12" customWidth="1"/>
    <col min="15" max="15" width="11.54296875" customWidth="1"/>
    <col min="16" max="16" width="11.26953125" customWidth="1"/>
    <col min="17" max="17" width="11.08984375" customWidth="1"/>
    <col min="18" max="18" width="11.6328125" customWidth="1"/>
    <col min="19" max="19" width="11.36328125" customWidth="1"/>
    <col min="20" max="20" width="12" customWidth="1"/>
    <col min="21" max="21" width="12.08984375" customWidth="1"/>
    <col min="22" max="23" width="10.26953125" bestFit="1" customWidth="1"/>
    <col min="24" max="25" width="11.36328125" bestFit="1" customWidth="1"/>
    <col min="26" max="26" width="14" customWidth="1"/>
    <col min="27" max="27" width="11.6328125" customWidth="1"/>
    <col min="32" max="32" width="12.08984375" customWidth="1"/>
    <col min="33" max="33" width="10.54296875" customWidth="1"/>
    <col min="34" max="35" width="11" customWidth="1"/>
    <col min="36" max="36" width="11.26953125" customWidth="1"/>
    <col min="37" max="37" width="12" customWidth="1"/>
  </cols>
  <sheetData>
    <row r="1" spans="1:54" x14ac:dyDescent="0.25"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38</v>
      </c>
      <c r="I1" s="1" t="s">
        <v>40</v>
      </c>
      <c r="J1" s="1" t="s">
        <v>42</v>
      </c>
      <c r="K1" s="1" t="s">
        <v>41</v>
      </c>
      <c r="L1" t="s">
        <v>8</v>
      </c>
      <c r="M1" t="s">
        <v>9</v>
      </c>
      <c r="N1" t="s">
        <v>10</v>
      </c>
      <c r="O1" t="s">
        <v>263</v>
      </c>
      <c r="P1" t="s">
        <v>264</v>
      </c>
      <c r="AE1" s="2"/>
      <c r="BB1" s="3"/>
    </row>
    <row r="2" spans="1:54" x14ac:dyDescent="0.25">
      <c r="A2" s="1" t="s">
        <v>265</v>
      </c>
      <c r="B2" s="1">
        <v>128444444444.44444</v>
      </c>
      <c r="C2" s="1">
        <v>39444444444.444443</v>
      </c>
      <c r="D2" s="1">
        <v>44500000000</v>
      </c>
      <c r="E2" s="1">
        <v>43000000000</v>
      </c>
      <c r="F2" s="1">
        <v>43000000000</v>
      </c>
      <c r="G2" s="1">
        <v>-13.355555555555556</v>
      </c>
      <c r="H2" s="1">
        <v>0</v>
      </c>
      <c r="I2" s="1">
        <v>1.4735555555555557E-8</v>
      </c>
      <c r="J2" s="1">
        <v>1.0000000000000001E-5</v>
      </c>
      <c r="K2" s="1">
        <v>0</v>
      </c>
      <c r="L2" s="1">
        <v>1.5699999999999999E-5</v>
      </c>
      <c r="M2" s="1">
        <v>4.0024444444444442E-4</v>
      </c>
      <c r="N2" s="1">
        <v>4.0024444444444442E-4</v>
      </c>
      <c r="O2" s="1">
        <v>3.2</v>
      </c>
      <c r="P2" s="1">
        <v>5800</v>
      </c>
      <c r="BB2" s="3"/>
    </row>
    <row r="3" spans="1:54" x14ac:dyDescent="0.25">
      <c r="A3" s="1" t="s">
        <v>266</v>
      </c>
      <c r="B3" s="1">
        <v>178764378478.66418</v>
      </c>
      <c r="C3" s="1">
        <v>65764378478.6642</v>
      </c>
      <c r="D3" s="1">
        <v>56500000000</v>
      </c>
      <c r="E3" s="1">
        <v>45300000000</v>
      </c>
      <c r="F3" s="1">
        <v>45300000000</v>
      </c>
      <c r="G3" s="1">
        <v>0</v>
      </c>
      <c r="H3" s="1">
        <v>138.44155844155841</v>
      </c>
      <c r="I3" s="1">
        <v>9.3000000000000002E-11</v>
      </c>
      <c r="J3" s="1">
        <v>1.5881818181818182E-4</v>
      </c>
      <c r="K3" s="1">
        <v>0</v>
      </c>
      <c r="L3" s="1">
        <v>1.0000000000000001E-5</v>
      </c>
      <c r="M3" s="1">
        <v>4.0024444444444442E-4</v>
      </c>
      <c r="N3" s="1">
        <v>4.0024444444444442E-4</v>
      </c>
      <c r="O3" s="1">
        <v>2.5</v>
      </c>
      <c r="P3" s="1">
        <v>5300</v>
      </c>
      <c r="AL3" s="4"/>
      <c r="BB3" s="3"/>
    </row>
    <row r="4" spans="1:54" x14ac:dyDescent="0.25">
      <c r="A4" s="1"/>
      <c r="B4" s="1"/>
      <c r="C4" s="1"/>
      <c r="AE4">
        <v>1</v>
      </c>
      <c r="AF4" s="5">
        <v>0.3125</v>
      </c>
      <c r="AG4" s="5">
        <v>2.0000000000000001E-4</v>
      </c>
      <c r="AH4" s="6">
        <f>AF4*AG4</f>
        <v>6.2500000000000001E-5</v>
      </c>
      <c r="AI4" s="5">
        <f t="shared" ref="AI4" si="0">AF4*AG4</f>
        <v>6.2500000000000001E-5</v>
      </c>
      <c r="AJ4" s="6">
        <f>SUM(AI4:AI4)</f>
        <v>6.2500000000000001E-5</v>
      </c>
      <c r="AK4" s="7">
        <f>AH4/AJ4</f>
        <v>1</v>
      </c>
      <c r="AL4" s="8">
        <f>1-AM4</f>
        <v>0</v>
      </c>
      <c r="AM4" s="8">
        <f>AH4/AJ4</f>
        <v>1</v>
      </c>
      <c r="AN4" s="9">
        <v>20</v>
      </c>
      <c r="AO4">
        <v>300</v>
      </c>
      <c r="AP4">
        <f>AN4*AL4+AO4*AM4</f>
        <v>300</v>
      </c>
      <c r="BB4" s="3"/>
    </row>
    <row r="6" spans="1:54" x14ac:dyDescent="0.25">
      <c r="A6" s="12" t="s">
        <v>232</v>
      </c>
      <c r="B6" t="s">
        <v>192</v>
      </c>
    </row>
    <row r="7" spans="1:54" x14ac:dyDescent="0.25">
      <c r="A7" s="12" t="s">
        <v>144</v>
      </c>
      <c r="B7" t="s">
        <v>53</v>
      </c>
    </row>
    <row r="10" spans="1:54" x14ac:dyDescent="0.25">
      <c r="B10" s="10" t="s">
        <v>27</v>
      </c>
      <c r="C10" s="10" t="s">
        <v>28</v>
      </c>
      <c r="D10" s="10" t="s">
        <v>29</v>
      </c>
      <c r="E10" s="10" t="s">
        <v>30</v>
      </c>
      <c r="F10" s="10" t="s">
        <v>31</v>
      </c>
      <c r="G10" s="10" t="s">
        <v>47</v>
      </c>
      <c r="H10" s="10" t="s">
        <v>32</v>
      </c>
      <c r="I10" s="10" t="s">
        <v>33</v>
      </c>
      <c r="J10" s="10" t="s">
        <v>34</v>
      </c>
      <c r="K10" s="10" t="s">
        <v>35</v>
      </c>
      <c r="L10" s="10" t="s">
        <v>36</v>
      </c>
      <c r="M10" s="10" t="s">
        <v>37</v>
      </c>
      <c r="N10" s="10" t="s">
        <v>38</v>
      </c>
      <c r="O10" s="10" t="s">
        <v>39</v>
      </c>
      <c r="P10" s="10" t="s">
        <v>40</v>
      </c>
      <c r="Q10" s="10" t="s">
        <v>41</v>
      </c>
      <c r="R10" s="10" t="s">
        <v>42</v>
      </c>
      <c r="S10" s="10" t="s">
        <v>48</v>
      </c>
      <c r="T10" s="10" t="s">
        <v>77</v>
      </c>
      <c r="U10" s="10" t="s">
        <v>78</v>
      </c>
      <c r="V10" s="10" t="s">
        <v>79</v>
      </c>
      <c r="W10" s="10" t="s">
        <v>49</v>
      </c>
      <c r="X10" s="10" t="s">
        <v>43</v>
      </c>
      <c r="Y10" s="10" t="s">
        <v>44</v>
      </c>
      <c r="Z10" s="10" t="s">
        <v>45</v>
      </c>
      <c r="AA10" s="10" t="s">
        <v>46</v>
      </c>
      <c r="BB10" s="3"/>
    </row>
    <row r="11" spans="1:54" x14ac:dyDescent="0.25">
      <c r="A11" t="s">
        <v>249</v>
      </c>
      <c r="B11" s="11">
        <v>1</v>
      </c>
      <c r="C11" s="5"/>
      <c r="D11" s="5"/>
      <c r="E11" s="5"/>
      <c r="F11" s="5">
        <v>0</v>
      </c>
      <c r="G11" s="5"/>
      <c r="H11" s="5"/>
      <c r="I11" s="5"/>
      <c r="J11" s="5"/>
      <c r="K11" s="5"/>
      <c r="L11" s="5">
        <v>0</v>
      </c>
      <c r="M11" s="5">
        <v>2.0000000000000001E-4</v>
      </c>
      <c r="N11" s="5"/>
      <c r="O11" s="5"/>
      <c r="P11" s="5"/>
      <c r="Q11" s="5">
        <v>0</v>
      </c>
      <c r="R11" s="5"/>
      <c r="S11" s="5"/>
      <c r="T11" s="5"/>
      <c r="U11" s="5">
        <v>0</v>
      </c>
      <c r="V11" s="5">
        <v>0</v>
      </c>
      <c r="W11" s="5"/>
      <c r="X11" s="5"/>
      <c r="Y11" s="5">
        <v>-1.1999999999999999E-3</v>
      </c>
      <c r="Z11" s="5">
        <v>-1E-3</v>
      </c>
      <c r="AA11" s="4">
        <v>2</v>
      </c>
    </row>
    <row r="12" spans="1:54" x14ac:dyDescent="0.25">
      <c r="B12" s="4">
        <v>2</v>
      </c>
      <c r="C12" s="5"/>
      <c r="D12" s="5"/>
      <c r="E12" s="5"/>
      <c r="F12" s="5">
        <v>0</v>
      </c>
      <c r="G12" s="5"/>
      <c r="H12" s="5"/>
      <c r="I12" s="5"/>
      <c r="J12" s="5"/>
      <c r="K12" s="5"/>
      <c r="L12" s="5">
        <v>0</v>
      </c>
      <c r="M12" s="5">
        <v>2.0000000000000001E-4</v>
      </c>
      <c r="N12" s="5"/>
      <c r="O12" s="5"/>
      <c r="P12" s="5"/>
      <c r="Q12" s="5">
        <v>0</v>
      </c>
      <c r="R12" s="5"/>
      <c r="S12" s="5"/>
      <c r="T12" s="5"/>
      <c r="U12" s="5">
        <v>0</v>
      </c>
      <c r="V12" s="5">
        <v>0</v>
      </c>
      <c r="W12" s="5"/>
      <c r="X12" s="5"/>
      <c r="Y12" s="5">
        <f t="shared" ref="Y12:Z22" si="1">Y11+0.0002</f>
        <v>-9.999999999999998E-4</v>
      </c>
      <c r="Z12" s="5">
        <f t="shared" si="1"/>
        <v>-8.0000000000000004E-4</v>
      </c>
      <c r="AA12" s="4">
        <v>2</v>
      </c>
    </row>
    <row r="13" spans="1:54" x14ac:dyDescent="0.25">
      <c r="B13" s="4">
        <v>3</v>
      </c>
      <c r="C13" s="5"/>
      <c r="D13" s="5"/>
      <c r="E13" s="5"/>
      <c r="F13" s="5">
        <v>0</v>
      </c>
      <c r="G13" s="5"/>
      <c r="H13" s="5"/>
      <c r="I13" s="5"/>
      <c r="J13" s="5"/>
      <c r="K13" s="5"/>
      <c r="L13" s="5">
        <v>0</v>
      </c>
      <c r="M13" s="5">
        <v>2.0000000000000001E-4</v>
      </c>
      <c r="N13" s="5"/>
      <c r="O13" s="5"/>
      <c r="P13" s="5"/>
      <c r="Q13" s="5">
        <v>0</v>
      </c>
      <c r="R13" s="5"/>
      <c r="S13" s="5"/>
      <c r="T13" s="5"/>
      <c r="U13" s="5">
        <v>0</v>
      </c>
      <c r="V13" s="5">
        <v>0</v>
      </c>
      <c r="W13" s="5"/>
      <c r="X13" s="5"/>
      <c r="Y13" s="5">
        <f t="shared" si="1"/>
        <v>-7.9999999999999982E-4</v>
      </c>
      <c r="Z13" s="5">
        <f t="shared" si="1"/>
        <v>-6.0000000000000006E-4</v>
      </c>
      <c r="AA13" s="4">
        <v>2</v>
      </c>
    </row>
    <row r="14" spans="1:54" x14ac:dyDescent="0.25">
      <c r="B14" s="4">
        <v>4</v>
      </c>
      <c r="C14" s="5"/>
      <c r="D14" s="5"/>
      <c r="E14" s="5"/>
      <c r="F14" s="5">
        <v>0</v>
      </c>
      <c r="G14" s="5"/>
      <c r="H14" s="5"/>
      <c r="I14" s="5"/>
      <c r="J14" s="5"/>
      <c r="K14" s="5"/>
      <c r="L14" s="5">
        <v>0</v>
      </c>
      <c r="M14" s="5">
        <v>2.0000000000000001E-4</v>
      </c>
      <c r="N14" s="5"/>
      <c r="O14" s="5"/>
      <c r="P14" s="5"/>
      <c r="Q14" s="5">
        <v>0</v>
      </c>
      <c r="R14" s="5"/>
      <c r="S14" s="5"/>
      <c r="T14" s="5"/>
      <c r="U14" s="5">
        <v>0</v>
      </c>
      <c r="V14" s="5">
        <v>0</v>
      </c>
      <c r="W14" s="5"/>
      <c r="X14" s="5"/>
      <c r="Y14" s="5">
        <f t="shared" si="1"/>
        <v>-5.9999999999999984E-4</v>
      </c>
      <c r="Z14" s="5">
        <f t="shared" si="1"/>
        <v>-4.0000000000000007E-4</v>
      </c>
      <c r="AA14" s="4">
        <v>2</v>
      </c>
    </row>
    <row r="15" spans="1:54" x14ac:dyDescent="0.25">
      <c r="B15" s="4">
        <v>5</v>
      </c>
      <c r="C15" s="5"/>
      <c r="D15" s="5"/>
      <c r="E15" s="5"/>
      <c r="F15" s="5">
        <v>0</v>
      </c>
      <c r="G15" s="5"/>
      <c r="H15" s="5"/>
      <c r="I15" s="5"/>
      <c r="J15" s="5"/>
      <c r="K15" s="5"/>
      <c r="L15" s="5">
        <v>0</v>
      </c>
      <c r="M15" s="5">
        <v>2.0000000000000001E-4</v>
      </c>
      <c r="N15" s="5"/>
      <c r="O15" s="5"/>
      <c r="P15" s="5"/>
      <c r="Q15" s="5">
        <v>0</v>
      </c>
      <c r="R15" s="5"/>
      <c r="S15" s="5"/>
      <c r="T15" s="5"/>
      <c r="U15" s="5">
        <v>0</v>
      </c>
      <c r="V15" s="5">
        <v>0</v>
      </c>
      <c r="W15" s="5"/>
      <c r="X15" s="5"/>
      <c r="Y15" s="5">
        <f t="shared" si="1"/>
        <v>-3.9999999999999986E-4</v>
      </c>
      <c r="Z15" s="5">
        <f t="shared" si="1"/>
        <v>-2.0000000000000006E-4</v>
      </c>
      <c r="AA15" s="4">
        <v>2</v>
      </c>
    </row>
    <row r="16" spans="1:54" x14ac:dyDescent="0.25">
      <c r="B16" s="4">
        <v>6</v>
      </c>
      <c r="C16" s="5"/>
      <c r="D16" s="5"/>
      <c r="E16" s="5"/>
      <c r="F16" s="5">
        <v>0</v>
      </c>
      <c r="G16" s="5"/>
      <c r="H16" s="5"/>
      <c r="I16" s="5"/>
      <c r="J16" s="5"/>
      <c r="K16" s="5"/>
      <c r="L16" s="5">
        <v>0</v>
      </c>
      <c r="M16" s="5">
        <v>2.0000000000000001E-4</v>
      </c>
      <c r="N16" s="5"/>
      <c r="O16" s="5"/>
      <c r="P16" s="5"/>
      <c r="Q16" s="5">
        <v>0</v>
      </c>
      <c r="R16" s="5"/>
      <c r="S16" s="5"/>
      <c r="T16" s="5"/>
      <c r="U16" s="5">
        <v>0</v>
      </c>
      <c r="V16" s="5">
        <v>0</v>
      </c>
      <c r="W16" s="5"/>
      <c r="X16" s="5"/>
      <c r="Y16" s="5">
        <f t="shared" si="1"/>
        <v>-1.9999999999999985E-4</v>
      </c>
      <c r="Z16" s="5">
        <f t="shared" si="1"/>
        <v>0</v>
      </c>
      <c r="AA16" s="4">
        <v>2</v>
      </c>
    </row>
    <row r="17" spans="1:27" x14ac:dyDescent="0.25">
      <c r="B17" s="4">
        <v>7</v>
      </c>
      <c r="C17" s="5"/>
      <c r="D17" s="5"/>
      <c r="E17" s="5"/>
      <c r="F17" s="5">
        <v>0</v>
      </c>
      <c r="G17" s="5"/>
      <c r="H17" s="5"/>
      <c r="I17" s="5"/>
      <c r="J17" s="5"/>
      <c r="K17" s="5"/>
      <c r="L17" s="5">
        <v>0</v>
      </c>
      <c r="M17" s="5">
        <v>2.0000000000000001E-4</v>
      </c>
      <c r="N17" s="5"/>
      <c r="O17" s="5"/>
      <c r="P17" s="5"/>
      <c r="Q17" s="5">
        <v>0</v>
      </c>
      <c r="R17" s="5"/>
      <c r="S17" s="5"/>
      <c r="T17" s="5"/>
      <c r="U17" s="5">
        <v>0</v>
      </c>
      <c r="V17" s="5">
        <v>0</v>
      </c>
      <c r="W17" s="5"/>
      <c r="X17" s="5"/>
      <c r="Y17" s="5">
        <f t="shared" si="1"/>
        <v>0</v>
      </c>
      <c r="Z17" s="5">
        <f t="shared" si="1"/>
        <v>2.0000000000000001E-4</v>
      </c>
      <c r="AA17" s="4">
        <v>2</v>
      </c>
    </row>
    <row r="18" spans="1:27" x14ac:dyDescent="0.25">
      <c r="B18" s="4">
        <v>8</v>
      </c>
      <c r="C18" s="5"/>
      <c r="D18" s="5"/>
      <c r="E18" s="5"/>
      <c r="F18" s="5">
        <v>0</v>
      </c>
      <c r="G18" s="5"/>
      <c r="H18" s="5"/>
      <c r="I18" s="5"/>
      <c r="J18" s="5"/>
      <c r="K18" s="5"/>
      <c r="L18" s="5">
        <v>0</v>
      </c>
      <c r="M18" s="5">
        <v>2.0000000000000001E-4</v>
      </c>
      <c r="N18" s="5"/>
      <c r="O18" s="5"/>
      <c r="P18" s="5"/>
      <c r="Q18" s="5">
        <v>0</v>
      </c>
      <c r="R18" s="5"/>
      <c r="S18" s="5"/>
      <c r="T18" s="5"/>
      <c r="U18" s="5">
        <v>0</v>
      </c>
      <c r="V18" s="5">
        <v>0</v>
      </c>
      <c r="W18" s="5"/>
      <c r="X18" s="5"/>
      <c r="Y18" s="5">
        <f t="shared" si="1"/>
        <v>2.0000000000000001E-4</v>
      </c>
      <c r="Z18" s="5">
        <f t="shared" si="1"/>
        <v>4.0000000000000002E-4</v>
      </c>
      <c r="AA18" s="4">
        <v>2</v>
      </c>
    </row>
    <row r="19" spans="1:27" x14ac:dyDescent="0.25">
      <c r="B19" s="4">
        <v>9</v>
      </c>
      <c r="C19" s="5"/>
      <c r="D19" s="5"/>
      <c r="E19" s="5"/>
      <c r="F19" s="5">
        <v>0</v>
      </c>
      <c r="G19" s="5"/>
      <c r="H19" s="5"/>
      <c r="I19" s="5"/>
      <c r="J19" s="5"/>
      <c r="K19" s="5"/>
      <c r="L19" s="5">
        <v>0</v>
      </c>
      <c r="M19" s="5">
        <v>2.0000000000000001E-4</v>
      </c>
      <c r="N19" s="5"/>
      <c r="O19" s="5"/>
      <c r="P19" s="5"/>
      <c r="Q19" s="5">
        <v>0</v>
      </c>
      <c r="R19" s="5"/>
      <c r="S19" s="5"/>
      <c r="T19" s="5"/>
      <c r="U19" s="5">
        <v>0</v>
      </c>
      <c r="V19" s="5">
        <v>0</v>
      </c>
      <c r="W19" s="5"/>
      <c r="X19" s="5"/>
      <c r="Y19" s="5">
        <f t="shared" si="1"/>
        <v>4.0000000000000002E-4</v>
      </c>
      <c r="Z19" s="5">
        <f t="shared" si="1"/>
        <v>6.0000000000000006E-4</v>
      </c>
      <c r="AA19" s="4">
        <v>2</v>
      </c>
    </row>
    <row r="20" spans="1:27" x14ac:dyDescent="0.25">
      <c r="B20" s="4">
        <v>10</v>
      </c>
      <c r="C20" s="5"/>
      <c r="D20" s="5"/>
      <c r="E20" s="5"/>
      <c r="F20" s="5">
        <v>0</v>
      </c>
      <c r="G20" s="5"/>
      <c r="H20" s="5"/>
      <c r="I20" s="5"/>
      <c r="J20" s="5"/>
      <c r="K20" s="5"/>
      <c r="L20" s="5">
        <v>0</v>
      </c>
      <c r="M20" s="5">
        <v>2.0000000000000001E-4</v>
      </c>
      <c r="N20" s="5"/>
      <c r="O20" s="5"/>
      <c r="P20" s="5"/>
      <c r="Q20" s="5">
        <v>0</v>
      </c>
      <c r="R20" s="5"/>
      <c r="S20" s="5"/>
      <c r="T20" s="5"/>
      <c r="U20" s="5">
        <v>0</v>
      </c>
      <c r="V20" s="5">
        <v>0</v>
      </c>
      <c r="W20" s="5"/>
      <c r="X20" s="5"/>
      <c r="Y20" s="5">
        <f t="shared" si="1"/>
        <v>6.0000000000000006E-4</v>
      </c>
      <c r="Z20" s="5">
        <f t="shared" si="1"/>
        <v>8.0000000000000004E-4</v>
      </c>
      <c r="AA20" s="4">
        <v>2</v>
      </c>
    </row>
    <row r="21" spans="1:27" x14ac:dyDescent="0.25">
      <c r="B21" s="4">
        <v>11</v>
      </c>
      <c r="C21" s="5"/>
      <c r="D21" s="5"/>
      <c r="E21" s="5"/>
      <c r="F21" s="5">
        <v>0</v>
      </c>
      <c r="G21" s="5"/>
      <c r="H21" s="5"/>
      <c r="I21" s="5"/>
      <c r="J21" s="5"/>
      <c r="K21" s="5"/>
      <c r="L21" s="5">
        <v>0</v>
      </c>
      <c r="M21" s="5">
        <v>2.0000000000000001E-4</v>
      </c>
      <c r="N21" s="5"/>
      <c r="O21" s="5"/>
      <c r="P21" s="5"/>
      <c r="Q21" s="5">
        <v>0</v>
      </c>
      <c r="R21" s="5"/>
      <c r="S21" s="5"/>
      <c r="T21" s="5"/>
      <c r="U21" s="5">
        <v>0</v>
      </c>
      <c r="V21" s="5">
        <v>0</v>
      </c>
      <c r="W21" s="5"/>
      <c r="X21" s="5"/>
      <c r="Y21" s="5">
        <f t="shared" si="1"/>
        <v>8.0000000000000004E-4</v>
      </c>
      <c r="Z21" s="5">
        <f t="shared" si="1"/>
        <v>1E-3</v>
      </c>
      <c r="AA21" s="4">
        <v>2</v>
      </c>
    </row>
    <row r="22" spans="1:27" x14ac:dyDescent="0.25">
      <c r="A22" t="s">
        <v>250</v>
      </c>
      <c r="B22" s="11">
        <v>12</v>
      </c>
      <c r="C22" s="5"/>
      <c r="D22" s="5"/>
      <c r="E22" s="5"/>
      <c r="F22" s="5">
        <v>0</v>
      </c>
      <c r="G22" s="5"/>
      <c r="H22" s="5"/>
      <c r="I22" s="5"/>
      <c r="J22" s="5"/>
      <c r="K22" s="5"/>
      <c r="L22" s="5">
        <v>0</v>
      </c>
      <c r="M22" s="5">
        <v>2.0000000000000001E-4</v>
      </c>
      <c r="N22" s="5"/>
      <c r="O22" s="5"/>
      <c r="P22" s="5"/>
      <c r="Q22" s="5">
        <v>0</v>
      </c>
      <c r="R22" s="5"/>
      <c r="S22" s="5"/>
      <c r="T22" s="5"/>
      <c r="U22" s="5">
        <v>0</v>
      </c>
      <c r="V22" s="5">
        <v>0</v>
      </c>
      <c r="W22" s="5"/>
      <c r="X22" s="5"/>
      <c r="Y22" s="5">
        <f t="shared" si="1"/>
        <v>1E-3</v>
      </c>
      <c r="Z22" s="5">
        <f t="shared" si="1"/>
        <v>1.2000000000000001E-3</v>
      </c>
      <c r="AA22" s="4">
        <v>2</v>
      </c>
    </row>
    <row r="23" spans="1:27" x14ac:dyDescent="0.25">
      <c r="B23" s="11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4"/>
    </row>
    <row r="24" spans="1:27" x14ac:dyDescent="0.25">
      <c r="B24" s="11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4"/>
    </row>
    <row r="25" spans="1:27" x14ac:dyDescent="0.25">
      <c r="B25" s="11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4"/>
    </row>
    <row r="27" spans="1:27" x14ac:dyDescent="0.25">
      <c r="A27" t="s">
        <v>54</v>
      </c>
      <c r="B27" s="2" t="s">
        <v>55</v>
      </c>
      <c r="C27" s="2" t="s">
        <v>56</v>
      </c>
      <c r="D27" s="2" t="s">
        <v>57</v>
      </c>
      <c r="E27" s="2" t="s">
        <v>58</v>
      </c>
      <c r="F27" s="2" t="s">
        <v>59</v>
      </c>
      <c r="G27" s="2" t="s">
        <v>60</v>
      </c>
      <c r="H27" s="2" t="s">
        <v>61</v>
      </c>
      <c r="I27" s="2" t="s">
        <v>62</v>
      </c>
      <c r="J27" s="2" t="s">
        <v>119</v>
      </c>
      <c r="K27" s="16"/>
    </row>
    <row r="28" spans="1:27" x14ac:dyDescent="0.25">
      <c r="A28" t="s">
        <v>183</v>
      </c>
      <c r="B28" s="1">
        <v>154570780662.97195</v>
      </c>
      <c r="C28" s="1">
        <v>116331314878.89275</v>
      </c>
      <c r="D28" s="1">
        <v>2.3999999999999998E-3</v>
      </c>
      <c r="E28">
        <v>-1.1000000000000001E-3</v>
      </c>
      <c r="F28" s="1">
        <v>0.2</v>
      </c>
      <c r="G28">
        <f>(0.5+E28/D28)^F28</f>
        <v>0.52961192052440587</v>
      </c>
      <c r="H28" s="1">
        <v>0.3</v>
      </c>
      <c r="I28" s="1">
        <f>4*ABS(E28)/D28</f>
        <v>1.8333333333333337</v>
      </c>
      <c r="J28" s="1">
        <f>(C28-B28)*G28+B28-(B28+C28)*(H28/2)*I28</f>
        <v>59820627475.225662</v>
      </c>
    </row>
    <row r="29" spans="1:27" x14ac:dyDescent="0.25">
      <c r="B29" s="1">
        <v>154570780662.97195</v>
      </c>
      <c r="C29" s="1">
        <v>116331314878.89275</v>
      </c>
      <c r="D29" s="1">
        <v>2.3999999999999998E-3</v>
      </c>
      <c r="E29">
        <f>-0.001+0.0001</f>
        <v>-8.9999999999999998E-4</v>
      </c>
      <c r="F29" s="1">
        <v>0.2</v>
      </c>
      <c r="G29">
        <f t="shared" ref="G29:G39" si="2">(0.5+E29/D29)^F29</f>
        <v>0.6597539553864471</v>
      </c>
      <c r="H29" s="1">
        <v>0.3</v>
      </c>
      <c r="I29" s="1">
        <f t="shared" ref="I29:I39" si="3">4*ABS(E29)/D29</f>
        <v>1.5</v>
      </c>
      <c r="J29" s="1">
        <f t="shared" ref="J29:J39" si="4">(C29-B29)*G29+B29-(B29+C29)*(H29/2)*I29</f>
        <v>68389170363.141434</v>
      </c>
    </row>
    <row r="30" spans="1:27" x14ac:dyDescent="0.25">
      <c r="B30" s="1">
        <v>154570780662.97195</v>
      </c>
      <c r="C30" s="1">
        <v>116331314878.89275</v>
      </c>
      <c r="D30" s="1">
        <v>2.3999999999999998E-3</v>
      </c>
      <c r="E30">
        <f>E29+0.0002</f>
        <v>-6.9999999999999999E-4</v>
      </c>
      <c r="F30" s="1">
        <v>0.2</v>
      </c>
      <c r="G30">
        <f t="shared" si="2"/>
        <v>0.73072127581096269</v>
      </c>
      <c r="H30" s="1">
        <v>0.3</v>
      </c>
      <c r="I30" s="1">
        <f t="shared" si="3"/>
        <v>1.1666666666666667</v>
      </c>
      <c r="J30" s="1">
        <f t="shared" si="4"/>
        <v>79220522719.073608</v>
      </c>
    </row>
    <row r="31" spans="1:27" x14ac:dyDescent="0.25">
      <c r="B31" s="1">
        <v>154570780662.97195</v>
      </c>
      <c r="C31" s="1">
        <v>116331314878.89275</v>
      </c>
      <c r="D31" s="1">
        <v>2.3999999999999998E-3</v>
      </c>
      <c r="E31">
        <f t="shared" ref="E31:E38" si="5">E30+0.0002</f>
        <v>-5.0000000000000001E-4</v>
      </c>
      <c r="F31" s="1">
        <v>0.2</v>
      </c>
      <c r="G31">
        <f t="shared" si="2"/>
        <v>0.78158705837046538</v>
      </c>
      <c r="H31" s="1">
        <v>0.3</v>
      </c>
      <c r="I31" s="1">
        <f t="shared" si="3"/>
        <v>0.83333333333333337</v>
      </c>
      <c r="J31" s="1">
        <f t="shared" si="4"/>
        <v>90820547144.402344</v>
      </c>
    </row>
    <row r="32" spans="1:27" x14ac:dyDescent="0.25">
      <c r="B32" s="1">
        <v>154570780662.97195</v>
      </c>
      <c r="C32" s="1">
        <v>116331314878.89275</v>
      </c>
      <c r="D32" s="1">
        <v>2.3999999999999998E-3</v>
      </c>
      <c r="E32">
        <f t="shared" si="5"/>
        <v>-3.0000000000000003E-4</v>
      </c>
      <c r="F32" s="1">
        <v>0.2</v>
      </c>
      <c r="G32">
        <f t="shared" si="2"/>
        <v>0.82187591475861288</v>
      </c>
      <c r="H32" s="1">
        <v>0.3</v>
      </c>
      <c r="I32" s="1">
        <f t="shared" si="3"/>
        <v>0.50000000000000011</v>
      </c>
      <c r="J32" s="1">
        <f t="shared" si="4"/>
        <v>102825027576.16132</v>
      </c>
    </row>
    <row r="33" spans="1:10" x14ac:dyDescent="0.25">
      <c r="B33" s="1">
        <v>154570780662.97195</v>
      </c>
      <c r="C33" s="1">
        <v>116331314878.89275</v>
      </c>
      <c r="D33" s="1">
        <v>2.3999999999999998E-3</v>
      </c>
      <c r="E33">
        <f t="shared" si="5"/>
        <v>-1.0000000000000002E-4</v>
      </c>
      <c r="F33" s="1">
        <v>0.2</v>
      </c>
      <c r="G33">
        <f t="shared" si="2"/>
        <v>0.85553205972744928</v>
      </c>
      <c r="H33" s="1">
        <v>0.3</v>
      </c>
      <c r="I33" s="1">
        <f t="shared" si="3"/>
        <v>0.16666666666666671</v>
      </c>
      <c r="J33" s="1">
        <f t="shared" si="4"/>
        <v>115083139349.29472</v>
      </c>
    </row>
    <row r="34" spans="1:10" x14ac:dyDescent="0.25">
      <c r="B34" s="1">
        <v>154570780662.97195</v>
      </c>
      <c r="C34" s="1">
        <v>116331314878.89275</v>
      </c>
      <c r="D34" s="1">
        <v>2.3999999999999998E-3</v>
      </c>
      <c r="E34">
        <f t="shared" si="5"/>
        <v>9.9999999999999991E-5</v>
      </c>
      <c r="F34" s="1">
        <v>0.2</v>
      </c>
      <c r="G34">
        <f t="shared" si="2"/>
        <v>0.88459895526203525</v>
      </c>
      <c r="H34" s="1">
        <v>0.3</v>
      </c>
      <c r="I34" s="1">
        <f t="shared" si="3"/>
        <v>0.16666666666666666</v>
      </c>
      <c r="J34" s="1">
        <f t="shared" si="4"/>
        <v>113971636792.05052</v>
      </c>
    </row>
    <row r="35" spans="1:10" x14ac:dyDescent="0.25">
      <c r="B35" s="1">
        <v>154570780662.97195</v>
      </c>
      <c r="C35" s="1">
        <v>116331314878.89275</v>
      </c>
      <c r="D35" s="1">
        <v>2.3999999999999998E-3</v>
      </c>
      <c r="E35">
        <f t="shared" si="5"/>
        <v>3.0000000000000003E-4</v>
      </c>
      <c r="F35" s="1">
        <v>0.2</v>
      </c>
      <c r="G35">
        <f t="shared" si="2"/>
        <v>0.91028210151304012</v>
      </c>
      <c r="H35" s="1">
        <v>0.3</v>
      </c>
      <c r="I35" s="1">
        <f t="shared" si="3"/>
        <v>0.50000000000000011</v>
      </c>
      <c r="J35" s="1">
        <f t="shared" si="4"/>
        <v>99444422222.66449</v>
      </c>
    </row>
    <row r="36" spans="1:10" x14ac:dyDescent="0.25">
      <c r="B36" s="1">
        <v>154570780662.97195</v>
      </c>
      <c r="C36" s="1">
        <v>116331314878.89275</v>
      </c>
      <c r="D36" s="1">
        <v>2.3999999999999998E-3</v>
      </c>
      <c r="E36">
        <f t="shared" si="5"/>
        <v>5.0000000000000001E-4</v>
      </c>
      <c r="F36" s="1">
        <v>0.2</v>
      </c>
      <c r="G36">
        <f t="shared" si="2"/>
        <v>0.93335645623312335</v>
      </c>
      <c r="H36" s="1">
        <v>0.3</v>
      </c>
      <c r="I36" s="1">
        <f t="shared" si="3"/>
        <v>0.83333333333333337</v>
      </c>
      <c r="J36" s="1">
        <f t="shared" si="4"/>
        <v>85016966447.762909</v>
      </c>
    </row>
    <row r="37" spans="1:10" x14ac:dyDescent="0.25">
      <c r="B37" s="1">
        <v>154570780662.97195</v>
      </c>
      <c r="C37" s="1">
        <v>116331314878.89275</v>
      </c>
      <c r="D37" s="1">
        <v>2.3999999999999998E-3</v>
      </c>
      <c r="E37">
        <f t="shared" si="5"/>
        <v>6.9999999999999999E-4</v>
      </c>
      <c r="F37" s="1">
        <v>0.2</v>
      </c>
      <c r="G37">
        <f t="shared" si="2"/>
        <v>0.95435174481100715</v>
      </c>
      <c r="H37" s="1">
        <v>0.3</v>
      </c>
      <c r="I37" s="1">
        <f t="shared" si="3"/>
        <v>1.1666666666666667</v>
      </c>
      <c r="J37" s="1">
        <f t="shared" si="4"/>
        <v>70669013051.468826</v>
      </c>
    </row>
    <row r="38" spans="1:10" x14ac:dyDescent="0.25">
      <c r="B38" s="1">
        <v>154570780662.97195</v>
      </c>
      <c r="C38" s="1">
        <v>116331314878.89275</v>
      </c>
      <c r="D38" s="1">
        <v>2.3999999999999998E-3</v>
      </c>
      <c r="E38">
        <f t="shared" si="5"/>
        <v>8.9999999999999998E-4</v>
      </c>
      <c r="F38" s="1">
        <v>0.2</v>
      </c>
      <c r="G38">
        <f t="shared" si="2"/>
        <v>0.97364718061516808</v>
      </c>
      <c r="H38" s="1">
        <v>0.3</v>
      </c>
      <c r="I38" s="1">
        <f t="shared" si="3"/>
        <v>1.5</v>
      </c>
      <c r="J38" s="1">
        <f t="shared" si="4"/>
        <v>56386061117.153488</v>
      </c>
    </row>
    <row r="39" spans="1:10" x14ac:dyDescent="0.25">
      <c r="A39" t="s">
        <v>14</v>
      </c>
      <c r="B39" s="14">
        <v>154570780662.97198</v>
      </c>
      <c r="C39" s="14">
        <v>116331314878.89275</v>
      </c>
      <c r="D39" s="1">
        <v>2.3999999999999998E-3</v>
      </c>
      <c r="E39" s="13">
        <v>1.1000000000000001E-3</v>
      </c>
      <c r="F39" s="1">
        <v>0.2</v>
      </c>
      <c r="G39">
        <f t="shared" si="2"/>
        <v>0.99152420096469884</v>
      </c>
      <c r="H39" s="1">
        <v>0.3</v>
      </c>
      <c r="I39" s="1">
        <f t="shared" si="3"/>
        <v>1.8333333333333337</v>
      </c>
      <c r="J39" s="1">
        <f t="shared" si="4"/>
        <v>42157348632.083069</v>
      </c>
    </row>
    <row r="40" spans="1:10" x14ac:dyDescent="0.25">
      <c r="A40" s="1"/>
      <c r="B40" s="1"/>
      <c r="C40" s="1"/>
      <c r="D40" s="1"/>
      <c r="F40" s="1"/>
      <c r="H40" s="1"/>
      <c r="J40" s="1"/>
    </row>
    <row r="41" spans="1:10" x14ac:dyDescent="0.25">
      <c r="A41" t="s">
        <v>64</v>
      </c>
      <c r="B41" s="2" t="s">
        <v>55</v>
      </c>
      <c r="C41" s="2" t="s">
        <v>56</v>
      </c>
      <c r="D41" s="2" t="s">
        <v>57</v>
      </c>
      <c r="E41" s="2" t="s">
        <v>58</v>
      </c>
      <c r="F41" s="2" t="s">
        <v>59</v>
      </c>
      <c r="G41" s="2" t="s">
        <v>60</v>
      </c>
      <c r="H41" s="2" t="s">
        <v>61</v>
      </c>
      <c r="I41" s="2" t="s">
        <v>62</v>
      </c>
      <c r="J41" s="2" t="s">
        <v>119</v>
      </c>
    </row>
    <row r="42" spans="1:10" x14ac:dyDescent="0.25">
      <c r="B42" s="1">
        <v>0.36788301471656604</v>
      </c>
      <c r="C42" s="1">
        <v>0.30709342560553632</v>
      </c>
      <c r="D42" s="1">
        <v>2.3999999999999998E-3</v>
      </c>
      <c r="E42">
        <v>-1.1000000000000001E-3</v>
      </c>
      <c r="F42" s="1">
        <v>0.2</v>
      </c>
      <c r="G42">
        <f>(0.5+E42/D42)^F42</f>
        <v>0.52961192052440587</v>
      </c>
      <c r="H42" s="1">
        <v>0.3</v>
      </c>
      <c r="I42" s="1">
        <f>4*ABS(E42)/D42</f>
        <v>1.8333333333333337</v>
      </c>
      <c r="J42" s="1">
        <f>(C42-B42)*G42+B42-(B42+C42)*(H42/2)*I42</f>
        <v>0.15006960259100588</v>
      </c>
    </row>
    <row r="43" spans="1:10" x14ac:dyDescent="0.25">
      <c r="B43" s="1">
        <v>0.36788301471656604</v>
      </c>
      <c r="C43" s="1">
        <v>0.30709342560553632</v>
      </c>
      <c r="D43" s="1">
        <v>2.3999999999999998E-3</v>
      </c>
      <c r="E43">
        <v>-8.9999999999999998E-4</v>
      </c>
      <c r="F43" s="1">
        <v>0.2</v>
      </c>
      <c r="G43">
        <f t="shared" ref="G43:G53" si="6">(0.5+E43/D43)^F43</f>
        <v>0.6597539553864471</v>
      </c>
      <c r="H43" s="1">
        <v>0.3</v>
      </c>
      <c r="I43" s="1">
        <f t="shared" ref="I43:I53" si="7">4*ABS(E43)/D43</f>
        <v>1.5</v>
      </c>
      <c r="J43" s="1">
        <f t="shared" ref="J43:J53" si="8">(C43-B43)*G43+B43-(B43+C43)*(H43/2)*I43</f>
        <v>0.17590714378177427</v>
      </c>
    </row>
    <row r="44" spans="1:10" x14ac:dyDescent="0.25">
      <c r="A44" s="13"/>
      <c r="B44" s="1">
        <v>0.36788301471656604</v>
      </c>
      <c r="C44" s="1">
        <v>0.30709342560553632</v>
      </c>
      <c r="D44" s="1">
        <v>2.3999999999999998E-3</v>
      </c>
      <c r="E44">
        <v>-6.9999999999999999E-4</v>
      </c>
      <c r="F44" s="1">
        <v>0.2</v>
      </c>
      <c r="G44">
        <f t="shared" si="6"/>
        <v>0.73072127581096269</v>
      </c>
      <c r="H44" s="1">
        <v>0.3</v>
      </c>
      <c r="I44" s="1">
        <f t="shared" si="7"/>
        <v>1.1666666666666667</v>
      </c>
      <c r="J44" s="1">
        <f t="shared" si="8"/>
        <v>0.20534189154896226</v>
      </c>
    </row>
    <row r="45" spans="1:10" x14ac:dyDescent="0.25">
      <c r="B45" s="1">
        <v>0.36788301471656604</v>
      </c>
      <c r="C45" s="1">
        <v>0.30709342560553632</v>
      </c>
      <c r="D45" s="1">
        <v>2.3999999999999998E-3</v>
      </c>
      <c r="E45">
        <v>-5.0000000000000001E-4</v>
      </c>
      <c r="F45" s="1">
        <v>0.2</v>
      </c>
      <c r="G45">
        <f t="shared" si="6"/>
        <v>0.78158705837046538</v>
      </c>
      <c r="H45" s="1">
        <v>0.3</v>
      </c>
      <c r="I45" s="1">
        <f t="shared" si="7"/>
        <v>0.83333333333333337</v>
      </c>
      <c r="J45" s="1">
        <f t="shared" si="8"/>
        <v>0.23599860354346425</v>
      </c>
    </row>
    <row r="46" spans="1:10" x14ac:dyDescent="0.25">
      <c r="B46" s="1">
        <v>0.36788301471656604</v>
      </c>
      <c r="C46" s="1">
        <v>0.30709342560553632</v>
      </c>
      <c r="D46" s="1">
        <v>2.3999999999999998E-3</v>
      </c>
      <c r="E46">
        <v>-3.0000000000000003E-4</v>
      </c>
      <c r="F46" s="1">
        <v>0.2</v>
      </c>
      <c r="G46">
        <f t="shared" si="6"/>
        <v>0.82187591475861288</v>
      </c>
      <c r="H46" s="1">
        <v>0.3</v>
      </c>
      <c r="I46" s="1">
        <f t="shared" si="7"/>
        <v>0.50000000000000011</v>
      </c>
      <c r="J46" s="1">
        <f t="shared" si="8"/>
        <v>0.26729828253398064</v>
      </c>
    </row>
    <row r="47" spans="1:10" x14ac:dyDescent="0.25">
      <c r="B47" s="1">
        <v>0.36788301471656604</v>
      </c>
      <c r="C47" s="1">
        <v>0.30709342560553632</v>
      </c>
      <c r="D47" s="1">
        <v>2.3999999999999998E-3</v>
      </c>
      <c r="E47">
        <v>-1.0000000000000002E-4</v>
      </c>
      <c r="F47" s="1">
        <v>0.2</v>
      </c>
      <c r="G47">
        <f t="shared" si="6"/>
        <v>0.85553205972744928</v>
      </c>
      <c r="H47" s="1">
        <v>0.3</v>
      </c>
      <c r="I47" s="1">
        <f t="shared" si="7"/>
        <v>0.16666666666666671</v>
      </c>
      <c r="J47" s="1">
        <f t="shared" si="8"/>
        <v>0.29900116132636895</v>
      </c>
    </row>
    <row r="48" spans="1:10" x14ac:dyDescent="0.25">
      <c r="B48" s="1">
        <v>0.36788301471656604</v>
      </c>
      <c r="C48" s="1">
        <v>0.30709342560553632</v>
      </c>
      <c r="D48" s="1">
        <v>2.3999999999999998E-3</v>
      </c>
      <c r="E48">
        <v>9.9999999999999991E-5</v>
      </c>
      <c r="F48" s="1">
        <v>0.2</v>
      </c>
      <c r="G48">
        <f t="shared" si="6"/>
        <v>0.88459895526203525</v>
      </c>
      <c r="H48" s="1">
        <v>0.3</v>
      </c>
      <c r="I48" s="1">
        <f t="shared" si="7"/>
        <v>0.16666666666666666</v>
      </c>
      <c r="J48" s="1">
        <f t="shared" si="8"/>
        <v>0.29723419669008821</v>
      </c>
    </row>
    <row r="49" spans="1:10" x14ac:dyDescent="0.25">
      <c r="B49" s="1">
        <v>0.36788301471656604</v>
      </c>
      <c r="C49" s="1">
        <v>0.30709342560553632</v>
      </c>
      <c r="D49" s="1">
        <v>2.3999999999999998E-3</v>
      </c>
      <c r="E49">
        <v>3.0000000000000003E-4</v>
      </c>
      <c r="F49" s="1">
        <v>0.2</v>
      </c>
      <c r="G49">
        <f t="shared" si="6"/>
        <v>0.91028210151304012</v>
      </c>
      <c r="H49" s="1">
        <v>0.3</v>
      </c>
      <c r="I49" s="1">
        <f t="shared" si="7"/>
        <v>0.50000000000000011</v>
      </c>
      <c r="J49" s="1">
        <f t="shared" si="8"/>
        <v>0.26192410676630601</v>
      </c>
    </row>
    <row r="50" spans="1:10" x14ac:dyDescent="0.25">
      <c r="B50" s="1">
        <v>0.36788301471656604</v>
      </c>
      <c r="C50" s="1">
        <v>0.30709342560553632</v>
      </c>
      <c r="D50" s="1">
        <v>2.3999999999999998E-3</v>
      </c>
      <c r="E50">
        <v>5.0000000000000001E-4</v>
      </c>
      <c r="F50" s="1">
        <v>0.2</v>
      </c>
      <c r="G50">
        <f t="shared" si="6"/>
        <v>0.93335645623312335</v>
      </c>
      <c r="H50" s="1">
        <v>0.3</v>
      </c>
      <c r="I50" s="1">
        <f t="shared" si="7"/>
        <v>0.83333333333333337</v>
      </c>
      <c r="J50" s="1">
        <f t="shared" si="8"/>
        <v>0.22677260420776491</v>
      </c>
    </row>
    <row r="51" spans="1:10" x14ac:dyDescent="0.25">
      <c r="B51" s="1">
        <v>0.36788301471656604</v>
      </c>
      <c r="C51" s="1">
        <v>0.30709342560553632</v>
      </c>
      <c r="D51" s="1">
        <v>2.3999999999999998E-3</v>
      </c>
      <c r="E51">
        <v>6.9999999999999999E-4</v>
      </c>
      <c r="F51" s="1">
        <v>0.2</v>
      </c>
      <c r="G51">
        <f t="shared" si="6"/>
        <v>0.95435174481100715</v>
      </c>
      <c r="H51" s="1">
        <v>0.3</v>
      </c>
      <c r="I51" s="1">
        <f t="shared" si="7"/>
        <v>1.1666666666666667</v>
      </c>
      <c r="J51" s="1">
        <f t="shared" si="8"/>
        <v>0.1917474872257427</v>
      </c>
    </row>
    <row r="52" spans="1:10" x14ac:dyDescent="0.25">
      <c r="B52" s="1">
        <v>0.36788301471656604</v>
      </c>
      <c r="C52" s="1">
        <v>0.30709342560553632</v>
      </c>
      <c r="D52" s="1">
        <v>2.3999999999999998E-3</v>
      </c>
      <c r="E52">
        <v>8.9999999999999998E-4</v>
      </c>
      <c r="F52" s="1">
        <v>0.2</v>
      </c>
      <c r="G52">
        <f t="shared" si="6"/>
        <v>0.97364718061516808</v>
      </c>
      <c r="H52" s="1">
        <v>0.3</v>
      </c>
      <c r="I52" s="1">
        <f t="shared" si="7"/>
        <v>1.5</v>
      </c>
      <c r="J52" s="1">
        <f t="shared" si="8"/>
        <v>0.15682570359538442</v>
      </c>
    </row>
    <row r="53" spans="1:10" x14ac:dyDescent="0.25">
      <c r="B53" s="1">
        <v>0.36788301471656604</v>
      </c>
      <c r="C53" s="1">
        <v>0.30709342560553632</v>
      </c>
      <c r="D53" s="1">
        <v>2.3999999999999998E-3</v>
      </c>
      <c r="E53" s="13">
        <v>1.1000000000000001E-3</v>
      </c>
      <c r="F53" s="1">
        <v>0.2</v>
      </c>
      <c r="G53">
        <f t="shared" si="6"/>
        <v>0.99152420096469884</v>
      </c>
      <c r="H53" s="1">
        <v>0.3</v>
      </c>
      <c r="I53" s="1">
        <f t="shared" si="7"/>
        <v>1.8333333333333337</v>
      </c>
      <c r="J53" s="1">
        <f t="shared" si="8"/>
        <v>0.12199014485770177</v>
      </c>
    </row>
    <row r="54" spans="1:10" x14ac:dyDescent="0.25">
      <c r="B54" s="1"/>
      <c r="C54" s="1"/>
      <c r="D54" s="1"/>
      <c r="E54" s="13"/>
      <c r="F54" s="1"/>
      <c r="H54" s="14"/>
      <c r="I54" s="1"/>
      <c r="J54" s="1"/>
    </row>
    <row r="56" spans="1:10" x14ac:dyDescent="0.25">
      <c r="A56" t="s">
        <v>47</v>
      </c>
      <c r="B56" s="2" t="s">
        <v>55</v>
      </c>
      <c r="C56" s="2" t="s">
        <v>56</v>
      </c>
      <c r="D56" s="2" t="s">
        <v>57</v>
      </c>
      <c r="E56" s="2" t="s">
        <v>58</v>
      </c>
      <c r="F56" s="2" t="s">
        <v>59</v>
      </c>
      <c r="G56" s="2" t="s">
        <v>60</v>
      </c>
      <c r="H56" s="2" t="s">
        <v>61</v>
      </c>
      <c r="I56" s="2" t="s">
        <v>62</v>
      </c>
      <c r="J56" s="2" t="s">
        <v>119</v>
      </c>
    </row>
    <row r="57" spans="1:10" x14ac:dyDescent="0.25">
      <c r="B57" s="1">
        <v>56500000000</v>
      </c>
      <c r="C57" s="1">
        <v>44500000000</v>
      </c>
      <c r="D57" s="1">
        <v>2.3999999999999998E-3</v>
      </c>
      <c r="E57">
        <v>-1.1000000000000001E-3</v>
      </c>
      <c r="F57" s="1">
        <v>0.2</v>
      </c>
      <c r="G57">
        <f>(0.5+E57/D57)^F57</f>
        <v>0.52961192052440587</v>
      </c>
      <c r="H57" s="1">
        <v>0.3</v>
      </c>
      <c r="I57" s="1">
        <f>4*ABS(E57)/D57</f>
        <v>1.8333333333333337</v>
      </c>
      <c r="J57" s="1">
        <f>(C57-B57)*G57+B57-(B57+C57)*(H57/2)*I57</f>
        <v>22369656953.707127</v>
      </c>
    </row>
    <row r="58" spans="1:10" x14ac:dyDescent="0.25">
      <c r="B58" s="1">
        <v>56500000000</v>
      </c>
      <c r="C58" s="1">
        <v>44500000000</v>
      </c>
      <c r="D58" s="1">
        <v>2.3999999999999998E-3</v>
      </c>
      <c r="E58">
        <f>-0.001+0.0001</f>
        <v>-8.9999999999999998E-4</v>
      </c>
      <c r="F58" s="1">
        <v>0.2</v>
      </c>
      <c r="G58">
        <f t="shared" ref="G58:G68" si="9">(0.5+E58/D58)^F58</f>
        <v>0.6597539553864471</v>
      </c>
      <c r="H58" s="1">
        <v>0.3</v>
      </c>
      <c r="I58" s="1">
        <f t="shared" ref="I58:I68" si="10">4*ABS(E58)/D58</f>
        <v>1.5</v>
      </c>
      <c r="J58" s="1">
        <f t="shared" ref="J58:J68" si="11">(C58-B58)*G58+B58-(B58+C58)*(H58/2)*I58</f>
        <v>25857952535.362633</v>
      </c>
    </row>
    <row r="59" spans="1:10" x14ac:dyDescent="0.25">
      <c r="A59" s="13"/>
      <c r="B59" s="1">
        <v>56500000000</v>
      </c>
      <c r="C59" s="1">
        <v>44500000000</v>
      </c>
      <c r="D59" s="1">
        <v>2.3999999999999998E-3</v>
      </c>
      <c r="E59">
        <f>E58+0.0002</f>
        <v>-6.9999999999999999E-4</v>
      </c>
      <c r="F59" s="1">
        <v>0.2</v>
      </c>
      <c r="G59">
        <f t="shared" si="9"/>
        <v>0.73072127581096269</v>
      </c>
      <c r="H59" s="1">
        <v>0.3</v>
      </c>
      <c r="I59" s="1">
        <f t="shared" si="10"/>
        <v>1.1666666666666667</v>
      </c>
      <c r="J59" s="1">
        <f t="shared" si="11"/>
        <v>30056344690.268448</v>
      </c>
    </row>
    <row r="60" spans="1:10" x14ac:dyDescent="0.25">
      <c r="B60" s="1">
        <v>56500000000</v>
      </c>
      <c r="C60" s="1">
        <v>44500000000</v>
      </c>
      <c r="D60" s="1">
        <v>2.3999999999999998E-3</v>
      </c>
      <c r="E60">
        <f t="shared" ref="E60:E67" si="12">E59+0.0002</f>
        <v>-5.0000000000000001E-4</v>
      </c>
      <c r="F60" s="1">
        <v>0.2</v>
      </c>
      <c r="G60">
        <f t="shared" si="9"/>
        <v>0.78158705837046538</v>
      </c>
      <c r="H60" s="1">
        <v>0.3</v>
      </c>
      <c r="I60" s="1">
        <f t="shared" si="10"/>
        <v>0.83333333333333337</v>
      </c>
      <c r="J60" s="1">
        <f t="shared" si="11"/>
        <v>34495955299.554413</v>
      </c>
    </row>
    <row r="61" spans="1:10" x14ac:dyDescent="0.25">
      <c r="B61" s="1">
        <v>56500000000</v>
      </c>
      <c r="C61" s="1">
        <v>44500000000</v>
      </c>
      <c r="D61" s="1">
        <v>2.3999999999999998E-3</v>
      </c>
      <c r="E61">
        <f t="shared" si="12"/>
        <v>-3.0000000000000003E-4</v>
      </c>
      <c r="F61" s="1">
        <v>0.2</v>
      </c>
      <c r="G61">
        <f t="shared" si="9"/>
        <v>0.82187591475861288</v>
      </c>
      <c r="H61" s="1">
        <v>0.3</v>
      </c>
      <c r="I61" s="1">
        <f t="shared" si="10"/>
        <v>0.50000000000000011</v>
      </c>
      <c r="J61" s="1">
        <f t="shared" si="11"/>
        <v>39062489022.896645</v>
      </c>
    </row>
    <row r="62" spans="1:10" x14ac:dyDescent="0.25">
      <c r="B62" s="1">
        <v>56500000000</v>
      </c>
      <c r="C62" s="1">
        <v>44500000000</v>
      </c>
      <c r="D62" s="1">
        <v>2.3999999999999998E-3</v>
      </c>
      <c r="E62">
        <f t="shared" si="12"/>
        <v>-1.0000000000000002E-4</v>
      </c>
      <c r="F62" s="1">
        <v>0.2</v>
      </c>
      <c r="G62">
        <f t="shared" si="9"/>
        <v>0.85553205972744928</v>
      </c>
      <c r="H62" s="1">
        <v>0.3</v>
      </c>
      <c r="I62" s="1">
        <f t="shared" si="10"/>
        <v>0.16666666666666671</v>
      </c>
      <c r="J62" s="1">
        <f t="shared" si="11"/>
        <v>43708615283.270607</v>
      </c>
    </row>
    <row r="63" spans="1:10" x14ac:dyDescent="0.25">
      <c r="B63" s="1">
        <v>56500000000</v>
      </c>
      <c r="C63" s="1">
        <v>44500000000</v>
      </c>
      <c r="D63" s="1">
        <v>2.3999999999999998E-3</v>
      </c>
      <c r="E63">
        <f t="shared" si="12"/>
        <v>9.9999999999999991E-5</v>
      </c>
      <c r="F63" s="1">
        <v>0.2</v>
      </c>
      <c r="G63">
        <f t="shared" si="9"/>
        <v>0.88459895526203525</v>
      </c>
      <c r="H63" s="1">
        <v>0.3</v>
      </c>
      <c r="I63" s="1">
        <f t="shared" si="10"/>
        <v>0.16666666666666666</v>
      </c>
      <c r="J63" s="1">
        <f t="shared" si="11"/>
        <v>43359812536.855576</v>
      </c>
    </row>
    <row r="64" spans="1:10" x14ac:dyDescent="0.25">
      <c r="B64" s="1">
        <v>56500000000</v>
      </c>
      <c r="C64" s="1">
        <v>44500000000</v>
      </c>
      <c r="D64" s="1">
        <v>2.3999999999999998E-3</v>
      </c>
      <c r="E64">
        <f t="shared" si="12"/>
        <v>3.0000000000000003E-4</v>
      </c>
      <c r="F64" s="1">
        <v>0.2</v>
      </c>
      <c r="G64">
        <f t="shared" si="9"/>
        <v>0.91028210151304012</v>
      </c>
      <c r="H64" s="1">
        <v>0.3</v>
      </c>
      <c r="I64" s="1">
        <f t="shared" si="10"/>
        <v>0.50000000000000011</v>
      </c>
      <c r="J64" s="1">
        <f t="shared" si="11"/>
        <v>38001614781.843521</v>
      </c>
    </row>
    <row r="65" spans="1:10" x14ac:dyDescent="0.25">
      <c r="B65" s="1">
        <v>56500000000</v>
      </c>
      <c r="C65" s="1">
        <v>44500000000</v>
      </c>
      <c r="D65" s="1">
        <v>2.3999999999999998E-3</v>
      </c>
      <c r="E65">
        <f t="shared" si="12"/>
        <v>5.0000000000000001E-4</v>
      </c>
      <c r="F65" s="1">
        <v>0.2</v>
      </c>
      <c r="G65">
        <f t="shared" si="9"/>
        <v>0.93335645623312335</v>
      </c>
      <c r="H65" s="1">
        <v>0.3</v>
      </c>
      <c r="I65" s="1">
        <f t="shared" si="10"/>
        <v>0.83333333333333337</v>
      </c>
      <c r="J65" s="1">
        <f t="shared" si="11"/>
        <v>32674722525.202522</v>
      </c>
    </row>
    <row r="66" spans="1:10" x14ac:dyDescent="0.25">
      <c r="B66" s="1">
        <v>56500000000</v>
      </c>
      <c r="C66" s="1">
        <v>44500000000</v>
      </c>
      <c r="D66" s="1">
        <v>2.3999999999999998E-3</v>
      </c>
      <c r="E66">
        <f t="shared" si="12"/>
        <v>6.9999999999999999E-4</v>
      </c>
      <c r="F66" s="1">
        <v>0.2</v>
      </c>
      <c r="G66">
        <f t="shared" si="9"/>
        <v>0.95435174481100715</v>
      </c>
      <c r="H66" s="1">
        <v>0.3</v>
      </c>
      <c r="I66" s="1">
        <f t="shared" si="10"/>
        <v>1.1666666666666667</v>
      </c>
      <c r="J66" s="1">
        <f t="shared" si="11"/>
        <v>27372779062.267914</v>
      </c>
    </row>
    <row r="67" spans="1:10" x14ac:dyDescent="0.25">
      <c r="B67" s="1">
        <v>56500000000</v>
      </c>
      <c r="C67" s="1">
        <v>44500000000</v>
      </c>
      <c r="D67" s="1">
        <v>2.3999999999999998E-3</v>
      </c>
      <c r="E67">
        <f t="shared" si="12"/>
        <v>8.9999999999999998E-4</v>
      </c>
      <c r="F67" s="1">
        <v>0.2</v>
      </c>
      <c r="G67">
        <f t="shared" si="9"/>
        <v>0.97364718061516808</v>
      </c>
      <c r="H67" s="1">
        <v>0.3</v>
      </c>
      <c r="I67" s="1">
        <f t="shared" si="10"/>
        <v>1.5</v>
      </c>
      <c r="J67" s="1">
        <f t="shared" si="11"/>
        <v>22091233832.617981</v>
      </c>
    </row>
    <row r="68" spans="1:10" x14ac:dyDescent="0.25">
      <c r="B68" s="1">
        <v>56500000000</v>
      </c>
      <c r="C68" s="1">
        <v>44500000000</v>
      </c>
      <c r="D68" s="1">
        <v>2.3999999999999998E-3</v>
      </c>
      <c r="E68" s="13">
        <v>1.1000000000000001E-3</v>
      </c>
      <c r="F68" s="1">
        <v>0.2</v>
      </c>
      <c r="G68">
        <f t="shared" si="9"/>
        <v>0.99152420096469884</v>
      </c>
      <c r="H68" s="1">
        <v>0.3</v>
      </c>
      <c r="I68" s="1">
        <f t="shared" si="10"/>
        <v>1.8333333333333337</v>
      </c>
      <c r="J68" s="1">
        <f t="shared" si="11"/>
        <v>16826709588.423611</v>
      </c>
    </row>
    <row r="69" spans="1:10" x14ac:dyDescent="0.25">
      <c r="B69" s="1"/>
      <c r="D69" s="1"/>
      <c r="F69" s="1"/>
      <c r="H69" s="1"/>
    </row>
    <row r="70" spans="1:10" x14ac:dyDescent="0.25">
      <c r="B70" s="1"/>
      <c r="D70" s="1"/>
      <c r="F70" s="1"/>
      <c r="H70" s="1"/>
    </row>
    <row r="72" spans="1:10" x14ac:dyDescent="0.25">
      <c r="A72" s="10" t="s">
        <v>32</v>
      </c>
      <c r="B72" s="2" t="s">
        <v>55</v>
      </c>
      <c r="C72" s="2" t="s">
        <v>56</v>
      </c>
      <c r="D72" s="2" t="s">
        <v>57</v>
      </c>
      <c r="E72" s="2" t="s">
        <v>58</v>
      </c>
      <c r="F72" s="2" t="s">
        <v>59</v>
      </c>
      <c r="G72" s="2" t="s">
        <v>60</v>
      </c>
      <c r="H72" s="2" t="s">
        <v>61</v>
      </c>
      <c r="I72" s="2" t="s">
        <v>62</v>
      </c>
      <c r="J72" s="2" t="s">
        <v>119</v>
      </c>
    </row>
    <row r="73" spans="1:10" x14ac:dyDescent="0.25">
      <c r="B73" s="1">
        <v>52200000000</v>
      </c>
      <c r="C73" s="1">
        <v>51600000000</v>
      </c>
      <c r="D73" s="1">
        <v>2.3999999999999998E-3</v>
      </c>
      <c r="E73">
        <v>-1.1000000000000001E-3</v>
      </c>
      <c r="F73" s="1">
        <v>0.2</v>
      </c>
      <c r="G73">
        <f>(0.5+E73/D73)^F73</f>
        <v>0.52961192052440587</v>
      </c>
      <c r="H73" s="1">
        <v>0.3</v>
      </c>
      <c r="I73" s="1">
        <f>4*ABS(E73)/D73</f>
        <v>1.8333333333333337</v>
      </c>
      <c r="J73" s="1">
        <f>(C73-B73)*G73+B73-(B73+C73)*(H73/2)*I73</f>
        <v>23337232847.685349</v>
      </c>
    </row>
    <row r="74" spans="1:10" x14ac:dyDescent="0.25">
      <c r="B74" s="1">
        <v>52200000000</v>
      </c>
      <c r="C74" s="1">
        <v>51600000000</v>
      </c>
      <c r="D74" s="1">
        <v>2.3999999999999998E-3</v>
      </c>
      <c r="E74">
        <f>-0.001+0.0001</f>
        <v>-8.9999999999999998E-4</v>
      </c>
      <c r="F74" s="1">
        <v>0.2</v>
      </c>
      <c r="G74">
        <f t="shared" ref="G74:G84" si="13">(0.5+E74/D74)^F74</f>
        <v>0.6597539553864471</v>
      </c>
      <c r="H74" s="1">
        <v>0.3</v>
      </c>
      <c r="I74" s="1">
        <f t="shared" ref="I74:I84" si="14">4*ABS(E74)/D74</f>
        <v>1.5</v>
      </c>
      <c r="J74" s="1">
        <f t="shared" ref="J74:J84" si="15">(C74-B74)*G74+B74-(B74+C74)*(H74/2)*I74</f>
        <v>28449147626.768135</v>
      </c>
    </row>
    <row r="75" spans="1:10" x14ac:dyDescent="0.25">
      <c r="B75" s="1">
        <v>52200000000</v>
      </c>
      <c r="C75" s="1">
        <v>51600000000</v>
      </c>
      <c r="D75" s="1">
        <v>2.3999999999999998E-3</v>
      </c>
      <c r="E75">
        <f>E74+0.0002</f>
        <v>-6.9999999999999999E-4</v>
      </c>
      <c r="F75" s="1">
        <v>0.2</v>
      </c>
      <c r="G75">
        <f t="shared" si="13"/>
        <v>0.73072127581096269</v>
      </c>
      <c r="H75" s="1">
        <v>0.3</v>
      </c>
      <c r="I75" s="1">
        <f t="shared" si="14"/>
        <v>1.1666666666666667</v>
      </c>
      <c r="J75" s="1">
        <f t="shared" si="15"/>
        <v>33596567234.51342</v>
      </c>
    </row>
    <row r="76" spans="1:10" x14ac:dyDescent="0.25">
      <c r="B76" s="1">
        <v>52200000000</v>
      </c>
      <c r="C76" s="1">
        <v>51600000000</v>
      </c>
      <c r="D76" s="1">
        <v>2.3999999999999998E-3</v>
      </c>
      <c r="E76">
        <f t="shared" ref="E76:E83" si="16">E75+0.0002</f>
        <v>-5.0000000000000001E-4</v>
      </c>
      <c r="F76" s="1">
        <v>0.2</v>
      </c>
      <c r="G76">
        <f t="shared" si="13"/>
        <v>0.78158705837046538</v>
      </c>
      <c r="H76" s="1">
        <v>0.3</v>
      </c>
      <c r="I76" s="1">
        <f t="shared" si="14"/>
        <v>0.83333333333333337</v>
      </c>
      <c r="J76" s="1">
        <f t="shared" si="15"/>
        <v>38756047764.977722</v>
      </c>
    </row>
    <row r="77" spans="1:10" x14ac:dyDescent="0.25">
      <c r="B77" s="1">
        <v>52200000000</v>
      </c>
      <c r="C77" s="1">
        <v>51600000000</v>
      </c>
      <c r="D77" s="1">
        <v>2.3999999999999998E-3</v>
      </c>
      <c r="E77">
        <f t="shared" si="16"/>
        <v>-3.0000000000000003E-4</v>
      </c>
      <c r="F77" s="1">
        <v>0.2</v>
      </c>
      <c r="G77">
        <f t="shared" si="13"/>
        <v>0.82187591475861288</v>
      </c>
      <c r="H77" s="1">
        <v>0.3</v>
      </c>
      <c r="I77" s="1">
        <f t="shared" si="14"/>
        <v>0.50000000000000011</v>
      </c>
      <c r="J77" s="1">
        <f t="shared" si="15"/>
        <v>43921874451.144829</v>
      </c>
    </row>
    <row r="78" spans="1:10" x14ac:dyDescent="0.25">
      <c r="B78" s="1">
        <v>52200000000</v>
      </c>
      <c r="C78" s="1">
        <v>51600000000</v>
      </c>
      <c r="D78" s="1">
        <v>2.3999999999999998E-3</v>
      </c>
      <c r="E78">
        <f t="shared" si="16"/>
        <v>-1.0000000000000002E-4</v>
      </c>
      <c r="F78" s="1">
        <v>0.2</v>
      </c>
      <c r="G78">
        <f t="shared" si="13"/>
        <v>0.85553205972744928</v>
      </c>
      <c r="H78" s="1">
        <v>0.3</v>
      </c>
      <c r="I78" s="1">
        <f t="shared" si="14"/>
        <v>0.16666666666666671</v>
      </c>
      <c r="J78" s="1">
        <f t="shared" si="15"/>
        <v>49091680764.163528</v>
      </c>
    </row>
    <row r="79" spans="1:10" x14ac:dyDescent="0.25">
      <c r="B79" s="1">
        <v>52200000000</v>
      </c>
      <c r="C79" s="1">
        <v>51600000000</v>
      </c>
      <c r="D79" s="1">
        <v>2.3999999999999998E-3</v>
      </c>
      <c r="E79">
        <f t="shared" si="16"/>
        <v>9.9999999999999991E-5</v>
      </c>
      <c r="F79" s="1">
        <v>0.2</v>
      </c>
      <c r="G79">
        <f t="shared" si="13"/>
        <v>0.88459895526203525</v>
      </c>
      <c r="H79" s="1">
        <v>0.3</v>
      </c>
      <c r="I79" s="1">
        <f t="shared" si="14"/>
        <v>0.16666666666666666</v>
      </c>
      <c r="J79" s="1">
        <f t="shared" si="15"/>
        <v>49074240626.842781</v>
      </c>
    </row>
    <row r="80" spans="1:10" x14ac:dyDescent="0.25">
      <c r="B80" s="1">
        <v>52200000000</v>
      </c>
      <c r="C80" s="1">
        <v>51600000000</v>
      </c>
      <c r="D80" s="1">
        <v>2.3999999999999998E-3</v>
      </c>
      <c r="E80">
        <f t="shared" si="16"/>
        <v>3.0000000000000003E-4</v>
      </c>
      <c r="F80" s="1">
        <v>0.2</v>
      </c>
      <c r="G80">
        <f t="shared" si="13"/>
        <v>0.91028210151304012</v>
      </c>
      <c r="H80" s="1">
        <v>0.3</v>
      </c>
      <c r="I80" s="1">
        <f t="shared" si="14"/>
        <v>0.50000000000000011</v>
      </c>
      <c r="J80" s="1">
        <f t="shared" si="15"/>
        <v>43868830739.092178</v>
      </c>
    </row>
    <row r="81" spans="1:10" x14ac:dyDescent="0.25">
      <c r="B81" s="1">
        <v>52200000000</v>
      </c>
      <c r="C81" s="1">
        <v>51600000000</v>
      </c>
      <c r="D81" s="1">
        <v>2.3999999999999998E-3</v>
      </c>
      <c r="E81">
        <f t="shared" si="16"/>
        <v>5.0000000000000001E-4</v>
      </c>
      <c r="F81" s="1">
        <v>0.2</v>
      </c>
      <c r="G81">
        <f t="shared" si="13"/>
        <v>0.93335645623312335</v>
      </c>
      <c r="H81" s="1">
        <v>0.3</v>
      </c>
      <c r="I81" s="1">
        <f t="shared" si="14"/>
        <v>0.83333333333333337</v>
      </c>
      <c r="J81" s="1">
        <f t="shared" si="15"/>
        <v>38664986126.260124</v>
      </c>
    </row>
    <row r="82" spans="1:10" x14ac:dyDescent="0.25">
      <c r="B82" s="1">
        <v>52200000000</v>
      </c>
      <c r="C82" s="1">
        <v>51600000000</v>
      </c>
      <c r="D82" s="1">
        <v>2.3999999999999998E-3</v>
      </c>
      <c r="E82">
        <f t="shared" si="16"/>
        <v>6.9999999999999999E-4</v>
      </c>
      <c r="F82" s="1">
        <v>0.2</v>
      </c>
      <c r="G82">
        <f t="shared" si="13"/>
        <v>0.95435174481100715</v>
      </c>
      <c r="H82" s="1">
        <v>0.3</v>
      </c>
      <c r="I82" s="1">
        <f t="shared" si="14"/>
        <v>1.1666666666666667</v>
      </c>
      <c r="J82" s="1">
        <f t="shared" si="15"/>
        <v>33462388953.113396</v>
      </c>
    </row>
    <row r="83" spans="1:10" x14ac:dyDescent="0.25">
      <c r="B83" s="1">
        <v>52200000000</v>
      </c>
      <c r="C83" s="1">
        <v>51600000000</v>
      </c>
      <c r="D83" s="1">
        <v>2.3999999999999998E-3</v>
      </c>
      <c r="E83">
        <f t="shared" si="16"/>
        <v>8.9999999999999998E-4</v>
      </c>
      <c r="F83" s="1">
        <v>0.2</v>
      </c>
      <c r="G83">
        <f t="shared" si="13"/>
        <v>0.97364718061516808</v>
      </c>
      <c r="H83" s="1">
        <v>0.3</v>
      </c>
      <c r="I83" s="1">
        <f t="shared" si="14"/>
        <v>1.5</v>
      </c>
      <c r="J83" s="1">
        <f t="shared" si="15"/>
        <v>28260811691.630898</v>
      </c>
    </row>
    <row r="84" spans="1:10" x14ac:dyDescent="0.25">
      <c r="B84" s="1">
        <v>52200000000</v>
      </c>
      <c r="C84" s="1">
        <v>51600000000</v>
      </c>
      <c r="D84" s="1">
        <v>2.3999999999999998E-3</v>
      </c>
      <c r="E84" s="13">
        <v>1.1000000000000001E-3</v>
      </c>
      <c r="F84" s="1">
        <v>0.2</v>
      </c>
      <c r="G84">
        <f t="shared" si="13"/>
        <v>0.99152420096469884</v>
      </c>
      <c r="H84" s="1">
        <v>0.3</v>
      </c>
      <c r="I84" s="1">
        <f t="shared" si="14"/>
        <v>1.8333333333333337</v>
      </c>
      <c r="J84" s="1">
        <f t="shared" si="15"/>
        <v>23060085479.421173</v>
      </c>
    </row>
    <row r="86" spans="1:10" x14ac:dyDescent="0.25">
      <c r="A86" s="10" t="s">
        <v>65</v>
      </c>
      <c r="B86" s="2" t="s">
        <v>55</v>
      </c>
      <c r="C86" s="2" t="s">
        <v>56</v>
      </c>
      <c r="D86" s="2" t="s">
        <v>57</v>
      </c>
      <c r="E86" s="2" t="s">
        <v>58</v>
      </c>
      <c r="F86" s="2" t="s">
        <v>59</v>
      </c>
      <c r="G86" s="2" t="s">
        <v>60</v>
      </c>
      <c r="H86" s="2" t="s">
        <v>61</v>
      </c>
      <c r="I86" s="2" t="s">
        <v>62</v>
      </c>
      <c r="J86" s="2" t="s">
        <v>119</v>
      </c>
    </row>
    <row r="87" spans="1:10" x14ac:dyDescent="0.25">
      <c r="B87">
        <v>0</v>
      </c>
      <c r="C87" s="1">
        <v>-7.9837940896091497E-11</v>
      </c>
      <c r="D87" s="1">
        <v>2.3999999999999998E-3</v>
      </c>
      <c r="E87">
        <v>-1.1000000000000001E-3</v>
      </c>
      <c r="F87" s="1">
        <v>0.2</v>
      </c>
      <c r="G87">
        <f>(0.5+E87/D87)^F87</f>
        <v>0.52961192052440587</v>
      </c>
      <c r="H87" s="1">
        <v>0.3</v>
      </c>
      <c r="I87" s="1">
        <f>4*ABS(E87)/D87</f>
        <v>1.8333333333333337</v>
      </c>
      <c r="J87" s="1">
        <f>(C87-B87)*G87+B87-(B87+C87)*(H87/2)*I87</f>
        <v>-2.032769146226786E-11</v>
      </c>
    </row>
    <row r="88" spans="1:10" x14ac:dyDescent="0.25">
      <c r="B88">
        <v>0</v>
      </c>
      <c r="C88" s="1">
        <v>-7.9837940896091497E-11</v>
      </c>
      <c r="D88" s="1">
        <v>2.3999999999999998E-3</v>
      </c>
      <c r="E88">
        <f>-0.001+0.0001</f>
        <v>-8.9999999999999998E-4</v>
      </c>
      <c r="F88" s="1">
        <v>0.2</v>
      </c>
      <c r="G88">
        <f t="shared" ref="G88:G98" si="17">(0.5+E88/D88)^F88</f>
        <v>0.6597539553864471</v>
      </c>
      <c r="H88" s="1">
        <v>0.3</v>
      </c>
      <c r="I88" s="1">
        <f t="shared" ref="I88:I98" si="18">4*ABS(E88)/D88</f>
        <v>1.5</v>
      </c>
      <c r="J88" s="1">
        <f t="shared" ref="J88:J98" si="19">(C88-B88)*G88+B88-(B88+C88)*(H88/2)*I88</f>
        <v>-3.470986059448516E-11</v>
      </c>
    </row>
    <row r="89" spans="1:10" x14ac:dyDescent="0.25">
      <c r="B89">
        <v>0</v>
      </c>
      <c r="C89" s="1">
        <v>-7.9837940896091497E-11</v>
      </c>
      <c r="D89" s="1">
        <v>2.3999999999999998E-3</v>
      </c>
      <c r="E89">
        <f>E88+0.0002</f>
        <v>-6.9999999999999999E-4</v>
      </c>
      <c r="F89" s="1">
        <v>0.2</v>
      </c>
      <c r="G89">
        <f t="shared" si="17"/>
        <v>0.73072127581096269</v>
      </c>
      <c r="H89" s="1">
        <v>0.3</v>
      </c>
      <c r="I89" s="1">
        <f t="shared" si="18"/>
        <v>1.1666666666666667</v>
      </c>
      <c r="J89" s="1">
        <f t="shared" si="19"/>
        <v>-4.43676423728962E-11</v>
      </c>
    </row>
    <row r="90" spans="1:10" x14ac:dyDescent="0.25">
      <c r="B90">
        <v>0</v>
      </c>
      <c r="C90" s="1">
        <v>-7.9837940896091497E-11</v>
      </c>
      <c r="D90" s="1">
        <v>2.3999999999999998E-3</v>
      </c>
      <c r="E90">
        <f t="shared" ref="E90:E97" si="20">E89+0.0002</f>
        <v>-5.0000000000000001E-4</v>
      </c>
      <c r="F90" s="1">
        <v>0.2</v>
      </c>
      <c r="G90">
        <f t="shared" si="17"/>
        <v>0.78158705837046538</v>
      </c>
      <c r="H90" s="1">
        <v>0.3</v>
      </c>
      <c r="I90" s="1">
        <f t="shared" si="18"/>
        <v>0.83333333333333337</v>
      </c>
      <c r="J90" s="1">
        <f t="shared" si="19"/>
        <v>-5.2420558759319785E-11</v>
      </c>
    </row>
    <row r="91" spans="1:10" x14ac:dyDescent="0.25">
      <c r="B91">
        <v>0</v>
      </c>
      <c r="C91" s="1">
        <v>-7.9837940896091497E-11</v>
      </c>
      <c r="D91" s="1">
        <v>2.3999999999999998E-3</v>
      </c>
      <c r="E91">
        <f t="shared" si="20"/>
        <v>-3.0000000000000003E-4</v>
      </c>
      <c r="F91" s="1">
        <v>0.2</v>
      </c>
      <c r="G91">
        <f t="shared" si="17"/>
        <v>0.82187591475861288</v>
      </c>
      <c r="H91" s="1">
        <v>0.3</v>
      </c>
      <c r="I91" s="1">
        <f t="shared" si="18"/>
        <v>0.50000000000000011</v>
      </c>
      <c r="J91" s="1">
        <f t="shared" si="19"/>
        <v>-5.9629035139212413E-11</v>
      </c>
    </row>
    <row r="92" spans="1:10" x14ac:dyDescent="0.25">
      <c r="B92">
        <v>0</v>
      </c>
      <c r="C92" s="1">
        <v>-7.9837940896091497E-11</v>
      </c>
      <c r="D92" s="1">
        <v>2.3999999999999998E-3</v>
      </c>
      <c r="E92">
        <f t="shared" si="20"/>
        <v>-1.0000000000000002E-4</v>
      </c>
      <c r="F92" s="1">
        <v>0.2</v>
      </c>
      <c r="G92">
        <f t="shared" si="17"/>
        <v>0.85553205972744928</v>
      </c>
      <c r="H92" s="1">
        <v>0.3</v>
      </c>
      <c r="I92" s="1">
        <f t="shared" si="18"/>
        <v>0.16666666666666671</v>
      </c>
      <c r="J92" s="1">
        <f t="shared" si="19"/>
        <v>-6.6307969496829232E-11</v>
      </c>
    </row>
    <row r="93" spans="1:10" x14ac:dyDescent="0.25">
      <c r="B93">
        <v>0</v>
      </c>
      <c r="C93" s="1">
        <v>-7.9837940896091497E-11</v>
      </c>
      <c r="D93" s="1">
        <v>2.3999999999999998E-3</v>
      </c>
      <c r="E93">
        <f t="shared" si="20"/>
        <v>9.9999999999999991E-5</v>
      </c>
      <c r="F93" s="1">
        <v>0.2</v>
      </c>
      <c r="G93">
        <f t="shared" si="17"/>
        <v>0.88459895526203525</v>
      </c>
      <c r="H93" s="1">
        <v>0.3</v>
      </c>
      <c r="I93" s="1">
        <f t="shared" si="18"/>
        <v>0.16666666666666666</v>
      </c>
      <c r="J93" s="1">
        <f t="shared" si="19"/>
        <v>-6.8628610584552369E-11</v>
      </c>
    </row>
    <row r="94" spans="1:10" x14ac:dyDescent="0.25">
      <c r="B94">
        <v>0</v>
      </c>
      <c r="C94" s="1">
        <v>-7.9837940896091497E-11</v>
      </c>
      <c r="D94" s="1">
        <v>2.3999999999999998E-3</v>
      </c>
      <c r="E94">
        <f t="shared" si="20"/>
        <v>3.0000000000000003E-4</v>
      </c>
      <c r="F94" s="1">
        <v>0.2</v>
      </c>
      <c r="G94">
        <f t="shared" si="17"/>
        <v>0.91028210151304012</v>
      </c>
      <c r="H94" s="1">
        <v>0.3</v>
      </c>
      <c r="I94" s="1">
        <f t="shared" si="18"/>
        <v>0.50000000000000011</v>
      </c>
      <c r="J94" s="1">
        <f t="shared" si="19"/>
        <v>-6.6687203052161194E-11</v>
      </c>
    </row>
    <row r="95" spans="1:10" x14ac:dyDescent="0.25">
      <c r="B95">
        <v>0</v>
      </c>
      <c r="C95" s="1">
        <v>-7.9837940896091497E-11</v>
      </c>
      <c r="D95" s="1">
        <v>2.3999999999999998E-3</v>
      </c>
      <c r="E95">
        <f t="shared" si="20"/>
        <v>5.0000000000000001E-4</v>
      </c>
      <c r="F95" s="1">
        <v>0.2</v>
      </c>
      <c r="G95">
        <f t="shared" si="17"/>
        <v>0.93335645623312335</v>
      </c>
      <c r="H95" s="1">
        <v>0.3</v>
      </c>
      <c r="I95" s="1">
        <f t="shared" si="18"/>
        <v>0.83333333333333337</v>
      </c>
      <c r="J95" s="1">
        <f t="shared" si="19"/>
        <v>-6.4537514975714078E-11</v>
      </c>
    </row>
    <row r="96" spans="1:10" x14ac:dyDescent="0.25">
      <c r="B96">
        <v>0</v>
      </c>
      <c r="C96" s="1">
        <v>-7.9837940896091497E-11</v>
      </c>
      <c r="D96" s="1">
        <v>2.3999999999999998E-3</v>
      </c>
      <c r="E96">
        <f t="shared" si="20"/>
        <v>6.9999999999999999E-4</v>
      </c>
      <c r="F96" s="1">
        <v>0.2</v>
      </c>
      <c r="G96">
        <f t="shared" si="17"/>
        <v>0.95435174481100715</v>
      </c>
      <c r="H96" s="1">
        <v>0.3</v>
      </c>
      <c r="I96" s="1">
        <f t="shared" si="18"/>
        <v>1.1666666666666667</v>
      </c>
      <c r="J96" s="1">
        <f t="shared" si="19"/>
        <v>-6.222183853948697E-11</v>
      </c>
    </row>
    <row r="97" spans="1:10" x14ac:dyDescent="0.25">
      <c r="B97">
        <v>0</v>
      </c>
      <c r="C97" s="1">
        <v>-7.9837940896091497E-11</v>
      </c>
      <c r="D97" s="1">
        <v>2.3999999999999998E-3</v>
      </c>
      <c r="E97">
        <f t="shared" si="20"/>
        <v>8.9999999999999998E-4</v>
      </c>
      <c r="F97" s="1">
        <v>0.2</v>
      </c>
      <c r="G97">
        <f t="shared" si="17"/>
        <v>0.97364718061516808</v>
      </c>
      <c r="H97" s="1">
        <v>0.3</v>
      </c>
      <c r="I97" s="1">
        <f t="shared" si="18"/>
        <v>1.5</v>
      </c>
      <c r="J97" s="1">
        <f t="shared" si="19"/>
        <v>-5.9770449357979327E-11</v>
      </c>
    </row>
    <row r="98" spans="1:10" x14ac:dyDescent="0.25">
      <c r="B98">
        <v>0</v>
      </c>
      <c r="C98" s="1">
        <v>-7.9837940896091497E-11</v>
      </c>
      <c r="D98" s="1">
        <v>2.3999999999999998E-3</v>
      </c>
      <c r="E98" s="13">
        <v>1.1000000000000001E-3</v>
      </c>
      <c r="F98" s="1">
        <v>0.2</v>
      </c>
      <c r="G98">
        <f t="shared" si="17"/>
        <v>0.99152420096469884</v>
      </c>
      <c r="H98" s="1">
        <v>0.3</v>
      </c>
      <c r="I98" s="1">
        <f t="shared" si="18"/>
        <v>1.8333333333333337</v>
      </c>
      <c r="J98" s="1">
        <f t="shared" si="19"/>
        <v>-5.7205816807238804E-11</v>
      </c>
    </row>
    <row r="100" spans="1:10" x14ac:dyDescent="0.25">
      <c r="A100" s="10" t="s">
        <v>38</v>
      </c>
      <c r="B100" s="2" t="s">
        <v>55</v>
      </c>
      <c r="C100" s="2" t="s">
        <v>56</v>
      </c>
      <c r="D100" s="2" t="s">
        <v>57</v>
      </c>
      <c r="E100" s="2" t="s">
        <v>58</v>
      </c>
      <c r="F100" s="2" t="s">
        <v>59</v>
      </c>
      <c r="G100" s="2" t="s">
        <v>60</v>
      </c>
      <c r="H100" s="2" t="s">
        <v>61</v>
      </c>
      <c r="I100" s="2" t="s">
        <v>62</v>
      </c>
      <c r="J100" s="2" t="s">
        <v>119</v>
      </c>
    </row>
    <row r="101" spans="1:10" x14ac:dyDescent="0.25">
      <c r="B101" s="1">
        <v>138.44155844155841</v>
      </c>
      <c r="C101" s="1">
        <v>0</v>
      </c>
      <c r="D101" s="1">
        <v>2.3999999999999998E-3</v>
      </c>
      <c r="E101">
        <v>-1.1000000000000001E-3</v>
      </c>
      <c r="F101" s="1">
        <v>0.2</v>
      </c>
      <c r="G101">
        <f>(0.5+E101/D101)^F101</f>
        <v>0.52961192052440587</v>
      </c>
      <c r="H101" s="1">
        <v>0.3</v>
      </c>
      <c r="I101" s="1">
        <f>4*ABS(E101)/D101</f>
        <v>1.8333333333333337</v>
      </c>
      <c r="J101" s="1">
        <f>(C101-B101)*G101+B101-(B101+C101)*(H101/2)*I101</f>
        <v>27.049830223504316</v>
      </c>
    </row>
    <row r="102" spans="1:10" x14ac:dyDescent="0.25">
      <c r="B102" s="1">
        <v>138.44155844155841</v>
      </c>
      <c r="C102" s="1">
        <v>0</v>
      </c>
      <c r="D102" s="1">
        <v>2.3999999999999998E-3</v>
      </c>
      <c r="E102">
        <f>-0.001+0.0001</f>
        <v>-8.9999999999999998E-4</v>
      </c>
      <c r="F102" s="1">
        <v>0.2</v>
      </c>
      <c r="G102">
        <f t="shared" ref="G102:G112" si="21">(0.5+E102/D102)^F102</f>
        <v>0.6597539553864471</v>
      </c>
      <c r="H102" s="1">
        <v>0.3</v>
      </c>
      <c r="I102" s="1">
        <f t="shared" ref="I102:I112" si="22">4*ABS(E102)/D102</f>
        <v>1.5</v>
      </c>
      <c r="J102" s="1">
        <f t="shared" ref="J102:J112" si="23">(C102-B102)*G102+B102-(B102+C102)*(H102/2)*I102</f>
        <v>15.954842020525628</v>
      </c>
    </row>
    <row r="103" spans="1:10" x14ac:dyDescent="0.25">
      <c r="B103" s="1">
        <v>138.44155844155841</v>
      </c>
      <c r="C103" s="1">
        <v>0</v>
      </c>
      <c r="D103" s="1">
        <v>2.3999999999999998E-3</v>
      </c>
      <c r="E103">
        <f>E102+0.0002</f>
        <v>-6.9999999999999999E-4</v>
      </c>
      <c r="F103" s="1">
        <v>0.2</v>
      </c>
      <c r="G103">
        <f t="shared" si="21"/>
        <v>0.73072127581096269</v>
      </c>
      <c r="H103" s="1">
        <v>0.3</v>
      </c>
      <c r="I103" s="1">
        <f t="shared" si="22"/>
        <v>1.1666666666666667</v>
      </c>
      <c r="J103" s="1">
        <f t="shared" si="23"/>
        <v>13.05209350461217</v>
      </c>
    </row>
    <row r="104" spans="1:10" x14ac:dyDescent="0.25">
      <c r="B104" s="1">
        <v>138.44155844155841</v>
      </c>
      <c r="C104" s="1">
        <v>0</v>
      </c>
      <c r="D104" s="1">
        <v>2.3999999999999998E-3</v>
      </c>
      <c r="E104">
        <f t="shared" ref="E104:E111" si="24">E103+0.0002</f>
        <v>-5.0000000000000001E-4</v>
      </c>
      <c r="F104" s="1">
        <v>0.2</v>
      </c>
      <c r="G104">
        <f t="shared" si="21"/>
        <v>0.78158705837046538</v>
      </c>
      <c r="H104" s="1">
        <v>0.3</v>
      </c>
      <c r="I104" s="1">
        <f t="shared" si="22"/>
        <v>0.83333333333333337</v>
      </c>
      <c r="J104" s="1">
        <f t="shared" si="23"/>
        <v>12.932233217803102</v>
      </c>
    </row>
    <row r="105" spans="1:10" x14ac:dyDescent="0.25">
      <c r="B105" s="1">
        <v>138.44155844155841</v>
      </c>
      <c r="C105" s="1">
        <v>0</v>
      </c>
      <c r="D105" s="1">
        <v>2.3999999999999998E-3</v>
      </c>
      <c r="E105">
        <f t="shared" si="24"/>
        <v>-3.0000000000000003E-4</v>
      </c>
      <c r="F105" s="1">
        <v>0.2</v>
      </c>
      <c r="G105">
        <f t="shared" si="21"/>
        <v>0.82187591475861288</v>
      </c>
      <c r="H105" s="1">
        <v>0.3</v>
      </c>
      <c r="I105" s="1">
        <f t="shared" si="22"/>
        <v>0.50000000000000011</v>
      </c>
      <c r="J105" s="1">
        <f t="shared" si="23"/>
        <v>14.276659073677751</v>
      </c>
    </row>
    <row r="106" spans="1:10" x14ac:dyDescent="0.25">
      <c r="B106" s="1">
        <v>138.44155844155841</v>
      </c>
      <c r="C106" s="1">
        <v>0</v>
      </c>
      <c r="D106" s="1">
        <v>2.3999999999999998E-3</v>
      </c>
      <c r="E106">
        <f t="shared" si="24"/>
        <v>-1.0000000000000002E-4</v>
      </c>
      <c r="F106" s="1">
        <v>0.2</v>
      </c>
      <c r="G106">
        <f t="shared" si="21"/>
        <v>0.85553205972744928</v>
      </c>
      <c r="H106" s="1">
        <v>0.3</v>
      </c>
      <c r="I106" s="1">
        <f t="shared" si="22"/>
        <v>0.16666666666666671</v>
      </c>
      <c r="J106" s="1">
        <f t="shared" si="23"/>
        <v>16.539327835134944</v>
      </c>
    </row>
    <row r="107" spans="1:10" x14ac:dyDescent="0.25">
      <c r="B107" s="1">
        <v>138.44155844155841</v>
      </c>
      <c r="C107" s="1">
        <v>0</v>
      </c>
      <c r="D107" s="1">
        <v>2.3999999999999998E-3</v>
      </c>
      <c r="E107">
        <f t="shared" si="24"/>
        <v>9.9999999999999991E-5</v>
      </c>
      <c r="F107" s="1">
        <v>0.2</v>
      </c>
      <c r="G107">
        <f t="shared" si="21"/>
        <v>0.88459895526203525</v>
      </c>
      <c r="H107" s="1">
        <v>0.3</v>
      </c>
      <c r="I107" s="1">
        <f t="shared" si="22"/>
        <v>0.16666666666666666</v>
      </c>
      <c r="J107" s="1">
        <f t="shared" si="23"/>
        <v>12.515261518268879</v>
      </c>
    </row>
    <row r="108" spans="1:10" x14ac:dyDescent="0.25">
      <c r="B108" s="1">
        <v>138.44155844155841</v>
      </c>
      <c r="C108" s="1">
        <v>0</v>
      </c>
      <c r="D108" s="1">
        <v>2.3999999999999998E-3</v>
      </c>
      <c r="E108">
        <f t="shared" si="24"/>
        <v>3.0000000000000003E-4</v>
      </c>
      <c r="F108" s="1">
        <v>0.2</v>
      </c>
      <c r="G108">
        <f t="shared" si="21"/>
        <v>0.91028210151304012</v>
      </c>
      <c r="H108" s="1">
        <v>0.3</v>
      </c>
      <c r="I108" s="1">
        <f t="shared" si="22"/>
        <v>0.50000000000000011</v>
      </c>
      <c r="J108" s="1">
        <f t="shared" si="23"/>
        <v>2.0375688035193793</v>
      </c>
    </row>
    <row r="109" spans="1:10" x14ac:dyDescent="0.25">
      <c r="B109" s="1">
        <v>138.44155844155841</v>
      </c>
      <c r="C109" s="1">
        <v>0</v>
      </c>
      <c r="D109" s="1">
        <v>2.3999999999999998E-3</v>
      </c>
      <c r="E109">
        <f t="shared" si="24"/>
        <v>5.0000000000000001E-4</v>
      </c>
      <c r="F109" s="1">
        <v>0.2</v>
      </c>
      <c r="G109">
        <f t="shared" si="21"/>
        <v>0.93335645623312335</v>
      </c>
      <c r="H109" s="1">
        <v>0.3</v>
      </c>
      <c r="I109" s="1">
        <f t="shared" si="22"/>
        <v>0.83333333333333337</v>
      </c>
      <c r="J109" s="1">
        <f t="shared" si="23"/>
        <v>-8.0789587460401862</v>
      </c>
    </row>
    <row r="110" spans="1:10" x14ac:dyDescent="0.25">
      <c r="B110" s="1">
        <v>138.44155844155841</v>
      </c>
      <c r="C110" s="1">
        <v>0</v>
      </c>
      <c r="D110" s="1">
        <v>2.3999999999999998E-3</v>
      </c>
      <c r="E110">
        <f t="shared" si="24"/>
        <v>6.9999999999999999E-4</v>
      </c>
      <c r="F110" s="1">
        <v>0.2</v>
      </c>
      <c r="G110">
        <f t="shared" si="21"/>
        <v>0.95435174481100715</v>
      </c>
      <c r="H110" s="1">
        <v>0.3</v>
      </c>
      <c r="I110" s="1">
        <f t="shared" si="22"/>
        <v>1.1666666666666667</v>
      </c>
      <c r="J110" s="1">
        <f t="shared" si="23"/>
        <v>-17.907657138770592</v>
      </c>
    </row>
    <row r="111" spans="1:10" x14ac:dyDescent="0.25">
      <c r="B111" s="1">
        <v>138.44155844155841</v>
      </c>
      <c r="C111" s="1">
        <v>0</v>
      </c>
      <c r="D111" s="1">
        <v>2.3999999999999998E-3</v>
      </c>
      <c r="E111">
        <f t="shared" si="24"/>
        <v>8.9999999999999998E-4</v>
      </c>
      <c r="F111" s="1">
        <v>0.2</v>
      </c>
      <c r="G111">
        <f t="shared" si="21"/>
        <v>0.97364718061516808</v>
      </c>
      <c r="H111" s="1">
        <v>0.3</v>
      </c>
      <c r="I111" s="1">
        <f t="shared" si="22"/>
        <v>1.5</v>
      </c>
      <c r="J111" s="1">
        <f t="shared" si="23"/>
        <v>-27.501025264385607</v>
      </c>
    </row>
    <row r="112" spans="1:10" x14ac:dyDescent="0.25">
      <c r="B112" s="1">
        <v>138.44155844155841</v>
      </c>
      <c r="C112" s="1">
        <v>0</v>
      </c>
      <c r="D112" s="1">
        <v>2.3999999999999998E-3</v>
      </c>
      <c r="E112" s="13">
        <v>1.1000000000000001E-3</v>
      </c>
      <c r="F112" s="1">
        <v>0.2</v>
      </c>
      <c r="G112">
        <f t="shared" si="21"/>
        <v>0.99152420096469884</v>
      </c>
      <c r="H112" s="1">
        <v>0.3</v>
      </c>
      <c r="I112" s="1">
        <f t="shared" si="22"/>
        <v>1.8333333333333337</v>
      </c>
      <c r="J112" s="1">
        <f t="shared" si="23"/>
        <v>-36.898025743944018</v>
      </c>
    </row>
    <row r="114" spans="1:10" x14ac:dyDescent="0.25">
      <c r="A114" s="10" t="s">
        <v>40</v>
      </c>
      <c r="B114" s="2" t="s">
        <v>55</v>
      </c>
      <c r="C114" s="2" t="s">
        <v>56</v>
      </c>
      <c r="D114" s="2" t="s">
        <v>57</v>
      </c>
      <c r="E114" s="2" t="s">
        <v>58</v>
      </c>
      <c r="F114" s="2" t="s">
        <v>59</v>
      </c>
      <c r="G114" s="2" t="s">
        <v>60</v>
      </c>
      <c r="H114" s="2" t="s">
        <v>61</v>
      </c>
      <c r="I114" s="2" t="s">
        <v>62</v>
      </c>
      <c r="J114" s="2" t="s">
        <v>119</v>
      </c>
    </row>
    <row r="115" spans="1:10" x14ac:dyDescent="0.25">
      <c r="B115">
        <v>9.3000000000000002E-11</v>
      </c>
      <c r="C115">
        <v>1.4735555555555557E-8</v>
      </c>
      <c r="D115" s="1">
        <v>2.3999999999999998E-3</v>
      </c>
      <c r="E115">
        <v>-1.1000000000000001E-3</v>
      </c>
      <c r="F115" s="1">
        <v>0.2</v>
      </c>
      <c r="G115">
        <f>(0.5+E115/D115)^F115</f>
        <v>0.52961192052440587</v>
      </c>
      <c r="H115" s="1">
        <v>0.3</v>
      </c>
      <c r="I115" s="1">
        <f>4*ABS(E115)/D115</f>
        <v>1.8333333333333337</v>
      </c>
      <c r="J115" s="1">
        <f>(C115-B115)*G115+B115-(B115+C115)*(H115/2)*I115</f>
        <v>3.770019191385308E-9</v>
      </c>
    </row>
    <row r="116" spans="1:10" x14ac:dyDescent="0.25">
      <c r="B116">
        <v>9.3000000000000002E-11</v>
      </c>
      <c r="C116">
        <v>1.4735555555555557E-8</v>
      </c>
      <c r="D116" s="1">
        <v>2.3999999999999998E-3</v>
      </c>
      <c r="E116">
        <f>-0.001+0.0001</f>
        <v>-8.9999999999999998E-4</v>
      </c>
      <c r="F116" s="1">
        <v>0.2</v>
      </c>
      <c r="G116">
        <f t="shared" ref="G116:G126" si="25">(0.5+E116/D116)^F116</f>
        <v>0.6597539553864471</v>
      </c>
      <c r="H116" s="1">
        <v>0.3</v>
      </c>
      <c r="I116" s="1">
        <f t="shared" ref="I116:I126" si="26">4*ABS(E116)/D116</f>
        <v>1.5</v>
      </c>
      <c r="J116" s="1">
        <f t="shared" ref="J116:J126" si="27">(C116-B116)*G116+B116-(B116+C116)*(H116/2)*I116</f>
        <v>6.4170589447435743E-9</v>
      </c>
    </row>
    <row r="117" spans="1:10" x14ac:dyDescent="0.25">
      <c r="B117">
        <v>9.3000000000000002E-11</v>
      </c>
      <c r="C117">
        <v>1.4735555555555557E-8</v>
      </c>
      <c r="D117" s="1">
        <v>2.3999999999999998E-3</v>
      </c>
      <c r="E117">
        <f>E116+0.0002</f>
        <v>-6.9999999999999999E-4</v>
      </c>
      <c r="F117" s="1">
        <v>0.2</v>
      </c>
      <c r="G117">
        <f t="shared" si="25"/>
        <v>0.73072127581096269</v>
      </c>
      <c r="H117" s="1">
        <v>0.3</v>
      </c>
      <c r="I117" s="1">
        <f t="shared" si="26"/>
        <v>1.1666666666666667</v>
      </c>
      <c r="J117" s="1">
        <f t="shared" si="27"/>
        <v>8.1976296544662346E-9</v>
      </c>
    </row>
    <row r="118" spans="1:10" x14ac:dyDescent="0.25">
      <c r="B118">
        <v>9.3000000000000002E-11</v>
      </c>
      <c r="C118">
        <v>1.4735555555555557E-8</v>
      </c>
      <c r="D118" s="1">
        <v>2.3999999999999998E-3</v>
      </c>
      <c r="E118">
        <f t="shared" ref="E118:E125" si="28">E117+0.0002</f>
        <v>-5.0000000000000001E-4</v>
      </c>
      <c r="F118" s="1">
        <v>0.2</v>
      </c>
      <c r="G118">
        <f t="shared" si="25"/>
        <v>0.78158705837046538</v>
      </c>
      <c r="H118" s="1">
        <v>0.3</v>
      </c>
      <c r="I118" s="1">
        <f t="shared" si="26"/>
        <v>0.83333333333333337</v>
      </c>
      <c r="J118" s="1">
        <f t="shared" si="27"/>
        <v>9.6838624792483381E-9</v>
      </c>
    </row>
    <row r="119" spans="1:10" x14ac:dyDescent="0.25">
      <c r="B119">
        <v>9.3000000000000002E-11</v>
      </c>
      <c r="C119">
        <v>1.4735555555555557E-8</v>
      </c>
      <c r="D119" s="1">
        <v>2.3999999999999998E-3</v>
      </c>
      <c r="E119">
        <f t="shared" si="28"/>
        <v>-3.0000000000000003E-4</v>
      </c>
      <c r="F119" s="1">
        <v>0.2</v>
      </c>
      <c r="G119">
        <f t="shared" si="25"/>
        <v>0.82187591475861288</v>
      </c>
      <c r="H119" s="1">
        <v>0.3</v>
      </c>
      <c r="I119" s="1">
        <f t="shared" si="26"/>
        <v>0.50000000000000011</v>
      </c>
      <c r="J119" s="1">
        <f t="shared" si="27"/>
        <v>1.1015222074959366E-8</v>
      </c>
    </row>
    <row r="120" spans="1:10" x14ac:dyDescent="0.25">
      <c r="B120">
        <v>9.3000000000000002E-11</v>
      </c>
      <c r="C120">
        <v>1.4735555555555557E-8</v>
      </c>
      <c r="D120" s="1">
        <v>2.3999999999999998E-3</v>
      </c>
      <c r="E120">
        <f t="shared" si="28"/>
        <v>-1.0000000000000002E-4</v>
      </c>
      <c r="F120" s="1">
        <v>0.2</v>
      </c>
      <c r="G120">
        <f t="shared" si="25"/>
        <v>0.85553205972744928</v>
      </c>
      <c r="H120" s="1">
        <v>0.3</v>
      </c>
      <c r="I120" s="1">
        <f t="shared" si="26"/>
        <v>0.16666666666666671</v>
      </c>
      <c r="J120" s="1">
        <f t="shared" si="27"/>
        <v>1.2249461825229162E-8</v>
      </c>
    </row>
    <row r="121" spans="1:10" x14ac:dyDescent="0.25">
      <c r="B121">
        <v>9.3000000000000002E-11</v>
      </c>
      <c r="C121">
        <v>1.4735555555555557E-8</v>
      </c>
      <c r="D121" s="1">
        <v>2.3999999999999998E-3</v>
      </c>
      <c r="E121">
        <f t="shared" si="28"/>
        <v>9.9999999999999991E-5</v>
      </c>
      <c r="F121" s="1">
        <v>0.2</v>
      </c>
      <c r="G121">
        <f t="shared" si="25"/>
        <v>0.88459895526203525</v>
      </c>
      <c r="H121" s="1">
        <v>0.3</v>
      </c>
      <c r="I121" s="1">
        <f t="shared" si="26"/>
        <v>0.16666666666666666</v>
      </c>
      <c r="J121" s="1">
        <f t="shared" si="27"/>
        <v>1.2675075457921867E-8</v>
      </c>
    </row>
    <row r="122" spans="1:10" x14ac:dyDescent="0.25">
      <c r="B122">
        <v>9.3000000000000002E-11</v>
      </c>
      <c r="C122">
        <v>1.4735555555555557E-8</v>
      </c>
      <c r="D122" s="1">
        <v>2.3999999999999998E-3</v>
      </c>
      <c r="E122">
        <f t="shared" si="28"/>
        <v>3.0000000000000003E-4</v>
      </c>
      <c r="F122" s="1">
        <v>0.2</v>
      </c>
      <c r="G122">
        <f t="shared" si="25"/>
        <v>0.91028210151304012</v>
      </c>
      <c r="H122" s="1">
        <v>0.3</v>
      </c>
      <c r="I122" s="1">
        <f t="shared" si="26"/>
        <v>0.50000000000000011</v>
      </c>
      <c r="J122" s="1">
        <f t="shared" si="27"/>
        <v>1.2309714575965886E-8</v>
      </c>
    </row>
    <row r="123" spans="1:10" x14ac:dyDescent="0.25">
      <c r="B123">
        <v>9.3000000000000002E-11</v>
      </c>
      <c r="C123">
        <v>1.4735555555555557E-8</v>
      </c>
      <c r="D123" s="1">
        <v>2.3999999999999998E-3</v>
      </c>
      <c r="E123">
        <f t="shared" si="28"/>
        <v>5.0000000000000001E-4</v>
      </c>
      <c r="F123" s="1">
        <v>0.2</v>
      </c>
      <c r="G123">
        <f t="shared" si="25"/>
        <v>0.93335645623312335</v>
      </c>
      <c r="H123" s="1">
        <v>0.3</v>
      </c>
      <c r="I123" s="1">
        <f t="shared" si="26"/>
        <v>0.83333333333333337</v>
      </c>
      <c r="J123" s="1">
        <f t="shared" si="27"/>
        <v>1.1906154319085524E-8</v>
      </c>
    </row>
    <row r="124" spans="1:10" x14ac:dyDescent="0.25">
      <c r="B124">
        <v>9.3000000000000002E-11</v>
      </c>
      <c r="C124">
        <v>1.4735555555555557E-8</v>
      </c>
      <c r="D124" s="1">
        <v>2.3999999999999998E-3</v>
      </c>
      <c r="E124">
        <f t="shared" si="28"/>
        <v>6.9999999999999999E-4</v>
      </c>
      <c r="F124" s="1">
        <v>0.2</v>
      </c>
      <c r="G124">
        <f t="shared" si="25"/>
        <v>0.95435174481100715</v>
      </c>
      <c r="H124" s="1">
        <v>0.3</v>
      </c>
      <c r="I124" s="1">
        <f t="shared" si="26"/>
        <v>1.1666666666666667</v>
      </c>
      <c r="J124" s="1">
        <f t="shared" si="27"/>
        <v>1.147215122071433E-8</v>
      </c>
    </row>
    <row r="125" spans="1:10" x14ac:dyDescent="0.25">
      <c r="B125">
        <v>9.3000000000000002E-11</v>
      </c>
      <c r="C125">
        <v>1.4735555555555557E-8</v>
      </c>
      <c r="D125" s="1">
        <v>2.3999999999999998E-3</v>
      </c>
      <c r="E125">
        <f t="shared" si="28"/>
        <v>8.9999999999999998E-4</v>
      </c>
      <c r="F125" s="1">
        <v>0.2</v>
      </c>
      <c r="G125">
        <f t="shared" si="25"/>
        <v>0.97364718061516808</v>
      </c>
      <c r="H125" s="1">
        <v>0.3</v>
      </c>
      <c r="I125" s="1">
        <f t="shared" si="26"/>
        <v>1.5</v>
      </c>
      <c r="J125" s="1">
        <f t="shared" si="27"/>
        <v>1.1013257933667636E-8</v>
      </c>
    </row>
    <row r="126" spans="1:10" x14ac:dyDescent="0.25">
      <c r="B126">
        <v>9.3000000000000002E-11</v>
      </c>
      <c r="C126">
        <v>1.4735555555555557E-8</v>
      </c>
      <c r="D126" s="1">
        <v>2.3999999999999998E-3</v>
      </c>
      <c r="E126" s="13">
        <v>1.1000000000000001E-3</v>
      </c>
      <c r="F126" s="1">
        <v>0.2</v>
      </c>
      <c r="G126">
        <f t="shared" si="25"/>
        <v>0.99152420096469884</v>
      </c>
      <c r="H126" s="1">
        <v>0.3</v>
      </c>
      <c r="I126" s="1">
        <f t="shared" si="26"/>
        <v>1.8333333333333337</v>
      </c>
      <c r="J126" s="1">
        <f t="shared" si="27"/>
        <v>1.0533595419525658E-8</v>
      </c>
    </row>
    <row r="127" spans="1:10" x14ac:dyDescent="0.25">
      <c r="A127" s="10" t="s">
        <v>42</v>
      </c>
      <c r="B127" s="2" t="s">
        <v>55</v>
      </c>
      <c r="C127" s="2" t="s">
        <v>56</v>
      </c>
      <c r="D127" s="2" t="s">
        <v>57</v>
      </c>
      <c r="E127" s="2" t="s">
        <v>58</v>
      </c>
      <c r="F127" s="2" t="s">
        <v>59</v>
      </c>
      <c r="G127" s="2" t="s">
        <v>60</v>
      </c>
      <c r="H127" s="2" t="s">
        <v>61</v>
      </c>
      <c r="I127" s="2" t="s">
        <v>62</v>
      </c>
      <c r="J127" s="2" t="s">
        <v>119</v>
      </c>
    </row>
    <row r="128" spans="1:10" x14ac:dyDescent="0.25">
      <c r="B128" s="1">
        <v>1.5699999999999999E-4</v>
      </c>
      <c r="C128" s="1">
        <v>1.0000000000000001E-5</v>
      </c>
      <c r="D128" s="1">
        <v>2.3999999999999998E-3</v>
      </c>
      <c r="E128">
        <v>-1.1000000000000001E-3</v>
      </c>
      <c r="F128" s="1">
        <v>0.2</v>
      </c>
      <c r="G128">
        <f>(0.5+E128/D128)^F128</f>
        <v>0.52961192052440587</v>
      </c>
      <c r="H128" s="1">
        <v>0.3</v>
      </c>
      <c r="I128" s="1">
        <f>4*ABS(E128)/D128</f>
        <v>1.8333333333333337</v>
      </c>
      <c r="J128" s="1">
        <f>(C128-B128)*G128+B128-(B128+C128)*(H128/2)*I128</f>
        <v>3.3222047682912335E-5</v>
      </c>
    </row>
    <row r="129" spans="1:10" x14ac:dyDescent="0.25">
      <c r="B129" s="1">
        <v>1.5699999999999999E-4</v>
      </c>
      <c r="C129" s="1">
        <v>1.0000000000000001E-5</v>
      </c>
      <c r="D129" s="1">
        <v>2.3999999999999998E-3</v>
      </c>
      <c r="E129">
        <f>-0.001+0.0001</f>
        <v>-8.9999999999999998E-4</v>
      </c>
      <c r="F129" s="1">
        <v>0.2</v>
      </c>
      <c r="G129">
        <f t="shared" ref="G129:G139" si="29">(0.5+E129/D129)^F129</f>
        <v>0.6597539553864471</v>
      </c>
      <c r="H129" s="1">
        <v>0.3</v>
      </c>
      <c r="I129" s="1">
        <f t="shared" ref="I129:I139" si="30">4*ABS(E129)/D129</f>
        <v>1.5</v>
      </c>
      <c r="J129" s="1">
        <f t="shared" ref="J129:J139" si="31">(C129-B129)*G129+B129-(B129+C129)*(H129/2)*I129</f>
        <v>2.244116855819227E-5</v>
      </c>
    </row>
    <row r="130" spans="1:10" x14ac:dyDescent="0.25">
      <c r="B130" s="1">
        <v>1.5699999999999999E-4</v>
      </c>
      <c r="C130" s="1">
        <v>1.0000000000000001E-5</v>
      </c>
      <c r="D130" s="1">
        <v>2.3999999999999998E-3</v>
      </c>
      <c r="E130">
        <f>E129+0.0002</f>
        <v>-6.9999999999999999E-4</v>
      </c>
      <c r="F130" s="1">
        <v>0.2</v>
      </c>
      <c r="G130">
        <f t="shared" si="29"/>
        <v>0.73072127581096269</v>
      </c>
      <c r="H130" s="1">
        <v>0.3</v>
      </c>
      <c r="I130" s="1">
        <f t="shared" si="30"/>
        <v>1.1666666666666667</v>
      </c>
      <c r="J130" s="1">
        <f t="shared" si="31"/>
        <v>2.0358972455788476E-5</v>
      </c>
    </row>
    <row r="131" spans="1:10" x14ac:dyDescent="0.25">
      <c r="B131" s="1">
        <v>1.5699999999999999E-4</v>
      </c>
      <c r="C131" s="1">
        <v>1.0000000000000001E-5</v>
      </c>
      <c r="D131" s="1">
        <v>2.3999999999999998E-3</v>
      </c>
      <c r="E131">
        <f t="shared" ref="E131:E138" si="32">E130+0.0002</f>
        <v>-5.0000000000000001E-4</v>
      </c>
      <c r="F131" s="1">
        <v>0.2</v>
      </c>
      <c r="G131">
        <f t="shared" si="29"/>
        <v>0.78158705837046538</v>
      </c>
      <c r="H131" s="1">
        <v>0.3</v>
      </c>
      <c r="I131" s="1">
        <f t="shared" si="30"/>
        <v>0.83333333333333337</v>
      </c>
      <c r="J131" s="1">
        <f t="shared" si="31"/>
        <v>2.1231702419541593E-5</v>
      </c>
    </row>
    <row r="132" spans="1:10" x14ac:dyDescent="0.25">
      <c r="B132" s="1">
        <v>1.5699999999999999E-4</v>
      </c>
      <c r="C132" s="1">
        <v>1.0000000000000001E-5</v>
      </c>
      <c r="D132" s="1">
        <v>2.3999999999999998E-3</v>
      </c>
      <c r="E132">
        <f t="shared" si="32"/>
        <v>-3.0000000000000003E-4</v>
      </c>
      <c r="F132" s="1">
        <v>0.2</v>
      </c>
      <c r="G132">
        <f t="shared" si="29"/>
        <v>0.82187591475861288</v>
      </c>
      <c r="H132" s="1">
        <v>0.3</v>
      </c>
      <c r="I132" s="1">
        <f t="shared" si="30"/>
        <v>0.50000000000000011</v>
      </c>
      <c r="J132" s="1">
        <f t="shared" si="31"/>
        <v>2.3659240530483906E-5</v>
      </c>
    </row>
    <row r="133" spans="1:10" x14ac:dyDescent="0.25">
      <c r="B133" s="1">
        <v>1.5699999999999999E-4</v>
      </c>
      <c r="C133" s="1">
        <v>1.0000000000000001E-5</v>
      </c>
      <c r="D133" s="1">
        <v>2.3999999999999998E-3</v>
      </c>
      <c r="E133">
        <f t="shared" si="32"/>
        <v>-1.0000000000000002E-4</v>
      </c>
      <c r="F133" s="1">
        <v>0.2</v>
      </c>
      <c r="G133">
        <f t="shared" si="29"/>
        <v>0.85553205972744928</v>
      </c>
      <c r="H133" s="1">
        <v>0.3</v>
      </c>
      <c r="I133" s="1">
        <f t="shared" si="30"/>
        <v>0.16666666666666671</v>
      </c>
      <c r="J133" s="1">
        <f t="shared" si="31"/>
        <v>2.7061787220064957E-5</v>
      </c>
    </row>
    <row r="134" spans="1:10" x14ac:dyDescent="0.25">
      <c r="B134" s="1">
        <v>1.5699999999999999E-4</v>
      </c>
      <c r="C134" s="1">
        <v>1.0000000000000001E-5</v>
      </c>
      <c r="D134" s="1">
        <v>2.3999999999999998E-3</v>
      </c>
      <c r="E134">
        <f t="shared" si="32"/>
        <v>9.9999999999999991E-5</v>
      </c>
      <c r="F134" s="1">
        <v>0.2</v>
      </c>
      <c r="G134">
        <f t="shared" si="29"/>
        <v>0.88459895526203525</v>
      </c>
      <c r="H134" s="1">
        <v>0.3</v>
      </c>
      <c r="I134" s="1">
        <f t="shared" si="30"/>
        <v>0.16666666666666666</v>
      </c>
      <c r="J134" s="1">
        <f t="shared" si="31"/>
        <v>2.2788953576480818E-5</v>
      </c>
    </row>
    <row r="135" spans="1:10" x14ac:dyDescent="0.25">
      <c r="B135" s="1">
        <v>1.5699999999999999E-4</v>
      </c>
      <c r="C135" s="1">
        <v>1.0000000000000001E-5</v>
      </c>
      <c r="D135" s="1">
        <v>2.3999999999999998E-3</v>
      </c>
      <c r="E135">
        <f t="shared" si="32"/>
        <v>3.0000000000000003E-4</v>
      </c>
      <c r="F135" s="1">
        <v>0.2</v>
      </c>
      <c r="G135">
        <f t="shared" si="29"/>
        <v>0.91028210151304012</v>
      </c>
      <c r="H135" s="1">
        <v>0.3</v>
      </c>
      <c r="I135" s="1">
        <f t="shared" si="30"/>
        <v>0.50000000000000011</v>
      </c>
      <c r="J135" s="1">
        <f t="shared" si="31"/>
        <v>1.0663531077583107E-5</v>
      </c>
    </row>
    <row r="136" spans="1:10" x14ac:dyDescent="0.25">
      <c r="B136" s="1">
        <v>1.5699999999999999E-4</v>
      </c>
      <c r="C136" s="1">
        <v>1.0000000000000001E-5</v>
      </c>
      <c r="D136" s="1">
        <v>2.3999999999999998E-3</v>
      </c>
      <c r="E136">
        <f t="shared" si="32"/>
        <v>5.0000000000000001E-4</v>
      </c>
      <c r="F136" s="1">
        <v>0.2</v>
      </c>
      <c r="G136">
        <f t="shared" si="29"/>
        <v>0.93335645623312335</v>
      </c>
      <c r="H136" s="1">
        <v>0.3</v>
      </c>
      <c r="I136" s="1">
        <f t="shared" si="30"/>
        <v>0.83333333333333337</v>
      </c>
      <c r="J136" s="1">
        <f t="shared" si="31"/>
        <v>-1.0783990662691239E-6</v>
      </c>
    </row>
    <row r="137" spans="1:10" x14ac:dyDescent="0.25">
      <c r="B137" s="1">
        <v>1.5699999999999999E-4</v>
      </c>
      <c r="C137" s="1">
        <v>1.0000000000000001E-5</v>
      </c>
      <c r="D137" s="1">
        <v>2.3999999999999998E-3</v>
      </c>
      <c r="E137">
        <f t="shared" si="32"/>
        <v>6.9999999999999999E-4</v>
      </c>
      <c r="F137" s="1">
        <v>0.2</v>
      </c>
      <c r="G137">
        <f t="shared" si="29"/>
        <v>0.95435174481100715</v>
      </c>
      <c r="H137" s="1">
        <v>0.3</v>
      </c>
      <c r="I137" s="1">
        <f t="shared" si="30"/>
        <v>1.1666666666666667</v>
      </c>
      <c r="J137" s="1">
        <f t="shared" si="31"/>
        <v>-1.2514706487218058E-5</v>
      </c>
    </row>
    <row r="138" spans="1:10" x14ac:dyDescent="0.25">
      <c r="B138" s="1">
        <v>1.5699999999999999E-4</v>
      </c>
      <c r="C138" s="1">
        <v>1.0000000000000001E-5</v>
      </c>
      <c r="D138" s="1">
        <v>2.3999999999999998E-3</v>
      </c>
      <c r="E138">
        <f t="shared" si="32"/>
        <v>8.9999999999999998E-4</v>
      </c>
      <c r="F138" s="1">
        <v>0.2</v>
      </c>
      <c r="G138">
        <f t="shared" si="29"/>
        <v>0.97364718061516808</v>
      </c>
      <c r="H138" s="1">
        <v>0.3</v>
      </c>
      <c r="I138" s="1">
        <f t="shared" si="30"/>
        <v>1.5</v>
      </c>
      <c r="J138" s="1">
        <f t="shared" si="31"/>
        <v>-2.3701135550429702E-5</v>
      </c>
    </row>
    <row r="139" spans="1:10" x14ac:dyDescent="0.25">
      <c r="B139" s="1">
        <v>1.5699999999999999E-4</v>
      </c>
      <c r="C139" s="1">
        <v>1.0000000000000001E-5</v>
      </c>
      <c r="D139" s="1">
        <v>2.3999999999999998E-3</v>
      </c>
      <c r="E139" s="13">
        <v>1.1000000000000001E-3</v>
      </c>
      <c r="F139" s="1">
        <v>0.2</v>
      </c>
      <c r="G139">
        <f t="shared" si="29"/>
        <v>0.99152420096469884</v>
      </c>
      <c r="H139" s="1">
        <v>0.3</v>
      </c>
      <c r="I139" s="1">
        <f t="shared" si="30"/>
        <v>1.8333333333333337</v>
      </c>
      <c r="J139" s="1">
        <f t="shared" si="31"/>
        <v>-3.4679057541810737E-5</v>
      </c>
    </row>
    <row r="140" spans="1:10" x14ac:dyDescent="0.25">
      <c r="A140" s="10" t="s">
        <v>48</v>
      </c>
      <c r="B140" s="2" t="s">
        <v>55</v>
      </c>
      <c r="C140" s="2" t="s">
        <v>56</v>
      </c>
      <c r="D140" s="2" t="s">
        <v>57</v>
      </c>
      <c r="E140" s="2" t="s">
        <v>58</v>
      </c>
      <c r="F140" s="2" t="s">
        <v>59</v>
      </c>
      <c r="G140" s="2" t="s">
        <v>60</v>
      </c>
      <c r="H140" s="2" t="s">
        <v>61</v>
      </c>
      <c r="I140" s="2" t="s">
        <v>62</v>
      </c>
      <c r="J140" s="2" t="s">
        <v>119</v>
      </c>
    </row>
    <row r="141" spans="1:10" x14ac:dyDescent="0.25">
      <c r="B141" s="1">
        <v>1.0000000000000001E-5</v>
      </c>
      <c r="C141" s="1">
        <v>1.5699999999999999E-5</v>
      </c>
      <c r="D141" s="1">
        <v>2.3999999999999998E-3</v>
      </c>
      <c r="E141">
        <v>-1.1000000000000001E-3</v>
      </c>
      <c r="F141" s="1">
        <v>0.2</v>
      </c>
      <c r="G141">
        <f>(0.5+E141/D141)^F141</f>
        <v>0.52961192052440587</v>
      </c>
      <c r="H141" s="1">
        <v>0.3</v>
      </c>
      <c r="I141" s="1">
        <f>4*ABS(E141)/D141</f>
        <v>1.8333333333333337</v>
      </c>
      <c r="J141" s="1">
        <f>(C141-B141)*G141+B141-(B141+C141)*(H141/2)*I141</f>
        <v>5.9512879469891102E-6</v>
      </c>
    </row>
    <row r="142" spans="1:10" x14ac:dyDescent="0.25">
      <c r="B142" s="1">
        <v>1.0000000000000001E-5</v>
      </c>
      <c r="C142" s="1">
        <v>1.5699999999999999E-5</v>
      </c>
      <c r="D142" s="1">
        <v>2.3999999999999998E-3</v>
      </c>
      <c r="E142">
        <f>-0.001+0.0001</f>
        <v>-8.9999999999999998E-4</v>
      </c>
      <c r="F142" s="1">
        <v>0.2</v>
      </c>
      <c r="G142">
        <f t="shared" ref="G142:G152" si="33">(0.5+E142/D142)^F142</f>
        <v>0.6597539553864471</v>
      </c>
      <c r="H142" s="1">
        <v>0.3</v>
      </c>
      <c r="I142" s="1">
        <f t="shared" ref="I142:I152" si="34">4*ABS(E142)/D142</f>
        <v>1.5</v>
      </c>
      <c r="J142" s="1">
        <f t="shared" ref="J142:J152" si="35">(C142-B142)*G142+B142-(B142+C142)*(H142/2)*I142</f>
        <v>7.9780975457027474E-6</v>
      </c>
    </row>
    <row r="143" spans="1:10" x14ac:dyDescent="0.25">
      <c r="B143" s="1">
        <v>1.0000000000000001E-5</v>
      </c>
      <c r="C143" s="1">
        <v>1.5699999999999999E-5</v>
      </c>
      <c r="D143" s="1">
        <v>2.3999999999999998E-3</v>
      </c>
      <c r="E143">
        <f>E142+0.0002</f>
        <v>-6.9999999999999999E-4</v>
      </c>
      <c r="F143" s="1">
        <v>0.2</v>
      </c>
      <c r="G143">
        <f t="shared" si="33"/>
        <v>0.73072127581096269</v>
      </c>
      <c r="H143" s="1">
        <v>0.3</v>
      </c>
      <c r="I143" s="1">
        <f t="shared" si="34"/>
        <v>1.1666666666666667</v>
      </c>
      <c r="J143" s="1">
        <f t="shared" si="35"/>
        <v>9.6676112721224858E-6</v>
      </c>
    </row>
    <row r="144" spans="1:10" x14ac:dyDescent="0.25">
      <c r="B144" s="1">
        <v>1.0000000000000001E-5</v>
      </c>
      <c r="C144" s="1">
        <v>1.5699999999999999E-5</v>
      </c>
      <c r="D144" s="1">
        <v>2.3999999999999998E-3</v>
      </c>
      <c r="E144">
        <f t="shared" ref="E144:E151" si="36">E143+0.0002</f>
        <v>-5.0000000000000001E-4</v>
      </c>
      <c r="F144" s="1">
        <v>0.2</v>
      </c>
      <c r="G144">
        <f t="shared" si="33"/>
        <v>0.78158705837046538</v>
      </c>
      <c r="H144" s="1">
        <v>0.3</v>
      </c>
      <c r="I144" s="1">
        <f t="shared" si="34"/>
        <v>0.83333333333333337</v>
      </c>
      <c r="J144" s="1">
        <f t="shared" si="35"/>
        <v>1.1242546232711652E-5</v>
      </c>
    </row>
    <row r="145" spans="1:11" x14ac:dyDescent="0.25">
      <c r="B145" s="1">
        <v>1.0000000000000001E-5</v>
      </c>
      <c r="C145" s="1">
        <v>1.5699999999999999E-5</v>
      </c>
      <c r="D145" s="1">
        <v>2.3999999999999998E-3</v>
      </c>
      <c r="E145">
        <f t="shared" si="36"/>
        <v>-3.0000000000000003E-4</v>
      </c>
      <c r="F145" s="1">
        <v>0.2</v>
      </c>
      <c r="G145">
        <f t="shared" si="33"/>
        <v>0.82187591475861288</v>
      </c>
      <c r="H145" s="1">
        <v>0.3</v>
      </c>
      <c r="I145" s="1">
        <f t="shared" si="34"/>
        <v>0.50000000000000011</v>
      </c>
      <c r="J145" s="1">
        <f t="shared" si="35"/>
        <v>1.2757192714124091E-5</v>
      </c>
    </row>
    <row r="146" spans="1:11" x14ac:dyDescent="0.25">
      <c r="B146" s="1">
        <v>1.0000000000000001E-5</v>
      </c>
      <c r="C146" s="1">
        <v>1.5699999999999999E-5</v>
      </c>
      <c r="D146" s="1">
        <v>2.3999999999999998E-3</v>
      </c>
      <c r="E146">
        <f t="shared" si="36"/>
        <v>-1.0000000000000002E-4</v>
      </c>
      <c r="F146" s="1">
        <v>0.2</v>
      </c>
      <c r="G146">
        <f t="shared" si="33"/>
        <v>0.85553205972744928</v>
      </c>
      <c r="H146" s="1">
        <v>0.3</v>
      </c>
      <c r="I146" s="1">
        <f t="shared" si="34"/>
        <v>0.16666666666666671</v>
      </c>
      <c r="J146" s="1">
        <f t="shared" si="35"/>
        <v>1.4234032740446459E-5</v>
      </c>
    </row>
    <row r="147" spans="1:11" x14ac:dyDescent="0.25">
      <c r="B147" s="1">
        <v>1.0000000000000001E-5</v>
      </c>
      <c r="C147" s="1">
        <v>1.5699999999999999E-5</v>
      </c>
      <c r="D147" s="1">
        <v>2.3999999999999998E-3</v>
      </c>
      <c r="E147">
        <f t="shared" si="36"/>
        <v>9.9999999999999991E-5</v>
      </c>
      <c r="F147" s="1">
        <v>0.2</v>
      </c>
      <c r="G147">
        <f t="shared" si="33"/>
        <v>0.88459895526203525</v>
      </c>
      <c r="H147" s="1">
        <v>0.3</v>
      </c>
      <c r="I147" s="1">
        <f t="shared" si="34"/>
        <v>0.16666666666666666</v>
      </c>
      <c r="J147" s="1">
        <f t="shared" si="35"/>
        <v>1.4399714044993599E-5</v>
      </c>
    </row>
    <row r="148" spans="1:11" x14ac:dyDescent="0.25">
      <c r="B148" s="1">
        <v>1.0000000000000001E-5</v>
      </c>
      <c r="C148" s="1">
        <v>1.5699999999999999E-5</v>
      </c>
      <c r="D148" s="1">
        <v>2.3999999999999998E-3</v>
      </c>
      <c r="E148">
        <f t="shared" si="36"/>
        <v>3.0000000000000003E-4</v>
      </c>
      <c r="F148" s="1">
        <v>0.2</v>
      </c>
      <c r="G148">
        <f t="shared" si="33"/>
        <v>0.91028210151304012</v>
      </c>
      <c r="H148" s="1">
        <v>0.3</v>
      </c>
      <c r="I148" s="1">
        <f t="shared" si="34"/>
        <v>0.50000000000000011</v>
      </c>
      <c r="J148" s="1">
        <f t="shared" si="35"/>
        <v>1.3261107978624327E-5</v>
      </c>
    </row>
    <row r="149" spans="1:11" x14ac:dyDescent="0.25">
      <c r="B149" s="1">
        <v>1.0000000000000001E-5</v>
      </c>
      <c r="C149" s="1">
        <v>1.5699999999999999E-5</v>
      </c>
      <c r="D149" s="1">
        <v>2.3999999999999998E-3</v>
      </c>
      <c r="E149">
        <f t="shared" si="36"/>
        <v>5.0000000000000001E-4</v>
      </c>
      <c r="F149" s="1">
        <v>0.2</v>
      </c>
      <c r="G149">
        <f t="shared" si="33"/>
        <v>0.93335645623312335</v>
      </c>
      <c r="H149" s="1">
        <v>0.3</v>
      </c>
      <c r="I149" s="1">
        <f t="shared" si="34"/>
        <v>0.83333333333333337</v>
      </c>
      <c r="J149" s="1">
        <f t="shared" si="35"/>
        <v>1.2107631800528803E-5</v>
      </c>
    </row>
    <row r="150" spans="1:11" x14ac:dyDescent="0.25">
      <c r="B150" s="1">
        <v>1.0000000000000001E-5</v>
      </c>
      <c r="C150" s="1">
        <v>1.5699999999999999E-5</v>
      </c>
      <c r="D150" s="1">
        <v>2.3999999999999998E-3</v>
      </c>
      <c r="E150">
        <f t="shared" si="36"/>
        <v>6.9999999999999999E-4</v>
      </c>
      <c r="F150" s="1">
        <v>0.2</v>
      </c>
      <c r="G150">
        <f t="shared" si="33"/>
        <v>0.95435174481100715</v>
      </c>
      <c r="H150" s="1">
        <v>0.3</v>
      </c>
      <c r="I150" s="1">
        <f t="shared" si="34"/>
        <v>1.1666666666666667</v>
      </c>
      <c r="J150" s="1">
        <f t="shared" si="35"/>
        <v>1.094230494542274E-5</v>
      </c>
    </row>
    <row r="151" spans="1:11" x14ac:dyDescent="0.25">
      <c r="B151" s="1">
        <v>1.0000000000000001E-5</v>
      </c>
      <c r="C151" s="1">
        <v>1.5699999999999999E-5</v>
      </c>
      <c r="D151" s="1">
        <v>2.3999999999999998E-3</v>
      </c>
      <c r="E151">
        <f t="shared" si="36"/>
        <v>8.9999999999999998E-4</v>
      </c>
      <c r="F151" s="1">
        <v>0.2</v>
      </c>
      <c r="G151">
        <f t="shared" si="33"/>
        <v>0.97364718061516808</v>
      </c>
      <c r="H151" s="1">
        <v>0.3</v>
      </c>
      <c r="I151" s="1">
        <f t="shared" si="34"/>
        <v>1.5</v>
      </c>
      <c r="J151" s="1">
        <f t="shared" si="35"/>
        <v>9.7672889295064559E-6</v>
      </c>
    </row>
    <row r="152" spans="1:11" x14ac:dyDescent="0.25">
      <c r="B152" s="1">
        <v>1.0000000000000001E-5</v>
      </c>
      <c r="C152" s="1">
        <v>1.5699999999999999E-5</v>
      </c>
      <c r="D152" s="1">
        <v>2.3999999999999998E-3</v>
      </c>
      <c r="E152" s="13">
        <v>1.1000000000000001E-3</v>
      </c>
      <c r="F152" s="1">
        <v>0.2</v>
      </c>
      <c r="G152">
        <f t="shared" si="33"/>
        <v>0.99152420096469884</v>
      </c>
      <c r="H152" s="1">
        <v>0.3</v>
      </c>
      <c r="I152" s="1">
        <f t="shared" si="34"/>
        <v>1.8333333333333337</v>
      </c>
      <c r="J152" s="1">
        <f t="shared" si="35"/>
        <v>8.5841879454987784E-6</v>
      </c>
    </row>
    <row r="153" spans="1:11" x14ac:dyDescent="0.25">
      <c r="A153" s="10" t="s">
        <v>49</v>
      </c>
      <c r="B153" s="2" t="s">
        <v>55</v>
      </c>
      <c r="C153" s="2" t="s">
        <v>56</v>
      </c>
      <c r="D153" s="2" t="s">
        <v>123</v>
      </c>
      <c r="E153" s="2" t="s">
        <v>124</v>
      </c>
      <c r="F153" s="2" t="s">
        <v>125</v>
      </c>
      <c r="G153" s="2" t="s">
        <v>60</v>
      </c>
      <c r="H153" s="2" t="s">
        <v>61</v>
      </c>
      <c r="I153" s="2" t="s">
        <v>62</v>
      </c>
      <c r="J153" s="2" t="s">
        <v>119</v>
      </c>
      <c r="K153" s="2" t="s">
        <v>66</v>
      </c>
    </row>
    <row r="154" spans="1:11" x14ac:dyDescent="0.25">
      <c r="B154" s="1">
        <v>2.5</v>
      </c>
      <c r="C154" s="1">
        <v>3.2</v>
      </c>
      <c r="D154" s="1">
        <v>2.3999999999999998E-3</v>
      </c>
      <c r="E154">
        <v>-1.1000000000000001E-3</v>
      </c>
      <c r="F154" s="1">
        <v>0.2</v>
      </c>
      <c r="G154">
        <f>(0.5+E154/D154)^F154</f>
        <v>0.52961192052440587</v>
      </c>
      <c r="H154" s="1">
        <v>0.3</v>
      </c>
      <c r="I154" s="1">
        <f>4*ABS(E154)/D154</f>
        <v>1.8333333333333337</v>
      </c>
      <c r="J154" s="1">
        <f>(C154-B154)*G154+B154-(B154+C154)*(H154/2)*I154</f>
        <v>1.303228344367084</v>
      </c>
      <c r="K154" s="1">
        <f>1/J154</f>
        <v>0.76732523837612854</v>
      </c>
    </row>
    <row r="155" spans="1:11" x14ac:dyDescent="0.25">
      <c r="B155" s="1">
        <v>2.5</v>
      </c>
      <c r="C155" s="1">
        <v>3.2</v>
      </c>
      <c r="D155" s="1">
        <v>2.3999999999999998E-3</v>
      </c>
      <c r="E155">
        <f>-0.001+0.0001</f>
        <v>-8.9999999999999998E-4</v>
      </c>
      <c r="F155" s="1">
        <v>0.2</v>
      </c>
      <c r="G155">
        <f t="shared" ref="G155:G165" si="37">(0.5+E155/D155)^F155</f>
        <v>0.6597539553864471</v>
      </c>
      <c r="H155" s="1">
        <v>0.3</v>
      </c>
      <c r="I155" s="1">
        <f t="shared" ref="I155:I165" si="38">4*ABS(E155)/D155</f>
        <v>1.5</v>
      </c>
      <c r="J155" s="1">
        <f t="shared" ref="J155:J165" si="39">(C155-B155)*G155+B155-(B155+C155)*(H155/2)*I155</f>
        <v>1.679327768770513</v>
      </c>
      <c r="K155" s="1">
        <f t="shared" ref="K155:K165" si="40">1/J155</f>
        <v>0.59547636774453527</v>
      </c>
    </row>
    <row r="156" spans="1:11" x14ac:dyDescent="0.25">
      <c r="B156" s="1">
        <v>2.5</v>
      </c>
      <c r="C156" s="1">
        <v>3.2</v>
      </c>
      <c r="D156" s="1">
        <v>2.3999999999999998E-3</v>
      </c>
      <c r="E156">
        <f>E155+0.0002</f>
        <v>-6.9999999999999999E-4</v>
      </c>
      <c r="F156" s="1">
        <v>0.2</v>
      </c>
      <c r="G156">
        <f t="shared" si="37"/>
        <v>0.73072127581096269</v>
      </c>
      <c r="H156" s="1">
        <v>0.3</v>
      </c>
      <c r="I156" s="1">
        <f t="shared" si="38"/>
        <v>1.1666666666666667</v>
      </c>
      <c r="J156" s="1">
        <f t="shared" si="39"/>
        <v>2.0140048930676739</v>
      </c>
      <c r="K156" s="1">
        <f t="shared" si="40"/>
        <v>0.49652312337574761</v>
      </c>
    </row>
    <row r="157" spans="1:11" x14ac:dyDescent="0.25">
      <c r="B157" s="1">
        <v>2.5</v>
      </c>
      <c r="C157" s="1">
        <v>3.2</v>
      </c>
      <c r="D157" s="1">
        <v>2.3999999999999998E-3</v>
      </c>
      <c r="E157">
        <f t="shared" ref="E157:E164" si="41">E156+0.0002</f>
        <v>-5.0000000000000001E-4</v>
      </c>
      <c r="F157" s="1">
        <v>0.2</v>
      </c>
      <c r="G157">
        <f t="shared" si="37"/>
        <v>0.78158705837046538</v>
      </c>
      <c r="H157" s="1">
        <v>0.3</v>
      </c>
      <c r="I157" s="1">
        <f t="shared" si="38"/>
        <v>0.83333333333333337</v>
      </c>
      <c r="J157" s="1">
        <f t="shared" si="39"/>
        <v>2.3346109408593261</v>
      </c>
      <c r="K157" s="1">
        <f t="shared" si="40"/>
        <v>0.42833689438288974</v>
      </c>
    </row>
    <row r="158" spans="1:11" x14ac:dyDescent="0.25">
      <c r="B158" s="1">
        <v>2.5</v>
      </c>
      <c r="C158" s="1">
        <v>3.2</v>
      </c>
      <c r="D158" s="1">
        <v>2.3999999999999998E-3</v>
      </c>
      <c r="E158">
        <f t="shared" si="41"/>
        <v>-3.0000000000000003E-4</v>
      </c>
      <c r="F158" s="1">
        <v>0.2</v>
      </c>
      <c r="G158">
        <f t="shared" si="37"/>
        <v>0.82187591475861288</v>
      </c>
      <c r="H158" s="1">
        <v>0.3</v>
      </c>
      <c r="I158" s="1">
        <f t="shared" si="38"/>
        <v>0.50000000000000011</v>
      </c>
      <c r="J158" s="1">
        <f t="shared" si="39"/>
        <v>2.6478131403310288</v>
      </c>
      <c r="K158" s="1">
        <f t="shared" si="40"/>
        <v>0.377670155332404</v>
      </c>
    </row>
    <row r="159" spans="1:11" x14ac:dyDescent="0.25">
      <c r="B159" s="1">
        <v>2.5</v>
      </c>
      <c r="C159" s="1">
        <v>3.2</v>
      </c>
      <c r="D159" s="1">
        <v>2.3999999999999998E-3</v>
      </c>
      <c r="E159">
        <f t="shared" si="41"/>
        <v>-1.0000000000000002E-4</v>
      </c>
      <c r="F159" s="1">
        <v>0.2</v>
      </c>
      <c r="G159">
        <f t="shared" si="37"/>
        <v>0.85553205972744928</v>
      </c>
      <c r="H159" s="1">
        <v>0.3</v>
      </c>
      <c r="I159" s="1">
        <f t="shared" si="38"/>
        <v>0.16666666666666671</v>
      </c>
      <c r="J159" s="1">
        <f t="shared" si="39"/>
        <v>2.9563724418092145</v>
      </c>
      <c r="K159" s="1">
        <f t="shared" si="40"/>
        <v>0.33825237505868133</v>
      </c>
    </row>
    <row r="160" spans="1:11" x14ac:dyDescent="0.25">
      <c r="B160" s="1">
        <v>2.5</v>
      </c>
      <c r="C160" s="1">
        <v>3.2</v>
      </c>
      <c r="D160" s="1">
        <v>2.3999999999999998E-3</v>
      </c>
      <c r="E160">
        <f t="shared" si="41"/>
        <v>9.9999999999999991E-5</v>
      </c>
      <c r="F160" s="1">
        <v>0.2</v>
      </c>
      <c r="G160">
        <f t="shared" si="37"/>
        <v>0.88459895526203525</v>
      </c>
      <c r="H160" s="1">
        <v>0.3</v>
      </c>
      <c r="I160" s="1">
        <f t="shared" si="38"/>
        <v>0.16666666666666666</v>
      </c>
      <c r="J160" s="1">
        <f t="shared" si="39"/>
        <v>2.976719268683425</v>
      </c>
      <c r="K160" s="1">
        <f t="shared" si="40"/>
        <v>0.33594031204772984</v>
      </c>
    </row>
    <row r="161" spans="1:11" x14ac:dyDescent="0.25">
      <c r="B161" s="1">
        <v>2.5</v>
      </c>
      <c r="C161" s="1">
        <v>3.2</v>
      </c>
      <c r="D161" s="1">
        <v>2.3999999999999998E-3</v>
      </c>
      <c r="E161">
        <f t="shared" si="41"/>
        <v>3.0000000000000003E-4</v>
      </c>
      <c r="F161" s="1">
        <v>0.2</v>
      </c>
      <c r="G161">
        <f t="shared" si="37"/>
        <v>0.91028210151304012</v>
      </c>
      <c r="H161" s="1">
        <v>0.3</v>
      </c>
      <c r="I161" s="1">
        <f t="shared" si="38"/>
        <v>0.50000000000000011</v>
      </c>
      <c r="J161" s="1">
        <f t="shared" si="39"/>
        <v>2.7096974710591279</v>
      </c>
      <c r="K161" s="1">
        <f t="shared" si="40"/>
        <v>0.36904488810300073</v>
      </c>
    </row>
    <row r="162" spans="1:11" x14ac:dyDescent="0.25">
      <c r="B162" s="1">
        <v>2.5</v>
      </c>
      <c r="C162" s="1">
        <v>3.2</v>
      </c>
      <c r="D162" s="1">
        <v>2.3999999999999998E-3</v>
      </c>
      <c r="E162">
        <f t="shared" si="41"/>
        <v>5.0000000000000001E-4</v>
      </c>
      <c r="F162" s="1">
        <v>0.2</v>
      </c>
      <c r="G162">
        <f t="shared" si="37"/>
        <v>0.93335645623312335</v>
      </c>
      <c r="H162" s="1">
        <v>0.3</v>
      </c>
      <c r="I162" s="1">
        <f t="shared" si="38"/>
        <v>0.83333333333333337</v>
      </c>
      <c r="J162" s="1">
        <f t="shared" si="39"/>
        <v>2.4408495193631867</v>
      </c>
      <c r="K162" s="1">
        <f t="shared" si="40"/>
        <v>0.40969342520586777</v>
      </c>
    </row>
    <row r="163" spans="1:11" x14ac:dyDescent="0.25">
      <c r="B163" s="1">
        <v>2.5</v>
      </c>
      <c r="C163" s="1">
        <v>3.2</v>
      </c>
      <c r="D163" s="1">
        <v>2.3999999999999998E-3</v>
      </c>
      <c r="E163">
        <f t="shared" si="41"/>
        <v>6.9999999999999999E-4</v>
      </c>
      <c r="F163" s="1">
        <v>0.2</v>
      </c>
      <c r="G163">
        <f t="shared" si="37"/>
        <v>0.95435174481100715</v>
      </c>
      <c r="H163" s="1">
        <v>0.3</v>
      </c>
      <c r="I163" s="1">
        <f t="shared" si="38"/>
        <v>1.1666666666666667</v>
      </c>
      <c r="J163" s="1">
        <f t="shared" si="39"/>
        <v>2.1705462213677049</v>
      </c>
      <c r="K163" s="1">
        <f t="shared" si="40"/>
        <v>0.46071352462141069</v>
      </c>
    </row>
    <row r="164" spans="1:11" x14ac:dyDescent="0.25">
      <c r="B164" s="1">
        <v>2.5</v>
      </c>
      <c r="C164" s="1">
        <v>3.2</v>
      </c>
      <c r="D164" s="1">
        <v>2.3999999999999998E-3</v>
      </c>
      <c r="E164">
        <f t="shared" si="41"/>
        <v>8.9999999999999998E-4</v>
      </c>
      <c r="F164" s="1">
        <v>0.2</v>
      </c>
      <c r="G164">
        <f t="shared" si="37"/>
        <v>0.97364718061516808</v>
      </c>
      <c r="H164" s="1">
        <v>0.3</v>
      </c>
      <c r="I164" s="1">
        <f t="shared" si="38"/>
        <v>1.5</v>
      </c>
      <c r="J164" s="1">
        <f t="shared" si="39"/>
        <v>1.8990530264306178</v>
      </c>
      <c r="K164" s="1">
        <f t="shared" si="40"/>
        <v>0.526578239829121</v>
      </c>
    </row>
    <row r="165" spans="1:11" x14ac:dyDescent="0.25">
      <c r="B165" s="1">
        <v>2.5</v>
      </c>
      <c r="C165" s="1">
        <v>3.2</v>
      </c>
      <c r="D165" s="1">
        <v>2.3999999999999998E-3</v>
      </c>
      <c r="E165" s="13">
        <v>1.1000000000000001E-3</v>
      </c>
      <c r="F165" s="1">
        <v>0.2</v>
      </c>
      <c r="G165">
        <f t="shared" si="37"/>
        <v>0.99152420096469884</v>
      </c>
      <c r="H165" s="1">
        <v>0.3</v>
      </c>
      <c r="I165" s="1">
        <f t="shared" si="38"/>
        <v>1.8333333333333337</v>
      </c>
      <c r="J165" s="1">
        <f t="shared" si="39"/>
        <v>1.6265669406752892</v>
      </c>
      <c r="K165" s="1">
        <f t="shared" si="40"/>
        <v>0.61479178937747114</v>
      </c>
    </row>
    <row r="167" spans="1:11" x14ac:dyDescent="0.25">
      <c r="A167" s="10" t="s">
        <v>43</v>
      </c>
      <c r="B167" s="2" t="s">
        <v>55</v>
      </c>
      <c r="C167" s="2" t="s">
        <v>56</v>
      </c>
      <c r="D167" s="2" t="s">
        <v>57</v>
      </c>
      <c r="E167" s="2" t="s">
        <v>58</v>
      </c>
      <c r="F167" s="2" t="s">
        <v>59</v>
      </c>
      <c r="G167" s="2" t="s">
        <v>60</v>
      </c>
      <c r="H167" s="2" t="s">
        <v>61</v>
      </c>
      <c r="I167" s="2" t="s">
        <v>62</v>
      </c>
      <c r="J167" s="2" t="s">
        <v>119</v>
      </c>
    </row>
    <row r="168" spans="1:11" x14ac:dyDescent="0.25">
      <c r="B168" s="1">
        <v>5300</v>
      </c>
      <c r="C168" s="1">
        <v>5800</v>
      </c>
      <c r="D168" s="1">
        <v>2.3999999999999998E-3</v>
      </c>
      <c r="E168">
        <v>-1.1000000000000001E-3</v>
      </c>
      <c r="F168" s="1">
        <v>0.2</v>
      </c>
      <c r="G168">
        <f>(0.5+E168/D168)^F168</f>
        <v>0.52961192052440587</v>
      </c>
      <c r="H168" s="1">
        <v>0.3</v>
      </c>
      <c r="I168" s="1">
        <f>4*ABS(E168)/D168</f>
        <v>1.8333333333333337</v>
      </c>
      <c r="J168" s="1">
        <f>(C168-B168)*G168+B168-(B168+C168)*(H168/2)*I168</f>
        <v>2512.3059602622029</v>
      </c>
    </row>
    <row r="169" spans="1:11" x14ac:dyDescent="0.25">
      <c r="B169" s="1">
        <v>5300</v>
      </c>
      <c r="C169" s="1">
        <v>5800</v>
      </c>
      <c r="D169" s="1">
        <v>2.3999999999999998E-3</v>
      </c>
      <c r="E169">
        <f>-0.001+0.0001</f>
        <v>-8.9999999999999998E-4</v>
      </c>
      <c r="F169" s="1">
        <v>0.2</v>
      </c>
      <c r="G169">
        <f t="shared" ref="G169:G179" si="42">(0.5+E169/D169)^F169</f>
        <v>0.6597539553864471</v>
      </c>
      <c r="H169" s="1">
        <v>0.3</v>
      </c>
      <c r="I169" s="1">
        <f t="shared" ref="I169:I179" si="43">4*ABS(E169)/D169</f>
        <v>1.5</v>
      </c>
      <c r="J169" s="1">
        <f t="shared" ref="J169:J179" si="44">(C169-B169)*G169+B169-(B169+C169)*(H169/2)*I169</f>
        <v>3132.3769776932231</v>
      </c>
    </row>
    <row r="170" spans="1:11" x14ac:dyDescent="0.25">
      <c r="B170" s="1">
        <v>5300</v>
      </c>
      <c r="C170" s="1">
        <v>5800</v>
      </c>
      <c r="D170" s="1">
        <v>2.3999999999999998E-3</v>
      </c>
      <c r="E170">
        <f>E169+0.0002</f>
        <v>-6.9999999999999999E-4</v>
      </c>
      <c r="F170" s="1">
        <v>0.2</v>
      </c>
      <c r="G170">
        <f t="shared" si="42"/>
        <v>0.73072127581096269</v>
      </c>
      <c r="H170" s="1">
        <v>0.3</v>
      </c>
      <c r="I170" s="1">
        <f t="shared" si="43"/>
        <v>1.1666666666666667</v>
      </c>
      <c r="J170" s="1">
        <f t="shared" si="44"/>
        <v>3722.8606379054818</v>
      </c>
    </row>
    <row r="171" spans="1:11" x14ac:dyDescent="0.25">
      <c r="B171" s="1">
        <v>5300</v>
      </c>
      <c r="C171" s="1">
        <v>5800</v>
      </c>
      <c r="D171" s="1">
        <v>2.3999999999999998E-3</v>
      </c>
      <c r="E171">
        <f t="shared" ref="E171:E178" si="45">E170+0.0002</f>
        <v>-5.0000000000000001E-4</v>
      </c>
      <c r="F171" s="1">
        <v>0.2</v>
      </c>
      <c r="G171">
        <f t="shared" si="42"/>
        <v>0.78158705837046538</v>
      </c>
      <c r="H171" s="1">
        <v>0.3</v>
      </c>
      <c r="I171" s="1">
        <f t="shared" si="43"/>
        <v>0.83333333333333337</v>
      </c>
      <c r="J171" s="1">
        <f t="shared" si="44"/>
        <v>4303.2935291852327</v>
      </c>
    </row>
    <row r="172" spans="1:11" x14ac:dyDescent="0.25">
      <c r="B172" s="1">
        <v>5300</v>
      </c>
      <c r="C172" s="1">
        <v>5800</v>
      </c>
      <c r="D172" s="1">
        <v>2.3999999999999998E-3</v>
      </c>
      <c r="E172">
        <f t="shared" si="45"/>
        <v>-3.0000000000000003E-4</v>
      </c>
      <c r="F172" s="1">
        <v>0.2</v>
      </c>
      <c r="G172">
        <f t="shared" si="42"/>
        <v>0.82187591475861288</v>
      </c>
      <c r="H172" s="1">
        <v>0.3</v>
      </c>
      <c r="I172" s="1">
        <f t="shared" si="43"/>
        <v>0.50000000000000011</v>
      </c>
      <c r="J172" s="1">
        <f t="shared" si="44"/>
        <v>4878.4379573793067</v>
      </c>
    </row>
    <row r="173" spans="1:11" x14ac:dyDescent="0.25">
      <c r="B173" s="1">
        <v>5300</v>
      </c>
      <c r="C173" s="1">
        <v>5800</v>
      </c>
      <c r="D173" s="1">
        <v>2.3999999999999998E-3</v>
      </c>
      <c r="E173">
        <f t="shared" si="45"/>
        <v>-1.0000000000000002E-4</v>
      </c>
      <c r="F173" s="1">
        <v>0.2</v>
      </c>
      <c r="G173">
        <f t="shared" si="42"/>
        <v>0.85553205972744928</v>
      </c>
      <c r="H173" s="1">
        <v>0.3</v>
      </c>
      <c r="I173" s="1">
        <f t="shared" si="43"/>
        <v>0.16666666666666671</v>
      </c>
      <c r="J173" s="1">
        <f t="shared" si="44"/>
        <v>5450.2660298637247</v>
      </c>
    </row>
    <row r="174" spans="1:11" x14ac:dyDescent="0.25">
      <c r="B174" s="1">
        <v>5300</v>
      </c>
      <c r="C174" s="1">
        <v>5800</v>
      </c>
      <c r="D174" s="1">
        <v>2.3999999999999998E-3</v>
      </c>
      <c r="E174">
        <f t="shared" si="45"/>
        <v>9.9999999999999991E-5</v>
      </c>
      <c r="F174" s="1">
        <v>0.2</v>
      </c>
      <c r="G174">
        <f t="shared" si="42"/>
        <v>0.88459895526203525</v>
      </c>
      <c r="H174" s="1">
        <v>0.3</v>
      </c>
      <c r="I174" s="1">
        <f t="shared" si="43"/>
        <v>0.16666666666666666</v>
      </c>
      <c r="J174" s="1">
        <f t="shared" si="44"/>
        <v>5464.7994776310179</v>
      </c>
    </row>
    <row r="175" spans="1:11" x14ac:dyDescent="0.25">
      <c r="B175" s="1">
        <v>5300</v>
      </c>
      <c r="C175" s="1">
        <v>5800</v>
      </c>
      <c r="D175" s="1">
        <v>2.3999999999999998E-3</v>
      </c>
      <c r="E175">
        <f t="shared" si="45"/>
        <v>3.0000000000000003E-4</v>
      </c>
      <c r="F175" s="1">
        <v>0.2</v>
      </c>
      <c r="G175">
        <f t="shared" si="42"/>
        <v>0.91028210151304012</v>
      </c>
      <c r="H175" s="1">
        <v>0.3</v>
      </c>
      <c r="I175" s="1">
        <f t="shared" si="43"/>
        <v>0.50000000000000011</v>
      </c>
      <c r="J175" s="1">
        <f t="shared" si="44"/>
        <v>4922.6410507565197</v>
      </c>
    </row>
    <row r="176" spans="1:11" x14ac:dyDescent="0.25">
      <c r="B176" s="1">
        <v>5300</v>
      </c>
      <c r="C176" s="1">
        <v>5800</v>
      </c>
      <c r="D176" s="1">
        <v>2.3999999999999998E-3</v>
      </c>
      <c r="E176">
        <f t="shared" si="45"/>
        <v>5.0000000000000001E-4</v>
      </c>
      <c r="F176" s="1">
        <v>0.2</v>
      </c>
      <c r="G176">
        <f t="shared" si="42"/>
        <v>0.93335645623312335</v>
      </c>
      <c r="H176" s="1">
        <v>0.3</v>
      </c>
      <c r="I176" s="1">
        <f t="shared" si="43"/>
        <v>0.83333333333333337</v>
      </c>
      <c r="J176" s="1">
        <f t="shared" si="44"/>
        <v>4379.1782281165615</v>
      </c>
    </row>
    <row r="177" spans="1:28" x14ac:dyDescent="0.25">
      <c r="B177" s="1">
        <v>5300</v>
      </c>
      <c r="C177" s="1">
        <v>5800</v>
      </c>
      <c r="D177" s="1">
        <v>2.3999999999999998E-3</v>
      </c>
      <c r="E177">
        <f t="shared" si="45"/>
        <v>6.9999999999999999E-4</v>
      </c>
      <c r="F177" s="1">
        <v>0.2</v>
      </c>
      <c r="G177">
        <f t="shared" si="42"/>
        <v>0.95435174481100715</v>
      </c>
      <c r="H177" s="1">
        <v>0.3</v>
      </c>
      <c r="I177" s="1">
        <f t="shared" si="43"/>
        <v>1.1666666666666667</v>
      </c>
      <c r="J177" s="1">
        <f t="shared" si="44"/>
        <v>3834.6758724055035</v>
      </c>
    </row>
    <row r="178" spans="1:28" x14ac:dyDescent="0.25">
      <c r="B178" s="1">
        <v>5300</v>
      </c>
      <c r="C178" s="1">
        <v>5800</v>
      </c>
      <c r="D178" s="1">
        <v>2.3999999999999998E-3</v>
      </c>
      <c r="E178">
        <f t="shared" si="45"/>
        <v>8.9999999999999998E-4</v>
      </c>
      <c r="F178" s="1">
        <v>0.2</v>
      </c>
      <c r="G178">
        <f t="shared" si="42"/>
        <v>0.97364718061516808</v>
      </c>
      <c r="H178" s="1">
        <v>0.3</v>
      </c>
      <c r="I178" s="1">
        <f t="shared" si="43"/>
        <v>1.5</v>
      </c>
      <c r="J178" s="1">
        <f t="shared" si="44"/>
        <v>3289.3235903075838</v>
      </c>
    </row>
    <row r="179" spans="1:28" x14ac:dyDescent="0.25">
      <c r="B179" s="1">
        <v>5300</v>
      </c>
      <c r="C179" s="1">
        <v>5800</v>
      </c>
      <c r="D179" s="1">
        <v>2.3999999999999998E-3</v>
      </c>
      <c r="E179" s="13">
        <v>1.1000000000000001E-3</v>
      </c>
      <c r="F179" s="1">
        <v>0.2</v>
      </c>
      <c r="G179">
        <f t="shared" si="42"/>
        <v>0.99152420096469884</v>
      </c>
      <c r="H179" s="1">
        <v>0.3</v>
      </c>
      <c r="I179" s="1">
        <f t="shared" si="43"/>
        <v>1.8333333333333337</v>
      </c>
      <c r="J179" s="1">
        <f t="shared" si="44"/>
        <v>2743.2621004823491</v>
      </c>
    </row>
    <row r="180" spans="1:28" x14ac:dyDescent="0.25">
      <c r="B180" s="1"/>
      <c r="C180" s="1"/>
      <c r="D180" s="1"/>
      <c r="E180" s="13"/>
      <c r="F180" s="1"/>
      <c r="H180" s="1"/>
      <c r="I180" s="1"/>
      <c r="J180" s="1"/>
    </row>
    <row r="181" spans="1:28" x14ac:dyDescent="0.25">
      <c r="B181" s="1"/>
      <c r="C181" s="1"/>
      <c r="D181" s="1"/>
      <c r="E181" s="13"/>
      <c r="F181" s="1"/>
      <c r="H181" s="1"/>
      <c r="I181" s="1"/>
      <c r="J181" s="1"/>
    </row>
    <row r="182" spans="1:28" x14ac:dyDescent="0.25">
      <c r="B182" s="1"/>
      <c r="C182" s="1"/>
      <c r="D182" s="1"/>
      <c r="E182" s="13"/>
      <c r="F182" s="1"/>
      <c r="H182" s="1"/>
      <c r="I182" s="1"/>
      <c r="J182" s="1"/>
    </row>
    <row r="183" spans="1:28" x14ac:dyDescent="0.25">
      <c r="A183" s="15" t="s">
        <v>235</v>
      </c>
      <c r="C183" s="10" t="s">
        <v>27</v>
      </c>
      <c r="D183" s="10" t="s">
        <v>28</v>
      </c>
      <c r="E183" s="10" t="s">
        <v>29</v>
      </c>
      <c r="F183" s="10" t="s">
        <v>30</v>
      </c>
      <c r="G183" s="10" t="s">
        <v>31</v>
      </c>
      <c r="H183" s="10" t="s">
        <v>47</v>
      </c>
      <c r="I183" s="10" t="s">
        <v>32</v>
      </c>
      <c r="J183" s="10" t="s">
        <v>33</v>
      </c>
      <c r="K183" s="10" t="s">
        <v>34</v>
      </c>
      <c r="L183" s="10" t="s">
        <v>35</v>
      </c>
      <c r="M183" s="10" t="s">
        <v>36</v>
      </c>
      <c r="N183" s="10" t="s">
        <v>37</v>
      </c>
      <c r="O183" s="10" t="s">
        <v>38</v>
      </c>
      <c r="P183" s="10" t="s">
        <v>39</v>
      </c>
      <c r="Q183" s="10" t="s">
        <v>40</v>
      </c>
      <c r="R183" s="10" t="s">
        <v>41</v>
      </c>
      <c r="S183" s="10" t="s">
        <v>42</v>
      </c>
      <c r="T183" s="10" t="s">
        <v>48</v>
      </c>
      <c r="U183" s="10" t="s">
        <v>77</v>
      </c>
      <c r="V183" s="10" t="s">
        <v>78</v>
      </c>
      <c r="W183" s="10" t="s">
        <v>79</v>
      </c>
      <c r="X183" s="10" t="s">
        <v>49</v>
      </c>
      <c r="Y183" s="10" t="s">
        <v>43</v>
      </c>
      <c r="Z183" s="10" t="s">
        <v>44</v>
      </c>
      <c r="AA183" s="10" t="s">
        <v>45</v>
      </c>
      <c r="AB183" s="10" t="s">
        <v>46</v>
      </c>
    </row>
    <row r="184" spans="1:28" x14ac:dyDescent="0.25">
      <c r="A184" s="12" t="s">
        <v>234</v>
      </c>
      <c r="B184" t="s">
        <v>14</v>
      </c>
      <c r="C184" s="11">
        <v>1</v>
      </c>
      <c r="D184" s="5">
        <v>66665930696.217545</v>
      </c>
      <c r="E184" s="5">
        <v>66665930696.217545</v>
      </c>
      <c r="F184" s="5">
        <v>0.18334774487981753</v>
      </c>
      <c r="G184" s="5">
        <v>0</v>
      </c>
      <c r="H184" s="5">
        <v>25983333333.333328</v>
      </c>
      <c r="I184" s="5">
        <v>32569999999.999996</v>
      </c>
      <c r="J184" s="5">
        <v>32569999999.999996</v>
      </c>
      <c r="K184" s="5">
        <v>-6.5200985065141389E-11</v>
      </c>
      <c r="L184" s="5">
        <v>-6.5200985065141389E-11</v>
      </c>
      <c r="M184" s="5">
        <v>0</v>
      </c>
      <c r="N184" s="5">
        <v>2.0000000000000001E-4</v>
      </c>
      <c r="O184" s="5">
        <v>-25.380952380952383</v>
      </c>
      <c r="P184" s="5">
        <v>-25.380952380952383</v>
      </c>
      <c r="Q184" s="5">
        <v>1.2016987037037039E-8</v>
      </c>
      <c r="R184" s="5">
        <v>0</v>
      </c>
      <c r="S184" s="5">
        <v>-2.0616666666666675E-5</v>
      </c>
      <c r="T184" s="5">
        <v>1.0988333333333331E-5</v>
      </c>
      <c r="U184" s="5">
        <v>1.0988333333333331E-5</v>
      </c>
      <c r="V184" s="5">
        <v>0</v>
      </c>
      <c r="W184" s="5">
        <v>0</v>
      </c>
      <c r="X184" s="5">
        <v>2.1549999999999998</v>
      </c>
      <c r="Y184" s="5">
        <v>3764.9999999999995</v>
      </c>
      <c r="Z184" s="5">
        <v>-1.1999999999999999E-3</v>
      </c>
      <c r="AA184" s="5">
        <v>-1E-3</v>
      </c>
      <c r="AB184" s="4">
        <v>2</v>
      </c>
    </row>
    <row r="185" spans="1:28" x14ac:dyDescent="0.25">
      <c r="C185" s="4">
        <v>2</v>
      </c>
      <c r="D185" s="5">
        <v>75696000547.613037</v>
      </c>
      <c r="E185" s="5">
        <v>75696000547.613037</v>
      </c>
      <c r="F185" s="5">
        <v>0.20584695955722096</v>
      </c>
      <c r="G185" s="5">
        <v>0</v>
      </c>
      <c r="H185" s="5">
        <v>29350000000</v>
      </c>
      <c r="I185" s="5">
        <v>36030000000</v>
      </c>
      <c r="J185" s="5">
        <v>36030000000</v>
      </c>
      <c r="K185" s="5">
        <v>-6.7862249761677768E-11</v>
      </c>
      <c r="L185" s="5">
        <v>-6.7862249761677768E-11</v>
      </c>
      <c r="M185" s="5">
        <v>0</v>
      </c>
      <c r="N185" s="5">
        <v>2.0000000000000001E-4</v>
      </c>
      <c r="O185" s="5">
        <v>-20.766233766233764</v>
      </c>
      <c r="P185" s="5">
        <v>-20.766233766233764</v>
      </c>
      <c r="Q185" s="5">
        <v>1.2511272222222223E-8</v>
      </c>
      <c r="R185" s="5">
        <v>0</v>
      </c>
      <c r="S185" s="5">
        <v>-1.505E-5</v>
      </c>
      <c r="T185" s="5">
        <v>1.1844999999999999E-5</v>
      </c>
      <c r="U185" s="5">
        <v>1.1844999999999999E-5</v>
      </c>
      <c r="V185" s="5">
        <v>0</v>
      </c>
      <c r="W185" s="5">
        <v>0</v>
      </c>
      <c r="X185" s="5">
        <v>2.3450000000000002</v>
      </c>
      <c r="Y185" s="5">
        <v>4135</v>
      </c>
      <c r="Z185" s="5">
        <f t="shared" ref="Z185:AA185" si="46">Z184+0.0002</f>
        <v>-9.999999999999998E-4</v>
      </c>
      <c r="AA185" s="5">
        <f t="shared" si="46"/>
        <v>-8.0000000000000004E-4</v>
      </c>
      <c r="AB185" s="4">
        <v>2</v>
      </c>
    </row>
    <row r="186" spans="1:28" x14ac:dyDescent="0.25">
      <c r="C186" s="4">
        <v>3</v>
      </c>
      <c r="D186" s="5">
        <v>84726070399.00853</v>
      </c>
      <c r="E186" s="5">
        <v>84726070399.00853</v>
      </c>
      <c r="F186" s="5">
        <v>0.22834617423462436</v>
      </c>
      <c r="G186" s="5">
        <v>0</v>
      </c>
      <c r="H186" s="5">
        <v>32716666666.666664</v>
      </c>
      <c r="I186" s="5">
        <v>39490000000</v>
      </c>
      <c r="J186" s="5">
        <v>39490000000</v>
      </c>
      <c r="K186" s="5">
        <v>-7.0523514458214159E-11</v>
      </c>
      <c r="L186" s="5">
        <v>-7.0523514458214159E-11</v>
      </c>
      <c r="M186" s="5">
        <v>0</v>
      </c>
      <c r="N186" s="5">
        <v>2.0000000000000001E-4</v>
      </c>
      <c r="O186" s="5">
        <v>-16.151515151515152</v>
      </c>
      <c r="P186" s="5">
        <v>-16.151515151515152</v>
      </c>
      <c r="Q186" s="5">
        <v>1.3005557407407408E-8</v>
      </c>
      <c r="R186" s="5">
        <v>0</v>
      </c>
      <c r="S186" s="5">
        <v>-9.4833333333333346E-6</v>
      </c>
      <c r="T186" s="5">
        <v>1.2701666666666664E-5</v>
      </c>
      <c r="U186" s="5">
        <v>1.2701666666666664E-5</v>
      </c>
      <c r="V186" s="5">
        <v>0</v>
      </c>
      <c r="W186" s="5">
        <v>0</v>
      </c>
      <c r="X186" s="5">
        <v>2.5350000000000001</v>
      </c>
      <c r="Y186" s="5">
        <v>4505</v>
      </c>
      <c r="Z186" s="5">
        <f t="shared" ref="Z186:AA186" si="47">Z185+0.0002</f>
        <v>-7.9999999999999982E-4</v>
      </c>
      <c r="AA186" s="5">
        <f t="shared" si="47"/>
        <v>-6.0000000000000006E-4</v>
      </c>
      <c r="AB186" s="4">
        <v>2</v>
      </c>
    </row>
    <row r="187" spans="1:28" x14ac:dyDescent="0.25">
      <c r="C187" s="4">
        <v>4</v>
      </c>
      <c r="D187" s="5">
        <v>93756140250.404022</v>
      </c>
      <c r="E187" s="5">
        <v>93756140250.404022</v>
      </c>
      <c r="F187" s="5">
        <v>0.25084538891202779</v>
      </c>
      <c r="G187" s="5">
        <v>0</v>
      </c>
      <c r="H187" s="5">
        <v>36083333333.333336</v>
      </c>
      <c r="I187" s="5">
        <v>42950000000</v>
      </c>
      <c r="J187" s="5">
        <v>42950000000</v>
      </c>
      <c r="K187" s="5">
        <v>-7.3184779154750538E-11</v>
      </c>
      <c r="L187" s="5">
        <v>-7.3184779154750538E-11</v>
      </c>
      <c r="M187" s="5">
        <v>0</v>
      </c>
      <c r="N187" s="5">
        <v>2.0000000000000001E-4</v>
      </c>
      <c r="O187" s="5">
        <v>-11.536796536796537</v>
      </c>
      <c r="P187" s="5">
        <v>-11.536796536796537</v>
      </c>
      <c r="Q187" s="5">
        <v>1.3499842592592594E-8</v>
      </c>
      <c r="R187" s="5">
        <v>0</v>
      </c>
      <c r="S187" s="5">
        <v>-3.9166666666666676E-6</v>
      </c>
      <c r="T187" s="5">
        <v>1.3558333333333332E-5</v>
      </c>
      <c r="U187" s="5">
        <v>1.3558333333333332E-5</v>
      </c>
      <c r="V187" s="5">
        <v>0</v>
      </c>
      <c r="W187" s="5">
        <v>0</v>
      </c>
      <c r="X187" s="5">
        <v>2.7250000000000001</v>
      </c>
      <c r="Y187" s="5">
        <v>4875</v>
      </c>
      <c r="Z187" s="5">
        <f t="shared" ref="Z187:AA187" si="48">Z186+0.0002</f>
        <v>-5.9999999999999984E-4</v>
      </c>
      <c r="AA187" s="5">
        <f t="shared" si="48"/>
        <v>-4.0000000000000007E-4</v>
      </c>
      <c r="AB187" s="4">
        <v>2</v>
      </c>
    </row>
    <row r="188" spans="1:28" x14ac:dyDescent="0.25">
      <c r="C188" s="4">
        <v>5</v>
      </c>
      <c r="D188" s="5">
        <v>102786210101.7995</v>
      </c>
      <c r="E188" s="5">
        <v>102786210101.7995</v>
      </c>
      <c r="F188" s="5">
        <v>0.27334460358943119</v>
      </c>
      <c r="G188" s="5">
        <v>0</v>
      </c>
      <c r="H188" s="5">
        <v>39450000000</v>
      </c>
      <c r="I188" s="5">
        <v>46410000000</v>
      </c>
      <c r="J188" s="5">
        <v>46410000000</v>
      </c>
      <c r="K188" s="5">
        <v>-7.5846043851286916E-11</v>
      </c>
      <c r="L188" s="5">
        <v>-7.5846043851286916E-11</v>
      </c>
      <c r="M188" s="5">
        <v>0</v>
      </c>
      <c r="N188" s="5">
        <v>2.0000000000000001E-4</v>
      </c>
      <c r="O188" s="5">
        <v>-6.9220779220779232</v>
      </c>
      <c r="P188" s="5">
        <v>-6.9220779220779232</v>
      </c>
      <c r="Q188" s="5">
        <v>1.3994127777777778E-8</v>
      </c>
      <c r="R188" s="5">
        <v>0</v>
      </c>
      <c r="S188" s="5">
        <v>1.6499999999999978E-6</v>
      </c>
      <c r="T188" s="5">
        <v>1.4414999999999998E-5</v>
      </c>
      <c r="U188" s="5">
        <v>1.4414999999999998E-5</v>
      </c>
      <c r="V188" s="5">
        <v>0</v>
      </c>
      <c r="W188" s="5">
        <v>0</v>
      </c>
      <c r="X188" s="5">
        <v>2.915</v>
      </c>
      <c r="Y188" s="5">
        <v>5245</v>
      </c>
      <c r="Z188" s="5">
        <f t="shared" ref="Z188:AA188" si="49">Z187+0.0002</f>
        <v>-3.9999999999999986E-4</v>
      </c>
      <c r="AA188" s="5">
        <f t="shared" si="49"/>
        <v>-2.0000000000000006E-4</v>
      </c>
      <c r="AB188" s="4">
        <v>2</v>
      </c>
    </row>
    <row r="189" spans="1:28" x14ac:dyDescent="0.25">
      <c r="C189" s="4">
        <v>6</v>
      </c>
      <c r="D189" s="5">
        <v>111816279953.19501</v>
      </c>
      <c r="E189" s="5">
        <v>111816279953.19501</v>
      </c>
      <c r="F189" s="5">
        <v>0.29584381826683459</v>
      </c>
      <c r="G189" s="5">
        <v>0</v>
      </c>
      <c r="H189" s="5">
        <v>42816666666.666664</v>
      </c>
      <c r="I189" s="5">
        <v>49870000000</v>
      </c>
      <c r="J189" s="5">
        <v>49870000000</v>
      </c>
      <c r="K189" s="5">
        <v>-7.8507308547823308E-11</v>
      </c>
      <c r="L189" s="5">
        <v>-7.8507308547823308E-11</v>
      </c>
      <c r="M189" s="5">
        <v>0</v>
      </c>
      <c r="N189" s="5">
        <v>2.0000000000000001E-4</v>
      </c>
      <c r="O189" s="5">
        <v>-2.3073593073593077</v>
      </c>
      <c r="P189" s="5">
        <v>-2.3073593073593077</v>
      </c>
      <c r="Q189" s="5">
        <v>1.4488412962962965E-8</v>
      </c>
      <c r="R189" s="5">
        <v>0</v>
      </c>
      <c r="S189" s="5">
        <v>7.2166666666666648E-6</v>
      </c>
      <c r="T189" s="5">
        <v>1.5271666666666665E-5</v>
      </c>
      <c r="U189" s="5">
        <v>1.5271666666666665E-5</v>
      </c>
      <c r="V189" s="5">
        <v>0</v>
      </c>
      <c r="W189" s="5">
        <v>0</v>
      </c>
      <c r="X189" s="5">
        <v>3.105</v>
      </c>
      <c r="Y189" s="5">
        <v>5615</v>
      </c>
      <c r="Z189" s="5">
        <f t="shared" ref="Z189:AA189" si="50">Z188+0.0002</f>
        <v>-1.9999999999999985E-4</v>
      </c>
      <c r="AA189" s="5">
        <f t="shared" si="50"/>
        <v>0</v>
      </c>
      <c r="AB189" s="4">
        <v>2</v>
      </c>
    </row>
    <row r="190" spans="1:28" x14ac:dyDescent="0.25">
      <c r="C190" s="4">
        <v>7</v>
      </c>
      <c r="D190" s="5">
        <v>111816279953.19501</v>
      </c>
      <c r="E190" s="5">
        <v>111816279953.19501</v>
      </c>
      <c r="F190" s="5">
        <v>0.29584381826683459</v>
      </c>
      <c r="G190" s="5">
        <v>0</v>
      </c>
      <c r="H190" s="5">
        <v>42816666666.666664</v>
      </c>
      <c r="I190" s="5">
        <v>49870000000</v>
      </c>
      <c r="J190" s="5">
        <v>49870000000</v>
      </c>
      <c r="K190" s="5">
        <v>-7.8507308547823308E-11</v>
      </c>
      <c r="L190" s="5">
        <v>-7.8507308547823308E-11</v>
      </c>
      <c r="M190" s="5">
        <v>0</v>
      </c>
      <c r="N190" s="5">
        <v>2.0000000000000001E-4</v>
      </c>
      <c r="O190" s="5">
        <v>-2.3073593073593068</v>
      </c>
      <c r="P190" s="5">
        <v>-2.3073593073593068</v>
      </c>
      <c r="Q190" s="5">
        <v>1.4488412962962965E-8</v>
      </c>
      <c r="R190" s="5">
        <v>0</v>
      </c>
      <c r="S190" s="5">
        <v>7.2166666666666665E-6</v>
      </c>
      <c r="T190" s="5">
        <v>1.5271666666666665E-5</v>
      </c>
      <c r="U190" s="5">
        <v>1.5271666666666665E-5</v>
      </c>
      <c r="V190" s="5">
        <v>0</v>
      </c>
      <c r="W190" s="5">
        <v>0</v>
      </c>
      <c r="X190" s="5">
        <v>3.105</v>
      </c>
      <c r="Y190" s="5">
        <v>5615</v>
      </c>
      <c r="Z190" s="5">
        <f t="shared" ref="Z190:AA190" si="51">Z189+0.0002</f>
        <v>0</v>
      </c>
      <c r="AA190" s="5">
        <f t="shared" si="51"/>
        <v>2.0000000000000001E-4</v>
      </c>
      <c r="AB190" s="4">
        <v>2</v>
      </c>
    </row>
    <row r="191" spans="1:28" x14ac:dyDescent="0.25">
      <c r="C191" s="4">
        <v>8</v>
      </c>
      <c r="D191" s="5">
        <v>102786210101.7995</v>
      </c>
      <c r="E191" s="5">
        <v>102786210101.7995</v>
      </c>
      <c r="F191" s="5">
        <v>0.27334460358943119</v>
      </c>
      <c r="G191" s="5">
        <v>0</v>
      </c>
      <c r="H191" s="5">
        <v>39450000000</v>
      </c>
      <c r="I191" s="5">
        <v>46410000000</v>
      </c>
      <c r="J191" s="5">
        <v>46410000000</v>
      </c>
      <c r="K191" s="5">
        <v>-7.5846043851286916E-11</v>
      </c>
      <c r="L191" s="5">
        <v>-7.5846043851286916E-11</v>
      </c>
      <c r="M191" s="5">
        <v>0</v>
      </c>
      <c r="N191" s="5">
        <v>2.0000000000000001E-4</v>
      </c>
      <c r="O191" s="5">
        <v>-6.9220779220779232</v>
      </c>
      <c r="P191" s="5">
        <v>-6.9220779220779232</v>
      </c>
      <c r="Q191" s="5">
        <v>1.3994127777777778E-8</v>
      </c>
      <c r="R191" s="5">
        <v>0</v>
      </c>
      <c r="S191" s="5">
        <v>1.6499999999999978E-6</v>
      </c>
      <c r="T191" s="5">
        <v>1.4414999999999998E-5</v>
      </c>
      <c r="U191" s="5">
        <v>1.4414999999999998E-5</v>
      </c>
      <c r="V191" s="5">
        <v>0</v>
      </c>
      <c r="W191" s="5">
        <v>0</v>
      </c>
      <c r="X191" s="5">
        <v>2.915</v>
      </c>
      <c r="Y191" s="5">
        <v>5245</v>
      </c>
      <c r="Z191" s="5">
        <f t="shared" ref="Z191:AA191" si="52">Z190+0.0002</f>
        <v>2.0000000000000001E-4</v>
      </c>
      <c r="AA191" s="5">
        <f t="shared" si="52"/>
        <v>4.0000000000000002E-4</v>
      </c>
      <c r="AB191" s="4">
        <v>2</v>
      </c>
    </row>
    <row r="192" spans="1:28" x14ac:dyDescent="0.25">
      <c r="C192" s="4">
        <v>9</v>
      </c>
      <c r="D192" s="5">
        <v>93756140250.404022</v>
      </c>
      <c r="E192" s="5">
        <v>93756140250.404022</v>
      </c>
      <c r="F192" s="5">
        <v>0.25084538891202779</v>
      </c>
      <c r="G192" s="5">
        <v>0</v>
      </c>
      <c r="H192" s="5">
        <v>36083333333.333336</v>
      </c>
      <c r="I192" s="5">
        <v>42950000000</v>
      </c>
      <c r="J192" s="5">
        <v>42950000000</v>
      </c>
      <c r="K192" s="5">
        <v>-7.3184779154750538E-11</v>
      </c>
      <c r="L192" s="5">
        <v>-7.3184779154750538E-11</v>
      </c>
      <c r="M192" s="5">
        <v>0</v>
      </c>
      <c r="N192" s="5">
        <v>2.0000000000000001E-4</v>
      </c>
      <c r="O192" s="5">
        <v>-11.536796536796537</v>
      </c>
      <c r="P192" s="5">
        <v>-11.536796536796537</v>
      </c>
      <c r="Q192" s="5">
        <v>1.3499842592592594E-8</v>
      </c>
      <c r="R192" s="5">
        <v>0</v>
      </c>
      <c r="S192" s="5">
        <v>-3.9166666666666676E-6</v>
      </c>
      <c r="T192" s="5">
        <v>1.3558333333333332E-5</v>
      </c>
      <c r="U192" s="5">
        <v>1.3558333333333332E-5</v>
      </c>
      <c r="V192" s="5">
        <v>0</v>
      </c>
      <c r="W192" s="5">
        <v>0</v>
      </c>
      <c r="X192" s="5">
        <v>2.7250000000000001</v>
      </c>
      <c r="Y192" s="5">
        <v>4875</v>
      </c>
      <c r="Z192" s="5">
        <f t="shared" ref="Z192:AA192" si="53">Z191+0.0002</f>
        <v>4.0000000000000002E-4</v>
      </c>
      <c r="AA192" s="5">
        <f t="shared" si="53"/>
        <v>6.0000000000000006E-4</v>
      </c>
      <c r="AB192" s="4">
        <v>2</v>
      </c>
    </row>
    <row r="193" spans="1:28" x14ac:dyDescent="0.25">
      <c r="C193" s="4">
        <v>10</v>
      </c>
      <c r="D193" s="5">
        <v>84726070399.00853</v>
      </c>
      <c r="E193" s="5">
        <v>84726070399.00853</v>
      </c>
      <c r="F193" s="5">
        <v>0.22834617423462436</v>
      </c>
      <c r="G193" s="5">
        <v>0</v>
      </c>
      <c r="H193" s="5">
        <v>32716666666.666664</v>
      </c>
      <c r="I193" s="5">
        <v>39490000000</v>
      </c>
      <c r="J193" s="5">
        <v>39490000000</v>
      </c>
      <c r="K193" s="5">
        <v>-7.0523514458214159E-11</v>
      </c>
      <c r="L193" s="5">
        <v>-7.0523514458214159E-11</v>
      </c>
      <c r="M193" s="5">
        <v>0</v>
      </c>
      <c r="N193" s="5">
        <v>2.0000000000000001E-4</v>
      </c>
      <c r="O193" s="5">
        <v>-16.151515151515152</v>
      </c>
      <c r="P193" s="5">
        <v>-16.151515151515152</v>
      </c>
      <c r="Q193" s="5">
        <v>1.3005557407407408E-8</v>
      </c>
      <c r="R193" s="5">
        <v>0</v>
      </c>
      <c r="S193" s="5">
        <v>-9.4833333333333346E-6</v>
      </c>
      <c r="T193" s="5">
        <v>1.2701666666666664E-5</v>
      </c>
      <c r="U193" s="5">
        <v>1.2701666666666664E-5</v>
      </c>
      <c r="V193" s="5">
        <v>0</v>
      </c>
      <c r="W193" s="5">
        <v>0</v>
      </c>
      <c r="X193" s="5">
        <v>2.5350000000000001</v>
      </c>
      <c r="Y193" s="5">
        <v>4505</v>
      </c>
      <c r="Z193" s="5">
        <f t="shared" ref="Z193:AA193" si="54">Z192+0.0002</f>
        <v>6.0000000000000006E-4</v>
      </c>
      <c r="AA193" s="5">
        <f t="shared" si="54"/>
        <v>8.0000000000000004E-4</v>
      </c>
      <c r="AB193" s="4">
        <v>2</v>
      </c>
    </row>
    <row r="194" spans="1:28" x14ac:dyDescent="0.25">
      <c r="C194" s="4">
        <v>11</v>
      </c>
      <c r="D194" s="5">
        <v>75696000547.613037</v>
      </c>
      <c r="E194" s="5">
        <v>75696000547.613037</v>
      </c>
      <c r="F194" s="5">
        <v>0.20584695955722096</v>
      </c>
      <c r="G194" s="5">
        <v>0</v>
      </c>
      <c r="H194" s="5">
        <v>29350000000</v>
      </c>
      <c r="I194" s="5">
        <v>36030000000</v>
      </c>
      <c r="J194" s="5">
        <v>36030000000</v>
      </c>
      <c r="K194" s="5">
        <v>-6.7862249761677768E-11</v>
      </c>
      <c r="L194" s="5">
        <v>-6.7862249761677768E-11</v>
      </c>
      <c r="M194" s="5">
        <v>0</v>
      </c>
      <c r="N194" s="5">
        <v>2.0000000000000001E-4</v>
      </c>
      <c r="O194" s="5">
        <v>-20.766233766233764</v>
      </c>
      <c r="P194" s="5">
        <v>-20.766233766233764</v>
      </c>
      <c r="Q194" s="5">
        <v>1.2511272222222223E-8</v>
      </c>
      <c r="R194" s="5">
        <v>0</v>
      </c>
      <c r="S194" s="5">
        <v>-1.505E-5</v>
      </c>
      <c r="T194" s="5">
        <v>1.1844999999999999E-5</v>
      </c>
      <c r="U194" s="5">
        <v>1.1844999999999999E-5</v>
      </c>
      <c r="V194" s="5">
        <v>0</v>
      </c>
      <c r="W194" s="5">
        <v>0</v>
      </c>
      <c r="X194" s="5">
        <v>2.3450000000000002</v>
      </c>
      <c r="Y194" s="5">
        <v>4135</v>
      </c>
      <c r="Z194" s="5">
        <f t="shared" ref="Z194:AA194" si="55">Z193+0.0002</f>
        <v>8.0000000000000004E-4</v>
      </c>
      <c r="AA194" s="5">
        <f t="shared" si="55"/>
        <v>1E-3</v>
      </c>
      <c r="AB194" s="4">
        <v>2</v>
      </c>
    </row>
    <row r="195" spans="1:28" x14ac:dyDescent="0.25">
      <c r="B195" t="s">
        <v>183</v>
      </c>
      <c r="C195" s="11">
        <v>12</v>
      </c>
      <c r="D195" s="5">
        <v>66665930696.217529</v>
      </c>
      <c r="E195" s="5">
        <v>66665930696.217529</v>
      </c>
      <c r="F195" s="5">
        <v>0.18334774487981753</v>
      </c>
      <c r="G195" s="5">
        <v>0</v>
      </c>
      <c r="H195" s="5">
        <v>25983333333.333328</v>
      </c>
      <c r="I195" s="5">
        <v>32569999999.999996</v>
      </c>
      <c r="J195" s="5">
        <v>32569999999.999996</v>
      </c>
      <c r="K195" s="5">
        <v>-6.5200985065141389E-11</v>
      </c>
      <c r="L195" s="5">
        <v>-6.5200985065141389E-11</v>
      </c>
      <c r="M195" s="5">
        <v>0</v>
      </c>
      <c r="N195" s="5">
        <v>2.0000000000000001E-4</v>
      </c>
      <c r="O195" s="5">
        <v>-25.380952380952383</v>
      </c>
      <c r="P195" s="5">
        <v>-25.380952380952383</v>
      </c>
      <c r="Q195" s="5">
        <v>1.2016987037037039E-8</v>
      </c>
      <c r="R195" s="5">
        <v>0</v>
      </c>
      <c r="S195" s="5">
        <v>-2.0616666666666675E-5</v>
      </c>
      <c r="T195" s="5">
        <v>1.0988333333333331E-5</v>
      </c>
      <c r="U195" s="5">
        <v>1.0988333333333331E-5</v>
      </c>
      <c r="V195" s="5">
        <v>0</v>
      </c>
      <c r="W195" s="5">
        <v>0</v>
      </c>
      <c r="X195" s="5">
        <v>2.1549999999999998</v>
      </c>
      <c r="Y195" s="5">
        <v>3764.9999999999995</v>
      </c>
      <c r="Z195" s="5">
        <f t="shared" ref="Z195:AA195" si="56">Z194+0.0002</f>
        <v>1E-3</v>
      </c>
      <c r="AA195" s="5">
        <f t="shared" si="56"/>
        <v>1.2000000000000001E-3</v>
      </c>
      <c r="AB195" s="4">
        <v>2</v>
      </c>
    </row>
    <row r="196" spans="1:28" x14ac:dyDescent="0.25">
      <c r="B196" s="1"/>
      <c r="C196" s="1"/>
      <c r="D196" s="1"/>
      <c r="E196" s="13"/>
      <c r="F196" s="1"/>
      <c r="H196" s="1"/>
      <c r="I196" s="1"/>
      <c r="J196" s="1"/>
    </row>
    <row r="197" spans="1:28" x14ac:dyDescent="0.25">
      <c r="B197" s="1"/>
      <c r="C197" s="1"/>
      <c r="D197" s="1"/>
      <c r="E197" s="13"/>
      <c r="F197" s="1"/>
      <c r="H197" s="1"/>
      <c r="I197" s="1"/>
      <c r="J197" s="1"/>
    </row>
    <row r="198" spans="1:28" x14ac:dyDescent="0.25">
      <c r="B198" s="1"/>
      <c r="C198" s="1"/>
      <c r="D198" s="1"/>
      <c r="E198" s="13"/>
      <c r="F198" s="1"/>
      <c r="H198" s="1"/>
      <c r="I198" s="1"/>
      <c r="J198" s="1"/>
    </row>
    <row r="199" spans="1:28" x14ac:dyDescent="0.25">
      <c r="B199" s="1"/>
      <c r="C199" s="1"/>
      <c r="D199" s="1"/>
      <c r="E199" s="13"/>
      <c r="F199" s="1"/>
      <c r="H199" s="1"/>
      <c r="I199" s="1"/>
      <c r="J199" s="1"/>
    </row>
    <row r="200" spans="1:28" x14ac:dyDescent="0.25">
      <c r="A200" s="15" t="s">
        <v>235</v>
      </c>
      <c r="C200" s="10" t="s">
        <v>27</v>
      </c>
      <c r="D200" s="10" t="s">
        <v>28</v>
      </c>
      <c r="E200" s="10" t="s">
        <v>29</v>
      </c>
      <c r="F200" s="10" t="s">
        <v>30</v>
      </c>
      <c r="G200" s="10" t="s">
        <v>31</v>
      </c>
      <c r="H200" s="10" t="s">
        <v>47</v>
      </c>
      <c r="I200" s="10" t="s">
        <v>32</v>
      </c>
      <c r="J200" s="10" t="s">
        <v>33</v>
      </c>
      <c r="K200" s="10" t="s">
        <v>34</v>
      </c>
      <c r="L200" s="10" t="s">
        <v>35</v>
      </c>
      <c r="M200" s="10" t="s">
        <v>36</v>
      </c>
      <c r="N200" s="10" t="s">
        <v>37</v>
      </c>
      <c r="O200" s="10" t="s">
        <v>38</v>
      </c>
      <c r="P200" s="10" t="s">
        <v>39</v>
      </c>
      <c r="Q200" s="10" t="s">
        <v>40</v>
      </c>
      <c r="R200" s="10" t="s">
        <v>41</v>
      </c>
      <c r="S200" s="10" t="s">
        <v>42</v>
      </c>
      <c r="T200" s="10" t="s">
        <v>48</v>
      </c>
      <c r="U200" s="10" t="s">
        <v>77</v>
      </c>
      <c r="V200" s="10" t="s">
        <v>78</v>
      </c>
      <c r="W200" s="10" t="s">
        <v>79</v>
      </c>
      <c r="X200" s="10" t="s">
        <v>49</v>
      </c>
      <c r="Y200" s="10" t="s">
        <v>43</v>
      </c>
      <c r="Z200" s="10" t="s">
        <v>44</v>
      </c>
      <c r="AA200" s="10" t="s">
        <v>45</v>
      </c>
      <c r="AB200" s="10" t="s">
        <v>46</v>
      </c>
    </row>
    <row r="201" spans="1:28" x14ac:dyDescent="0.25">
      <c r="A201" s="12" t="s">
        <v>236</v>
      </c>
      <c r="B201" t="s">
        <v>14</v>
      </c>
      <c r="C201" s="11">
        <v>1</v>
      </c>
      <c r="D201" s="5">
        <v>104905396480.29675</v>
      </c>
      <c r="E201" s="5">
        <v>104905396480.29675</v>
      </c>
      <c r="F201" s="5">
        <v>0.24413733399084725</v>
      </c>
      <c r="G201" s="5">
        <v>0</v>
      </c>
      <c r="H201" s="5">
        <v>37983333333.333328</v>
      </c>
      <c r="I201" s="5">
        <v>33169999999.999996</v>
      </c>
      <c r="J201" s="5">
        <v>33169999999.999996</v>
      </c>
      <c r="K201" s="5">
        <v>1.4636955830950111E-11</v>
      </c>
      <c r="L201" s="5">
        <v>1.4636955830950111E-11</v>
      </c>
      <c r="M201" s="5">
        <v>0</v>
      </c>
      <c r="N201" s="5">
        <v>2.0000000000000001E-4</v>
      </c>
      <c r="O201" s="5">
        <v>113.06060606060603</v>
      </c>
      <c r="P201" s="5">
        <v>113.06060606060603</v>
      </c>
      <c r="Q201" s="5">
        <v>-2.6255685185185192E-9</v>
      </c>
      <c r="R201" s="5">
        <v>0</v>
      </c>
      <c r="S201" s="5">
        <v>1.2638333333333331E-4</v>
      </c>
      <c r="T201" s="5">
        <v>5.2883333333333324E-6</v>
      </c>
      <c r="U201" s="5">
        <v>5.2883333333333324E-6</v>
      </c>
      <c r="V201" s="5">
        <v>0</v>
      </c>
      <c r="W201" s="5">
        <v>0</v>
      </c>
      <c r="X201" s="5">
        <v>1.4549999999999996</v>
      </c>
      <c r="Y201" s="5">
        <v>3264.9999999999995</v>
      </c>
      <c r="Z201" s="5">
        <v>-1.1999999999999999E-3</v>
      </c>
      <c r="AA201" s="5">
        <v>-1E-3</v>
      </c>
      <c r="AB201" s="4">
        <v>2</v>
      </c>
    </row>
    <row r="202" spans="1:28" x14ac:dyDescent="0.25">
      <c r="C202" s="4">
        <v>2</v>
      </c>
      <c r="D202" s="5">
        <v>113935466331.69225</v>
      </c>
      <c r="E202" s="5">
        <v>113935466331.69225</v>
      </c>
      <c r="F202" s="5">
        <v>0.26663654866825071</v>
      </c>
      <c r="G202" s="5">
        <v>0</v>
      </c>
      <c r="H202" s="5">
        <v>41350000000</v>
      </c>
      <c r="I202" s="5">
        <v>36630000000</v>
      </c>
      <c r="J202" s="5">
        <v>36630000000</v>
      </c>
      <c r="K202" s="5">
        <v>1.1975691134413726E-11</v>
      </c>
      <c r="L202" s="5">
        <v>1.1975691134413726E-11</v>
      </c>
      <c r="M202" s="5">
        <v>0</v>
      </c>
      <c r="N202" s="5">
        <v>2.0000000000000001E-4</v>
      </c>
      <c r="O202" s="5">
        <v>117.67532467532465</v>
      </c>
      <c r="P202" s="5">
        <v>117.67532467532465</v>
      </c>
      <c r="Q202" s="5">
        <v>-2.1312833333333338E-9</v>
      </c>
      <c r="R202" s="5">
        <v>0</v>
      </c>
      <c r="S202" s="5">
        <v>1.3194999999999998E-4</v>
      </c>
      <c r="T202" s="5">
        <v>6.1450000000000005E-6</v>
      </c>
      <c r="U202" s="5">
        <v>6.1450000000000005E-6</v>
      </c>
      <c r="V202" s="5">
        <v>0</v>
      </c>
      <c r="W202" s="5">
        <v>0</v>
      </c>
      <c r="X202" s="5">
        <v>1.645</v>
      </c>
      <c r="Y202" s="5">
        <v>3635</v>
      </c>
      <c r="Z202" s="5">
        <f t="shared" ref="Z202:AA202" si="57">Z201+0.0002</f>
        <v>-9.999999999999998E-4</v>
      </c>
      <c r="AA202" s="5">
        <f t="shared" si="57"/>
        <v>-8.0000000000000004E-4</v>
      </c>
      <c r="AB202" s="4">
        <v>2</v>
      </c>
    </row>
    <row r="203" spans="1:28" x14ac:dyDescent="0.25">
      <c r="C203" s="4">
        <v>3</v>
      </c>
      <c r="D203" s="5">
        <v>122965536183.08774</v>
      </c>
      <c r="E203" s="5">
        <v>122965536183.08774</v>
      </c>
      <c r="F203" s="5">
        <v>0.28913576334565405</v>
      </c>
      <c r="G203" s="5">
        <v>0</v>
      </c>
      <c r="H203" s="5">
        <v>44716666666.666664</v>
      </c>
      <c r="I203" s="5">
        <v>40090000000</v>
      </c>
      <c r="J203" s="5">
        <v>40090000000</v>
      </c>
      <c r="K203" s="5">
        <v>9.3144264378773425E-12</v>
      </c>
      <c r="L203" s="5">
        <v>9.3144264378773425E-12</v>
      </c>
      <c r="M203" s="5">
        <v>0</v>
      </c>
      <c r="N203" s="5">
        <v>2.0000000000000001E-4</v>
      </c>
      <c r="O203" s="5">
        <v>122.29004329004326</v>
      </c>
      <c r="P203" s="5">
        <v>122.29004329004326</v>
      </c>
      <c r="Q203" s="5">
        <v>-1.6369981481481484E-9</v>
      </c>
      <c r="R203" s="5">
        <v>0</v>
      </c>
      <c r="S203" s="5">
        <v>1.3751666666666666E-4</v>
      </c>
      <c r="T203" s="5">
        <v>7.0016666666666668E-6</v>
      </c>
      <c r="U203" s="5">
        <v>7.0016666666666668E-6</v>
      </c>
      <c r="V203" s="5">
        <v>0</v>
      </c>
      <c r="W203" s="5">
        <v>0</v>
      </c>
      <c r="X203" s="5">
        <v>1.835</v>
      </c>
      <c r="Y203" s="5">
        <v>4005</v>
      </c>
      <c r="Z203" s="5">
        <f t="shared" ref="Z203:AA203" si="58">Z202+0.0002</f>
        <v>-7.9999999999999982E-4</v>
      </c>
      <c r="AA203" s="5">
        <f t="shared" si="58"/>
        <v>-6.0000000000000006E-4</v>
      </c>
      <c r="AB203" s="4">
        <v>2</v>
      </c>
    </row>
    <row r="204" spans="1:28" x14ac:dyDescent="0.25">
      <c r="C204" s="4">
        <v>4</v>
      </c>
      <c r="D204" s="5">
        <v>131995606034.48323</v>
      </c>
      <c r="E204" s="5">
        <v>131995606034.48323</v>
      </c>
      <c r="F204" s="5">
        <v>0.31163497802305751</v>
      </c>
      <c r="G204" s="5">
        <v>0</v>
      </c>
      <c r="H204" s="5">
        <v>48083333333.333336</v>
      </c>
      <c r="I204" s="5">
        <v>43550000000</v>
      </c>
      <c r="J204" s="5">
        <v>43550000000</v>
      </c>
      <c r="K204" s="5">
        <v>6.6531617413409583E-12</v>
      </c>
      <c r="L204" s="5">
        <v>6.6531617413409583E-12</v>
      </c>
      <c r="M204" s="5">
        <v>0</v>
      </c>
      <c r="N204" s="5">
        <v>2.0000000000000001E-4</v>
      </c>
      <c r="O204" s="5">
        <v>126.90476190476187</v>
      </c>
      <c r="P204" s="5">
        <v>126.90476190476187</v>
      </c>
      <c r="Q204" s="5">
        <v>-1.1427129629629633E-9</v>
      </c>
      <c r="R204" s="5">
        <v>0</v>
      </c>
      <c r="S204" s="5">
        <v>1.4308333333333333E-4</v>
      </c>
      <c r="T204" s="5">
        <v>7.858333333333334E-6</v>
      </c>
      <c r="U204" s="5">
        <v>7.858333333333334E-6</v>
      </c>
      <c r="V204" s="5">
        <v>0</v>
      </c>
      <c r="W204" s="5">
        <v>0</v>
      </c>
      <c r="X204" s="5">
        <v>2.0249999999999999</v>
      </c>
      <c r="Y204" s="5">
        <v>4375</v>
      </c>
      <c r="Z204" s="5">
        <f t="shared" ref="Z204:AA204" si="59">Z203+0.0002</f>
        <v>-5.9999999999999984E-4</v>
      </c>
      <c r="AA204" s="5">
        <f t="shared" si="59"/>
        <v>-4.0000000000000007E-4</v>
      </c>
      <c r="AB204" s="4">
        <v>2</v>
      </c>
    </row>
    <row r="205" spans="1:28" x14ac:dyDescent="0.25">
      <c r="C205" s="4">
        <v>5</v>
      </c>
      <c r="D205" s="5">
        <v>141025675885.87872</v>
      </c>
      <c r="E205" s="5">
        <v>141025675885.87872</v>
      </c>
      <c r="F205" s="5">
        <v>0.33413419270046091</v>
      </c>
      <c r="G205" s="5">
        <v>0</v>
      </c>
      <c r="H205" s="5">
        <v>51450000000</v>
      </c>
      <c r="I205" s="5">
        <v>47010000000</v>
      </c>
      <c r="J205" s="5">
        <v>47010000000</v>
      </c>
      <c r="K205" s="5">
        <v>3.9918970448045758E-12</v>
      </c>
      <c r="L205" s="5">
        <v>3.9918970448045758E-12</v>
      </c>
      <c r="M205" s="5">
        <v>0</v>
      </c>
      <c r="N205" s="5">
        <v>2.0000000000000001E-4</v>
      </c>
      <c r="O205" s="5">
        <v>131.51948051948048</v>
      </c>
      <c r="P205" s="5">
        <v>131.51948051948048</v>
      </c>
      <c r="Q205" s="5">
        <v>-6.4842777777777808E-10</v>
      </c>
      <c r="R205" s="5">
        <v>0</v>
      </c>
      <c r="S205" s="5">
        <v>1.4864999999999998E-4</v>
      </c>
      <c r="T205" s="5">
        <v>8.7150000000000004E-6</v>
      </c>
      <c r="U205" s="5">
        <v>8.7150000000000004E-6</v>
      </c>
      <c r="V205" s="5">
        <v>0</v>
      </c>
      <c r="W205" s="5">
        <v>0</v>
      </c>
      <c r="X205" s="5">
        <v>2.2149999999999999</v>
      </c>
      <c r="Y205" s="5">
        <v>4745</v>
      </c>
      <c r="Z205" s="5">
        <f t="shared" ref="Z205:AA205" si="60">Z204+0.0002</f>
        <v>-3.9999999999999986E-4</v>
      </c>
      <c r="AA205" s="5">
        <f t="shared" si="60"/>
        <v>-2.0000000000000006E-4</v>
      </c>
      <c r="AB205" s="4">
        <v>2</v>
      </c>
    </row>
    <row r="206" spans="1:28" x14ac:dyDescent="0.25">
      <c r="C206" s="4">
        <v>6</v>
      </c>
      <c r="D206" s="5">
        <v>150055745737.2742</v>
      </c>
      <c r="E206" s="5">
        <v>150055745737.2742</v>
      </c>
      <c r="F206" s="5">
        <v>0.35663340737786431</v>
      </c>
      <c r="G206" s="5">
        <v>0</v>
      </c>
      <c r="H206" s="5">
        <v>54816666666.666664</v>
      </c>
      <c r="I206" s="5">
        <v>50470000000</v>
      </c>
      <c r="J206" s="5">
        <v>50470000000</v>
      </c>
      <c r="K206" s="5">
        <v>1.3306323482681921E-12</v>
      </c>
      <c r="L206" s="5">
        <v>1.3306323482681921E-12</v>
      </c>
      <c r="M206" s="5">
        <v>0</v>
      </c>
      <c r="N206" s="5">
        <v>2.0000000000000001E-4</v>
      </c>
      <c r="O206" s="5">
        <v>136.13419913419909</v>
      </c>
      <c r="P206" s="5">
        <v>136.13419913419909</v>
      </c>
      <c r="Q206" s="5">
        <v>-1.541425925925927E-10</v>
      </c>
      <c r="R206" s="5">
        <v>0</v>
      </c>
      <c r="S206" s="5">
        <v>1.5421666666666666E-4</v>
      </c>
      <c r="T206" s="5">
        <v>9.5716666666666668E-6</v>
      </c>
      <c r="U206" s="5">
        <v>9.5716666666666668E-6</v>
      </c>
      <c r="V206" s="5">
        <v>0</v>
      </c>
      <c r="W206" s="5">
        <v>0</v>
      </c>
      <c r="X206" s="5">
        <v>2.4049999999999998</v>
      </c>
      <c r="Y206" s="5">
        <v>5115</v>
      </c>
      <c r="Z206" s="5">
        <f t="shared" ref="Z206:AA206" si="61">Z205+0.0002</f>
        <v>-1.9999999999999985E-4</v>
      </c>
      <c r="AA206" s="5">
        <f t="shared" si="61"/>
        <v>0</v>
      </c>
      <c r="AB206" s="4">
        <v>2</v>
      </c>
    </row>
    <row r="207" spans="1:28" x14ac:dyDescent="0.25">
      <c r="C207" s="4">
        <v>7</v>
      </c>
      <c r="D207" s="5">
        <v>150055745737.2742</v>
      </c>
      <c r="E207" s="5">
        <v>150055745737.2742</v>
      </c>
      <c r="F207" s="5">
        <v>0.35663340737786431</v>
      </c>
      <c r="G207" s="5">
        <v>0</v>
      </c>
      <c r="H207" s="5">
        <v>54816666666.666664</v>
      </c>
      <c r="I207" s="5">
        <v>50470000000</v>
      </c>
      <c r="J207" s="5">
        <v>50470000000</v>
      </c>
      <c r="K207" s="5">
        <v>1.3306323482681917E-12</v>
      </c>
      <c r="L207" s="5">
        <v>1.3306323482681917E-12</v>
      </c>
      <c r="M207" s="5">
        <v>0</v>
      </c>
      <c r="N207" s="5">
        <v>2.0000000000000001E-4</v>
      </c>
      <c r="O207" s="5">
        <v>136.13419913419909</v>
      </c>
      <c r="P207" s="5">
        <v>136.13419913419909</v>
      </c>
      <c r="Q207" s="5">
        <v>-1.541425925925926E-10</v>
      </c>
      <c r="R207" s="5">
        <v>0</v>
      </c>
      <c r="S207" s="5">
        <v>1.5421666666666666E-4</v>
      </c>
      <c r="T207" s="5">
        <v>9.5716666666666668E-6</v>
      </c>
      <c r="U207" s="5">
        <v>9.5716666666666668E-6</v>
      </c>
      <c r="V207" s="5">
        <v>0</v>
      </c>
      <c r="W207" s="5">
        <v>0</v>
      </c>
      <c r="X207" s="5">
        <v>2.4049999999999998</v>
      </c>
      <c r="Y207" s="5">
        <v>5115</v>
      </c>
      <c r="Z207" s="5">
        <f t="shared" ref="Z207:AA207" si="62">Z206+0.0002</f>
        <v>0</v>
      </c>
      <c r="AA207" s="5">
        <f t="shared" si="62"/>
        <v>2.0000000000000001E-4</v>
      </c>
      <c r="AB207" s="4">
        <v>2</v>
      </c>
    </row>
    <row r="208" spans="1:28" x14ac:dyDescent="0.25">
      <c r="C208" s="4">
        <v>8</v>
      </c>
      <c r="D208" s="5">
        <v>141025675885.87872</v>
      </c>
      <c r="E208" s="5">
        <v>141025675885.87872</v>
      </c>
      <c r="F208" s="5">
        <v>0.33413419270046091</v>
      </c>
      <c r="G208" s="5">
        <v>0</v>
      </c>
      <c r="H208" s="5">
        <v>51450000000</v>
      </c>
      <c r="I208" s="5">
        <v>47010000000</v>
      </c>
      <c r="J208" s="5">
        <v>47010000000</v>
      </c>
      <c r="K208" s="5">
        <v>3.9918970448045758E-12</v>
      </c>
      <c r="L208" s="5">
        <v>3.9918970448045758E-12</v>
      </c>
      <c r="M208" s="5">
        <v>0</v>
      </c>
      <c r="N208" s="5">
        <v>2.0000000000000001E-4</v>
      </c>
      <c r="O208" s="5">
        <v>131.51948051948048</v>
      </c>
      <c r="P208" s="5">
        <v>131.51948051948048</v>
      </c>
      <c r="Q208" s="5">
        <v>-6.4842777777777808E-10</v>
      </c>
      <c r="R208" s="5">
        <v>0</v>
      </c>
      <c r="S208" s="5">
        <v>1.4864999999999998E-4</v>
      </c>
      <c r="T208" s="5">
        <v>8.7150000000000004E-6</v>
      </c>
      <c r="U208" s="5">
        <v>8.7150000000000004E-6</v>
      </c>
      <c r="V208" s="5">
        <v>0</v>
      </c>
      <c r="W208" s="5">
        <v>0</v>
      </c>
      <c r="X208" s="5">
        <v>2.2149999999999999</v>
      </c>
      <c r="Y208" s="5">
        <v>4745</v>
      </c>
      <c r="Z208" s="5">
        <f t="shared" ref="Z208:AA208" si="63">Z207+0.0002</f>
        <v>2.0000000000000001E-4</v>
      </c>
      <c r="AA208" s="5">
        <f t="shared" si="63"/>
        <v>4.0000000000000002E-4</v>
      </c>
      <c r="AB208" s="4">
        <v>2</v>
      </c>
    </row>
    <row r="209" spans="1:28" x14ac:dyDescent="0.25">
      <c r="C209" s="4">
        <v>9</v>
      </c>
      <c r="D209" s="5">
        <v>131995606034.48323</v>
      </c>
      <c r="E209" s="5">
        <v>131995606034.48323</v>
      </c>
      <c r="F209" s="5">
        <v>0.31163497802305751</v>
      </c>
      <c r="G209" s="5">
        <v>0</v>
      </c>
      <c r="H209" s="5">
        <v>48083333333.333336</v>
      </c>
      <c r="I209" s="5">
        <v>43550000000</v>
      </c>
      <c r="J209" s="5">
        <v>43550000000</v>
      </c>
      <c r="K209" s="5">
        <v>6.6531617413409583E-12</v>
      </c>
      <c r="L209" s="5">
        <v>6.6531617413409583E-12</v>
      </c>
      <c r="M209" s="5">
        <v>0</v>
      </c>
      <c r="N209" s="5">
        <v>2.0000000000000001E-4</v>
      </c>
      <c r="O209" s="5">
        <v>126.90476190476187</v>
      </c>
      <c r="P209" s="5">
        <v>126.90476190476187</v>
      </c>
      <c r="Q209" s="5">
        <v>-1.1427129629629633E-9</v>
      </c>
      <c r="R209" s="5">
        <v>0</v>
      </c>
      <c r="S209" s="5">
        <v>1.4308333333333333E-4</v>
      </c>
      <c r="T209" s="5">
        <v>7.858333333333334E-6</v>
      </c>
      <c r="U209" s="5">
        <v>7.858333333333334E-6</v>
      </c>
      <c r="V209" s="5">
        <v>0</v>
      </c>
      <c r="W209" s="5">
        <v>0</v>
      </c>
      <c r="X209" s="5">
        <v>2.0249999999999999</v>
      </c>
      <c r="Y209" s="5">
        <v>4375</v>
      </c>
      <c r="Z209" s="5">
        <f t="shared" ref="Z209:AA209" si="64">Z208+0.0002</f>
        <v>4.0000000000000002E-4</v>
      </c>
      <c r="AA209" s="5">
        <f t="shared" si="64"/>
        <v>6.0000000000000006E-4</v>
      </c>
      <c r="AB209" s="4">
        <v>2</v>
      </c>
    </row>
    <row r="210" spans="1:28" x14ac:dyDescent="0.25">
      <c r="C210" s="4">
        <v>10</v>
      </c>
      <c r="D210" s="5">
        <v>122965536183.08774</v>
      </c>
      <c r="E210" s="5">
        <v>122965536183.08774</v>
      </c>
      <c r="F210" s="5">
        <v>0.28913576334565405</v>
      </c>
      <c r="G210" s="5">
        <v>0</v>
      </c>
      <c r="H210" s="5">
        <v>44716666666.666664</v>
      </c>
      <c r="I210" s="5">
        <v>40090000000</v>
      </c>
      <c r="J210" s="5">
        <v>40090000000</v>
      </c>
      <c r="K210" s="5">
        <v>9.3144264378773425E-12</v>
      </c>
      <c r="L210" s="5">
        <v>9.3144264378773425E-12</v>
      </c>
      <c r="M210" s="5">
        <v>0</v>
      </c>
      <c r="N210" s="5">
        <v>2.0000000000000001E-4</v>
      </c>
      <c r="O210" s="5">
        <v>122.29004329004326</v>
      </c>
      <c r="P210" s="5">
        <v>122.29004329004326</v>
      </c>
      <c r="Q210" s="5">
        <v>-1.6369981481481484E-9</v>
      </c>
      <c r="R210" s="5">
        <v>0</v>
      </c>
      <c r="S210" s="5">
        <v>1.3751666666666666E-4</v>
      </c>
      <c r="T210" s="5">
        <v>7.0016666666666668E-6</v>
      </c>
      <c r="U210" s="5">
        <v>7.0016666666666668E-6</v>
      </c>
      <c r="V210" s="5">
        <v>0</v>
      </c>
      <c r="W210" s="5">
        <v>0</v>
      </c>
      <c r="X210" s="5">
        <v>1.835</v>
      </c>
      <c r="Y210" s="5">
        <v>4005</v>
      </c>
      <c r="Z210" s="5">
        <f t="shared" ref="Z210:AA210" si="65">Z209+0.0002</f>
        <v>6.0000000000000006E-4</v>
      </c>
      <c r="AA210" s="5">
        <f t="shared" si="65"/>
        <v>8.0000000000000004E-4</v>
      </c>
      <c r="AB210" s="4">
        <v>2</v>
      </c>
    </row>
    <row r="211" spans="1:28" x14ac:dyDescent="0.25">
      <c r="C211" s="4">
        <v>11</v>
      </c>
      <c r="D211" s="5">
        <v>113935466331.69225</v>
      </c>
      <c r="E211" s="5">
        <v>113935466331.69225</v>
      </c>
      <c r="F211" s="5">
        <v>0.26663654866825071</v>
      </c>
      <c r="G211" s="5">
        <v>0</v>
      </c>
      <c r="H211" s="5">
        <v>41350000000</v>
      </c>
      <c r="I211" s="5">
        <v>36630000000</v>
      </c>
      <c r="J211" s="5">
        <v>36630000000</v>
      </c>
      <c r="K211" s="5">
        <v>1.1975691134413726E-11</v>
      </c>
      <c r="L211" s="5">
        <v>1.1975691134413726E-11</v>
      </c>
      <c r="M211" s="5">
        <v>0</v>
      </c>
      <c r="N211" s="5">
        <v>2.0000000000000001E-4</v>
      </c>
      <c r="O211" s="5">
        <v>117.67532467532465</v>
      </c>
      <c r="P211" s="5">
        <v>117.67532467532465</v>
      </c>
      <c r="Q211" s="5">
        <v>-2.1312833333333338E-9</v>
      </c>
      <c r="R211" s="5">
        <v>0</v>
      </c>
      <c r="S211" s="5">
        <v>1.3194999999999998E-4</v>
      </c>
      <c r="T211" s="5">
        <v>6.1450000000000005E-6</v>
      </c>
      <c r="U211" s="5">
        <v>6.1450000000000005E-6</v>
      </c>
      <c r="V211" s="5">
        <v>0</v>
      </c>
      <c r="W211" s="5">
        <v>0</v>
      </c>
      <c r="X211" s="5">
        <v>1.645</v>
      </c>
      <c r="Y211" s="5">
        <v>3635</v>
      </c>
      <c r="Z211" s="5">
        <f t="shared" ref="Z211:AA211" si="66">Z210+0.0002</f>
        <v>8.0000000000000004E-4</v>
      </c>
      <c r="AA211" s="5">
        <f t="shared" si="66"/>
        <v>1E-3</v>
      </c>
      <c r="AB211" s="4">
        <v>2</v>
      </c>
    </row>
    <row r="212" spans="1:28" x14ac:dyDescent="0.25">
      <c r="B212" t="s">
        <v>183</v>
      </c>
      <c r="C212" s="11">
        <v>12</v>
      </c>
      <c r="D212" s="5">
        <v>104905396480.29677</v>
      </c>
      <c r="E212" s="5">
        <v>104905396480.29677</v>
      </c>
      <c r="F212" s="5">
        <v>0.24413733399084725</v>
      </c>
      <c r="G212" s="5">
        <v>0</v>
      </c>
      <c r="H212" s="5">
        <v>37983333333.333328</v>
      </c>
      <c r="I212" s="5">
        <v>33169999999.999996</v>
      </c>
      <c r="J212" s="5">
        <v>33169999999.999996</v>
      </c>
      <c r="K212" s="5">
        <v>1.4636955830950111E-11</v>
      </c>
      <c r="L212" s="5">
        <v>1.4636955830950111E-11</v>
      </c>
      <c r="M212" s="5">
        <v>0</v>
      </c>
      <c r="N212" s="5">
        <v>2.0000000000000001E-4</v>
      </c>
      <c r="O212" s="5">
        <v>113.06060606060603</v>
      </c>
      <c r="P212" s="5">
        <v>113.06060606060603</v>
      </c>
      <c r="Q212" s="5">
        <v>-2.6255685185185192E-9</v>
      </c>
      <c r="R212" s="5">
        <v>0</v>
      </c>
      <c r="S212" s="5">
        <v>1.2638333333333331E-4</v>
      </c>
      <c r="T212" s="5">
        <v>5.2883333333333324E-6</v>
      </c>
      <c r="U212" s="5">
        <v>5.2883333333333324E-6</v>
      </c>
      <c r="V212" s="5">
        <v>0</v>
      </c>
      <c r="W212" s="5">
        <v>0</v>
      </c>
      <c r="X212" s="5">
        <v>1.4549999999999996</v>
      </c>
      <c r="Y212" s="5">
        <v>3264.9999999999995</v>
      </c>
      <c r="Z212" s="5">
        <f t="shared" ref="Z212:AA212" si="67">Z211+0.0002</f>
        <v>1E-3</v>
      </c>
      <c r="AA212" s="5">
        <f t="shared" si="67"/>
        <v>1.2000000000000001E-3</v>
      </c>
      <c r="AB212" s="4">
        <v>2</v>
      </c>
    </row>
    <row r="214" spans="1:28" x14ac:dyDescent="0.25">
      <c r="A214" t="s">
        <v>254</v>
      </c>
      <c r="G214" t="s">
        <v>254</v>
      </c>
      <c r="J214" s="1"/>
      <c r="N214" t="s">
        <v>254</v>
      </c>
      <c r="U214" t="s">
        <v>254</v>
      </c>
      <c r="AB214" s="4"/>
    </row>
    <row r="216" spans="1:28" x14ac:dyDescent="0.25">
      <c r="A216" s="15" t="s">
        <v>74</v>
      </c>
      <c r="C216" s="10" t="s">
        <v>27</v>
      </c>
      <c r="D216" s="10" t="s">
        <v>28</v>
      </c>
      <c r="E216" s="10" t="s">
        <v>29</v>
      </c>
      <c r="F216" s="10" t="s">
        <v>30</v>
      </c>
      <c r="G216" s="10" t="s">
        <v>31</v>
      </c>
      <c r="H216" s="10" t="s">
        <v>47</v>
      </c>
      <c r="I216" s="10" t="s">
        <v>32</v>
      </c>
      <c r="J216" s="10" t="s">
        <v>33</v>
      </c>
      <c r="K216" s="10" t="s">
        <v>34</v>
      </c>
      <c r="L216" s="10" t="s">
        <v>35</v>
      </c>
      <c r="M216" s="10" t="s">
        <v>36</v>
      </c>
      <c r="N216" s="10" t="s">
        <v>37</v>
      </c>
      <c r="O216" s="10" t="s">
        <v>38</v>
      </c>
      <c r="P216" s="10" t="s">
        <v>39</v>
      </c>
      <c r="Q216" s="10" t="s">
        <v>40</v>
      </c>
      <c r="R216" s="10" t="s">
        <v>41</v>
      </c>
      <c r="S216" s="10" t="s">
        <v>42</v>
      </c>
      <c r="T216" s="10" t="s">
        <v>48</v>
      </c>
      <c r="U216" s="10" t="s">
        <v>77</v>
      </c>
      <c r="V216" s="10" t="s">
        <v>78</v>
      </c>
      <c r="W216" s="10" t="s">
        <v>79</v>
      </c>
      <c r="X216" s="10" t="s">
        <v>49</v>
      </c>
      <c r="Y216" s="10" t="s">
        <v>43</v>
      </c>
      <c r="Z216" s="10" t="s">
        <v>44</v>
      </c>
      <c r="AA216" s="10" t="s">
        <v>45</v>
      </c>
      <c r="AB216" s="10" t="s">
        <v>46</v>
      </c>
    </row>
    <row r="217" spans="1:28" x14ac:dyDescent="0.25">
      <c r="A217" s="12" t="s">
        <v>81</v>
      </c>
      <c r="B217" t="s">
        <v>14</v>
      </c>
      <c r="C217" s="11">
        <v>1</v>
      </c>
      <c r="D217" s="5">
        <v>134318703749.23846</v>
      </c>
      <c r="E217" s="5">
        <v>134318703749.23846</v>
      </c>
      <c r="F217" s="5">
        <v>0.33568812367958406</v>
      </c>
      <c r="G217" s="5">
        <v>0</v>
      </c>
      <c r="H217" s="5">
        <v>50144656953.70713</v>
      </c>
      <c r="I217" s="5">
        <v>51882232847.685356</v>
      </c>
      <c r="J217" s="5">
        <v>51882232847.685356</v>
      </c>
      <c r="K217" s="5">
        <v>-4.2283125208693025E-11</v>
      </c>
      <c r="L217" s="5">
        <v>-4.2283125208693025E-11</v>
      </c>
      <c r="M217" s="5">
        <v>0</v>
      </c>
      <c r="N217" s="5">
        <v>2.0000000000000001E-4</v>
      </c>
      <c r="O217" s="5">
        <v>65.121258794932885</v>
      </c>
      <c r="P217" s="5">
        <v>65.121258794932885</v>
      </c>
      <c r="Q217" s="5">
        <v>7.8478719691630864E-9</v>
      </c>
      <c r="R217" s="5">
        <v>0</v>
      </c>
      <c r="S217" s="5">
        <v>7.914704768291234E-5</v>
      </c>
      <c r="T217" s="5">
        <v>1.3018787946989112E-5</v>
      </c>
      <c r="U217" s="5">
        <v>1.3018787946989112E-5</v>
      </c>
      <c r="V217" s="5">
        <v>0</v>
      </c>
      <c r="W217" s="5">
        <v>0</v>
      </c>
      <c r="X217" s="5">
        <v>2.8707283443670844</v>
      </c>
      <c r="Y217" s="5">
        <v>5564.8059602622034</v>
      </c>
      <c r="Z217" s="5">
        <v>-1.1999999999999999E-3</v>
      </c>
      <c r="AA217" s="5">
        <v>-1E-3</v>
      </c>
      <c r="AB217" s="4">
        <v>2</v>
      </c>
    </row>
    <row r="218" spans="1:28" x14ac:dyDescent="0.25">
      <c r="C218" s="4">
        <v>2</v>
      </c>
      <c r="D218" s="5">
        <v>129342141860.06099</v>
      </c>
      <c r="E218" s="5">
        <v>129342141860.06099</v>
      </c>
      <c r="F218" s="5">
        <v>0.3277768428542473</v>
      </c>
      <c r="G218" s="5">
        <v>0</v>
      </c>
      <c r="H218" s="5">
        <v>48582952535.362633</v>
      </c>
      <c r="I218" s="5">
        <v>51804147626.768135</v>
      </c>
      <c r="J218" s="5">
        <v>51804147626.768135</v>
      </c>
      <c r="K218" s="5">
        <v>-5.2673397296105747E-11</v>
      </c>
      <c r="L218" s="5">
        <v>-5.2673397296105747E-11</v>
      </c>
      <c r="M218" s="5">
        <v>0</v>
      </c>
      <c r="N218" s="5">
        <v>2.0000000000000001E-4</v>
      </c>
      <c r="O218" s="5">
        <v>47.104192669876269</v>
      </c>
      <c r="P218" s="5">
        <v>47.104192669876269</v>
      </c>
      <c r="Q218" s="5">
        <v>9.7534839447435742E-9</v>
      </c>
      <c r="R218" s="5">
        <v>0</v>
      </c>
      <c r="S218" s="5">
        <v>6.0016168558192268E-5</v>
      </c>
      <c r="T218" s="5">
        <v>1.3760597545702748E-5</v>
      </c>
      <c r="U218" s="5">
        <v>1.3760597545702748E-5</v>
      </c>
      <c r="V218" s="5">
        <v>0</v>
      </c>
      <c r="W218" s="5">
        <v>0</v>
      </c>
      <c r="X218" s="5">
        <v>2.961827768770513</v>
      </c>
      <c r="Y218" s="5">
        <v>5629.8769776932231</v>
      </c>
      <c r="Z218" s="5">
        <f t="shared" ref="Z218:AA218" si="68">Z217+0.0002</f>
        <v>-9.999999999999998E-4</v>
      </c>
      <c r="AA218" s="5">
        <f t="shared" si="68"/>
        <v>-8.0000000000000004E-4</v>
      </c>
      <c r="AB218" s="4">
        <v>2</v>
      </c>
    </row>
    <row r="219" spans="1:28" x14ac:dyDescent="0.25">
      <c r="C219" s="4">
        <v>3</v>
      </c>
      <c r="D219" s="5">
        <v>126628389438.89993</v>
      </c>
      <c r="E219" s="5">
        <v>126628389438.89993</v>
      </c>
      <c r="F219" s="5">
        <v>0.32346276860533019</v>
      </c>
      <c r="G219" s="5">
        <v>0</v>
      </c>
      <c r="H219" s="5">
        <v>47731344690.268448</v>
      </c>
      <c r="I219" s="5">
        <v>51761567234.51342</v>
      </c>
      <c r="J219" s="5">
        <v>51761567234.51342</v>
      </c>
      <c r="K219" s="5">
        <v>-5.8339282029712213E-11</v>
      </c>
      <c r="L219" s="5">
        <v>-5.8339282029712213E-11</v>
      </c>
      <c r="M219" s="5">
        <v>0</v>
      </c>
      <c r="N219" s="5">
        <v>2.0000000000000001E-4</v>
      </c>
      <c r="O219" s="5">
        <v>37.279366231884893</v>
      </c>
      <c r="P219" s="5">
        <v>37.279366231884893</v>
      </c>
      <c r="Q219" s="5">
        <v>1.0792626876688457E-8</v>
      </c>
      <c r="R219" s="5">
        <v>0</v>
      </c>
      <c r="S219" s="5">
        <v>4.9583972455788478E-5</v>
      </c>
      <c r="T219" s="5">
        <v>1.4165111272122486E-5</v>
      </c>
      <c r="U219" s="5">
        <v>1.4165111272122486E-5</v>
      </c>
      <c r="V219" s="5">
        <v>0</v>
      </c>
      <c r="W219" s="5">
        <v>0</v>
      </c>
      <c r="X219" s="5">
        <v>3.011504893067674</v>
      </c>
      <c r="Y219" s="5">
        <v>5665.3606379054818</v>
      </c>
      <c r="Z219" s="5">
        <f t="shared" ref="Z219:AA219" si="69">Z218+0.0002</f>
        <v>-7.9999999999999982E-4</v>
      </c>
      <c r="AA219" s="5">
        <f t="shared" si="69"/>
        <v>-6.0000000000000006E-4</v>
      </c>
      <c r="AB219" s="4">
        <v>2</v>
      </c>
    </row>
    <row r="220" spans="1:28" x14ac:dyDescent="0.25">
      <c r="C220" s="4">
        <v>4</v>
      </c>
      <c r="D220" s="5">
        <v>124683309087.13542</v>
      </c>
      <c r="E220" s="5">
        <v>124683309087.13542</v>
      </c>
      <c r="F220" s="5">
        <v>0.32037065858372704</v>
      </c>
      <c r="G220" s="5">
        <v>0</v>
      </c>
      <c r="H220" s="5">
        <v>47120955299.554413</v>
      </c>
      <c r="I220" s="5">
        <v>51731047764.977722</v>
      </c>
      <c r="J220" s="5">
        <v>51731047764.977722</v>
      </c>
      <c r="K220" s="5">
        <v>-6.2400301371331224E-11</v>
      </c>
      <c r="L220" s="5">
        <v>-6.2400301371331224E-11</v>
      </c>
      <c r="M220" s="5">
        <v>0</v>
      </c>
      <c r="N220" s="5">
        <v>2.0000000000000001E-4</v>
      </c>
      <c r="O220" s="5">
        <v>30.237428022997904</v>
      </c>
      <c r="P220" s="5">
        <v>30.237428022997904</v>
      </c>
      <c r="Q220" s="5">
        <v>1.1537431923692783E-8</v>
      </c>
      <c r="R220" s="5">
        <v>0</v>
      </c>
      <c r="S220" s="5">
        <v>4.2106702419541592E-5</v>
      </c>
      <c r="T220" s="5">
        <v>1.4455046232711652E-5</v>
      </c>
      <c r="U220" s="5">
        <v>1.4455046232711652E-5</v>
      </c>
      <c r="V220" s="5">
        <v>0</v>
      </c>
      <c r="W220" s="5">
        <v>0</v>
      </c>
      <c r="X220" s="5">
        <v>3.047110940859326</v>
      </c>
      <c r="Y220" s="5">
        <v>5690.7935291852327</v>
      </c>
      <c r="Z220" s="5">
        <f t="shared" ref="Z220:AA220" si="70">Z219+0.0002</f>
        <v>-5.9999999999999984E-4</v>
      </c>
      <c r="AA220" s="5">
        <f t="shared" si="70"/>
        <v>-4.0000000000000007E-4</v>
      </c>
      <c r="AB220" s="4">
        <v>2</v>
      </c>
    </row>
    <row r="221" spans="1:28" x14ac:dyDescent="0.25">
      <c r="C221" s="4">
        <v>5</v>
      </c>
      <c r="D221" s="5">
        <v>123142684741.80118</v>
      </c>
      <c r="E221" s="5">
        <v>123142684741.80118</v>
      </c>
      <c r="F221" s="5">
        <v>0.3179215155581383</v>
      </c>
      <c r="G221" s="5">
        <v>0</v>
      </c>
      <c r="H221" s="5">
        <v>46637489022.896645</v>
      </c>
      <c r="I221" s="5">
        <v>51706874451.144829</v>
      </c>
      <c r="J221" s="5">
        <v>51706874451.144829</v>
      </c>
      <c r="K221" s="5">
        <v>-6.5616880706419272E-11</v>
      </c>
      <c r="L221" s="5">
        <v>-6.5616880706419272E-11</v>
      </c>
      <c r="M221" s="5">
        <v>0</v>
      </c>
      <c r="N221" s="5">
        <v>2.0000000000000001E-4</v>
      </c>
      <c r="O221" s="5">
        <v>24.659775956794633</v>
      </c>
      <c r="P221" s="5">
        <v>24.659775956794633</v>
      </c>
      <c r="Q221" s="5">
        <v>1.2127363741626033E-8</v>
      </c>
      <c r="R221" s="5">
        <v>0</v>
      </c>
      <c r="S221" s="5">
        <v>3.6184240530483908E-5</v>
      </c>
      <c r="T221" s="5">
        <v>1.4684692714124093E-5</v>
      </c>
      <c r="U221" s="5">
        <v>1.4684692714124093E-5</v>
      </c>
      <c r="V221" s="5">
        <v>0</v>
      </c>
      <c r="W221" s="5">
        <v>0</v>
      </c>
      <c r="X221" s="5">
        <v>3.075313140331029</v>
      </c>
      <c r="Y221" s="5">
        <v>5710.9379573793067</v>
      </c>
      <c r="Z221" s="5">
        <f t="shared" ref="Z221:AA221" si="71">Z220+0.0002</f>
        <v>-3.9999999999999986E-4</v>
      </c>
      <c r="AA221" s="5">
        <f t="shared" si="71"/>
        <v>-2.0000000000000006E-4</v>
      </c>
      <c r="AB221" s="4">
        <v>2</v>
      </c>
    </row>
    <row r="222" spans="1:28" x14ac:dyDescent="0.25">
      <c r="C222" s="4">
        <v>6</v>
      </c>
      <c r="D222" s="5">
        <v>121855691737.84134</v>
      </c>
      <c r="E222" s="5">
        <v>121855691737.84134</v>
      </c>
      <c r="F222" s="5">
        <v>0.31587557233442148</v>
      </c>
      <c r="G222" s="5">
        <v>0</v>
      </c>
      <c r="H222" s="5">
        <v>46233615283.270607</v>
      </c>
      <c r="I222" s="5">
        <v>51686680764.163528</v>
      </c>
      <c r="J222" s="5">
        <v>51686680764.163528</v>
      </c>
      <c r="K222" s="5">
        <v>-6.8303918019231522E-11</v>
      </c>
      <c r="L222" s="5">
        <v>-6.8303918019231522E-11</v>
      </c>
      <c r="M222" s="5">
        <v>0</v>
      </c>
      <c r="N222" s="5">
        <v>2.0000000000000001E-4</v>
      </c>
      <c r="O222" s="5">
        <v>20.000366796173907</v>
      </c>
      <c r="P222" s="5">
        <v>20.000366796173907</v>
      </c>
      <c r="Q222" s="5">
        <v>1.262017571411805E-8</v>
      </c>
      <c r="R222" s="5">
        <v>0</v>
      </c>
      <c r="S222" s="5">
        <v>3.1236787220064957E-5</v>
      </c>
      <c r="T222" s="5">
        <v>1.487653274044646E-5</v>
      </c>
      <c r="U222" s="5">
        <v>1.487653274044646E-5</v>
      </c>
      <c r="V222" s="5">
        <v>0</v>
      </c>
      <c r="W222" s="5">
        <v>0</v>
      </c>
      <c r="X222" s="5">
        <v>3.0988724418092146</v>
      </c>
      <c r="Y222" s="5">
        <v>5727.7660298637247</v>
      </c>
      <c r="Z222" s="5">
        <f t="shared" ref="Z222:AA222" si="72">Z221+0.0002</f>
        <v>-1.9999999999999985E-4</v>
      </c>
      <c r="AA222" s="5">
        <f t="shared" si="72"/>
        <v>0</v>
      </c>
      <c r="AB222" s="4">
        <v>2</v>
      </c>
    </row>
    <row r="223" spans="1:28" x14ac:dyDescent="0.25">
      <c r="C223" s="4">
        <v>7</v>
      </c>
      <c r="D223" s="5">
        <v>120744189180.59714</v>
      </c>
      <c r="E223" s="5">
        <v>120744189180.59714</v>
      </c>
      <c r="F223" s="5">
        <v>0.31410860769814075</v>
      </c>
      <c r="G223" s="5">
        <v>0</v>
      </c>
      <c r="H223" s="5">
        <v>45884812536.855576</v>
      </c>
      <c r="I223" s="5">
        <v>51669240626.842781</v>
      </c>
      <c r="J223" s="5">
        <v>51669240626.842781</v>
      </c>
      <c r="K223" s="5">
        <v>-7.0624559106954659E-11</v>
      </c>
      <c r="L223" s="5">
        <v>-7.0624559106954659E-11</v>
      </c>
      <c r="M223" s="5">
        <v>0</v>
      </c>
      <c r="N223" s="5">
        <v>2.0000000000000001E-4</v>
      </c>
      <c r="O223" s="5">
        <v>15.976300479307838</v>
      </c>
      <c r="P223" s="5">
        <v>15.976300479307838</v>
      </c>
      <c r="Q223" s="5">
        <v>1.3045789346810755E-8</v>
      </c>
      <c r="R223" s="5">
        <v>0</v>
      </c>
      <c r="S223" s="5">
        <v>2.6963953576480818E-5</v>
      </c>
      <c r="T223" s="5">
        <v>1.5042214044993599E-5</v>
      </c>
      <c r="U223" s="5">
        <v>1.5042214044993599E-5</v>
      </c>
      <c r="V223" s="5">
        <v>0</v>
      </c>
      <c r="W223" s="5">
        <v>0</v>
      </c>
      <c r="X223" s="5">
        <v>3.119219268683425</v>
      </c>
      <c r="Y223" s="5">
        <v>5742.2994776310179</v>
      </c>
      <c r="Z223" s="5">
        <f t="shared" ref="Z223:AA223" si="73">Z222+0.0002</f>
        <v>0</v>
      </c>
      <c r="AA223" s="5">
        <f t="shared" si="73"/>
        <v>2.0000000000000001E-4</v>
      </c>
      <c r="AB223" s="4">
        <v>2</v>
      </c>
    </row>
    <row r="224" spans="1:28" x14ac:dyDescent="0.25">
      <c r="C224" s="4">
        <v>8</v>
      </c>
      <c r="D224" s="5">
        <v>119762079388.30434</v>
      </c>
      <c r="E224" s="5">
        <v>119762079388.30434</v>
      </c>
      <c r="F224" s="5">
        <v>0.31254733979046367</v>
      </c>
      <c r="G224" s="5">
        <v>0</v>
      </c>
      <c r="H224" s="5">
        <v>45576614781.843521</v>
      </c>
      <c r="I224" s="5">
        <v>51653830739.092178</v>
      </c>
      <c r="J224" s="5">
        <v>51653830739.092178</v>
      </c>
      <c r="K224" s="5">
        <v>-7.2675048619368052E-11</v>
      </c>
      <c r="L224" s="5">
        <v>-7.2675048619368052E-11</v>
      </c>
      <c r="M224" s="5">
        <v>0</v>
      </c>
      <c r="N224" s="5">
        <v>2.0000000000000001E-4</v>
      </c>
      <c r="O224" s="5">
        <v>12.420685686636261</v>
      </c>
      <c r="P224" s="5">
        <v>12.420685686636261</v>
      </c>
      <c r="Q224" s="5">
        <v>1.3421856242632553E-8</v>
      </c>
      <c r="R224" s="5">
        <v>0</v>
      </c>
      <c r="S224" s="5">
        <v>2.318853107758311E-5</v>
      </c>
      <c r="T224" s="5">
        <v>1.5188607978624328E-5</v>
      </c>
      <c r="U224" s="5">
        <v>1.5188607978624328E-5</v>
      </c>
      <c r="V224" s="5">
        <v>0</v>
      </c>
      <c r="W224" s="5">
        <v>0</v>
      </c>
      <c r="X224" s="5">
        <v>3.1371974710591282</v>
      </c>
      <c r="Y224" s="5">
        <v>5755.1410507565197</v>
      </c>
      <c r="Z224" s="5">
        <f t="shared" ref="Z224:AA224" si="74">Z223+0.0002</f>
        <v>2.0000000000000001E-4</v>
      </c>
      <c r="AA224" s="5">
        <f t="shared" si="74"/>
        <v>4.0000000000000002E-4</v>
      </c>
      <c r="AB224" s="4">
        <v>2</v>
      </c>
    </row>
    <row r="225" spans="1:28" x14ac:dyDescent="0.25">
      <c r="C225" s="4">
        <v>9</v>
      </c>
      <c r="D225" s="5">
        <v>118879728390.496</v>
      </c>
      <c r="E225" s="5">
        <v>118879728390.496</v>
      </c>
      <c r="F225" s="5">
        <v>0.3111446592480277</v>
      </c>
      <c r="G225" s="5">
        <v>0</v>
      </c>
      <c r="H225" s="5">
        <v>45299722525.202522</v>
      </c>
      <c r="I225" s="5">
        <v>51639986126.260124</v>
      </c>
      <c r="J225" s="5">
        <v>51639986126.260124</v>
      </c>
      <c r="K225" s="5">
        <v>-7.4517257587725517E-11</v>
      </c>
      <c r="L225" s="5">
        <v>-7.4517257587725517E-11</v>
      </c>
      <c r="M225" s="5">
        <v>0</v>
      </c>
      <c r="N225" s="5">
        <v>2.0000000000000001E-4</v>
      </c>
      <c r="O225" s="5">
        <v>9.2262360591546155</v>
      </c>
      <c r="P225" s="5">
        <v>9.2262360591546155</v>
      </c>
      <c r="Q225" s="5">
        <v>1.3759723763529968E-8</v>
      </c>
      <c r="R225" s="5">
        <v>0</v>
      </c>
      <c r="S225" s="5">
        <v>1.9796600933730875E-5</v>
      </c>
      <c r="T225" s="5">
        <v>1.5320131800528803E-5</v>
      </c>
      <c r="U225" s="5">
        <v>1.5320131800528803E-5</v>
      </c>
      <c r="V225" s="5">
        <v>0</v>
      </c>
      <c r="W225" s="5">
        <v>0</v>
      </c>
      <c r="X225" s="5">
        <v>3.1533495193631866</v>
      </c>
      <c r="Y225" s="5">
        <v>5766.6782281165615</v>
      </c>
      <c r="Z225" s="5">
        <f t="shared" ref="Z225:AA225" si="75">Z224+0.0002</f>
        <v>4.0000000000000002E-4</v>
      </c>
      <c r="AA225" s="5">
        <f t="shared" si="75"/>
        <v>6.0000000000000006E-4</v>
      </c>
      <c r="AB225" s="4">
        <v>2</v>
      </c>
    </row>
    <row r="226" spans="1:28" x14ac:dyDescent="0.25">
      <c r="C226" s="4">
        <v>10</v>
      </c>
      <c r="D226" s="5">
        <v>118076879771.29515</v>
      </c>
      <c r="E226" s="5">
        <v>118076879771.29515</v>
      </c>
      <c r="F226" s="5">
        <v>0.30986836428211062</v>
      </c>
      <c r="G226" s="5">
        <v>0</v>
      </c>
      <c r="H226" s="5">
        <v>45047779062.267914</v>
      </c>
      <c r="I226" s="5">
        <v>51627388953.113396</v>
      </c>
      <c r="J226" s="5">
        <v>51627388953.113396</v>
      </c>
      <c r="K226" s="5">
        <v>-7.6193478196302989E-11</v>
      </c>
      <c r="L226" s="5">
        <v>-7.6193478196302989E-11</v>
      </c>
      <c r="M226" s="5">
        <v>0</v>
      </c>
      <c r="N226" s="5">
        <v>2.0000000000000001E-4</v>
      </c>
      <c r="O226" s="5">
        <v>6.3196155885021312</v>
      </c>
      <c r="P226" s="5">
        <v>6.3196155885021312</v>
      </c>
      <c r="Q226" s="5">
        <v>1.4067148442936552E-8</v>
      </c>
      <c r="R226" s="5">
        <v>0</v>
      </c>
      <c r="S226" s="5">
        <v>1.6710293512781944E-5</v>
      </c>
      <c r="T226" s="5">
        <v>1.5439804945422741E-5</v>
      </c>
      <c r="U226" s="5">
        <v>1.5439804945422741E-5</v>
      </c>
      <c r="V226" s="5">
        <v>0</v>
      </c>
      <c r="W226" s="5">
        <v>0</v>
      </c>
      <c r="X226" s="5">
        <v>3.168046221367705</v>
      </c>
      <c r="Y226" s="5">
        <v>5777.1758724055035</v>
      </c>
      <c r="Z226" s="5">
        <f t="shared" ref="Z226:AA226" si="76">Z225+0.0002</f>
        <v>6.0000000000000006E-4</v>
      </c>
      <c r="AA226" s="5">
        <f t="shared" si="76"/>
        <v>8.0000000000000004E-4</v>
      </c>
      <c r="AB226" s="4">
        <v>2</v>
      </c>
    </row>
    <row r="227" spans="1:28" x14ac:dyDescent="0.25">
      <c r="C227" s="4">
        <v>11</v>
      </c>
      <c r="D227" s="5">
        <v>117339032614.07304</v>
      </c>
      <c r="E227" s="5">
        <v>117339032614.07304</v>
      </c>
      <c r="F227" s="5">
        <v>0.30869540266785744</v>
      </c>
      <c r="G227" s="5">
        <v>0</v>
      </c>
      <c r="H227" s="5">
        <v>44816233832.617981</v>
      </c>
      <c r="I227" s="5">
        <v>51615811691.630898</v>
      </c>
      <c r="J227" s="5">
        <v>51615811691.630898</v>
      </c>
      <c r="K227" s="5">
        <v>-7.7733986059599914E-11</v>
      </c>
      <c r="L227" s="5">
        <v>-7.7733986059599914E-11</v>
      </c>
      <c r="M227" s="5">
        <v>0</v>
      </c>
      <c r="N227" s="5">
        <v>2.0000000000000001E-4</v>
      </c>
      <c r="O227" s="5">
        <v>3.6483253849650339</v>
      </c>
      <c r="P227" s="5">
        <v>3.6483253849650339</v>
      </c>
      <c r="Q227" s="5">
        <v>1.4349682933667635E-8</v>
      </c>
      <c r="R227" s="5">
        <v>0</v>
      </c>
      <c r="S227" s="5">
        <v>1.3873864449570297E-5</v>
      </c>
      <c r="T227" s="5">
        <v>1.5549788929506457E-5</v>
      </c>
      <c r="U227" s="5">
        <v>1.5549788929506457E-5</v>
      </c>
      <c r="V227" s="5">
        <v>0</v>
      </c>
      <c r="W227" s="5">
        <v>0</v>
      </c>
      <c r="X227" s="5">
        <v>3.1815530264306178</v>
      </c>
      <c r="Y227" s="5">
        <v>5786.8235903075838</v>
      </c>
      <c r="Z227" s="5">
        <f t="shared" ref="Z227:AA227" si="77">Z226+0.0002</f>
        <v>8.0000000000000004E-4</v>
      </c>
      <c r="AA227" s="5">
        <f t="shared" si="77"/>
        <v>1E-3</v>
      </c>
      <c r="AB227" s="4">
        <v>2</v>
      </c>
    </row>
    <row r="228" spans="1:28" x14ac:dyDescent="0.25">
      <c r="B228" t="s">
        <v>190</v>
      </c>
      <c r="C228" s="11">
        <v>12</v>
      </c>
      <c r="D228" s="5">
        <v>116655424906.09589</v>
      </c>
      <c r="E228" s="5">
        <v>116655424906.09589</v>
      </c>
      <c r="F228" s="5">
        <v>0.30760866594627995</v>
      </c>
      <c r="G228" s="5">
        <v>0</v>
      </c>
      <c r="H228" s="5">
        <v>44601709588.423615</v>
      </c>
      <c r="I228" s="5">
        <v>51605085479.421181</v>
      </c>
      <c r="J228" s="5">
        <v>51605085479.421181</v>
      </c>
      <c r="K228" s="5">
        <v>-7.9161250553663972E-11</v>
      </c>
      <c r="L228" s="5">
        <v>-7.9161250553663972E-11</v>
      </c>
      <c r="M228" s="5">
        <v>0</v>
      </c>
      <c r="N228" s="5">
        <v>2.0000000000000001E-4</v>
      </c>
      <c r="O228" s="5">
        <v>1.1734028274845514</v>
      </c>
      <c r="P228" s="5">
        <v>1.1734028274845514</v>
      </c>
      <c r="Q228" s="5">
        <v>1.4611448197303436E-8</v>
      </c>
      <c r="R228" s="5">
        <v>0</v>
      </c>
      <c r="S228" s="5">
        <v>1.1245942458189268E-5</v>
      </c>
      <c r="T228" s="5">
        <v>1.5651687945498781E-5</v>
      </c>
      <c r="U228" s="5">
        <v>1.5651687945498781E-5</v>
      </c>
      <c r="V228" s="5">
        <v>0</v>
      </c>
      <c r="W228" s="5">
        <v>0</v>
      </c>
      <c r="X228" s="5">
        <v>3.1940669406752895</v>
      </c>
      <c r="Y228" s="5">
        <v>5795.7621004823495</v>
      </c>
      <c r="Z228" s="5">
        <f t="shared" ref="Z228:AA228" si="78">Z227+0.0002</f>
        <v>1E-3</v>
      </c>
      <c r="AA228" s="5">
        <f t="shared" si="78"/>
        <v>1.2000000000000001E-3</v>
      </c>
      <c r="AB228" s="4">
        <v>2</v>
      </c>
    </row>
    <row r="232" spans="1:28" x14ac:dyDescent="0.25">
      <c r="A232" s="15" t="s">
        <v>82</v>
      </c>
      <c r="C232" s="10" t="s">
        <v>27</v>
      </c>
      <c r="D232" s="10" t="s">
        <v>28</v>
      </c>
      <c r="E232" s="10" t="s">
        <v>29</v>
      </c>
      <c r="F232" s="10" t="s">
        <v>30</v>
      </c>
      <c r="G232" s="10" t="s">
        <v>31</v>
      </c>
      <c r="H232" s="10" t="s">
        <v>47</v>
      </c>
      <c r="I232" s="10" t="s">
        <v>32</v>
      </c>
      <c r="J232" s="10" t="s">
        <v>33</v>
      </c>
      <c r="K232" s="10" t="s">
        <v>34</v>
      </c>
      <c r="L232" s="10" t="s">
        <v>35</v>
      </c>
      <c r="M232" s="10" t="s">
        <v>36</v>
      </c>
      <c r="N232" s="10" t="s">
        <v>37</v>
      </c>
      <c r="O232" s="10" t="s">
        <v>38</v>
      </c>
      <c r="P232" s="10" t="s">
        <v>39</v>
      </c>
      <c r="Q232" s="10" t="s">
        <v>40</v>
      </c>
      <c r="R232" s="10" t="s">
        <v>41</v>
      </c>
      <c r="S232" s="10" t="s">
        <v>42</v>
      </c>
      <c r="T232" s="10" t="s">
        <v>48</v>
      </c>
      <c r="U232" s="10" t="s">
        <v>77</v>
      </c>
      <c r="V232" s="10" t="s">
        <v>78</v>
      </c>
      <c r="W232" s="10" t="s">
        <v>79</v>
      </c>
      <c r="X232" s="10" t="s">
        <v>49</v>
      </c>
      <c r="Y232" s="10" t="s">
        <v>43</v>
      </c>
      <c r="Z232" s="10" t="s">
        <v>44</v>
      </c>
      <c r="AA232" s="10" t="s">
        <v>45</v>
      </c>
      <c r="AB232" s="10" t="s">
        <v>46</v>
      </c>
    </row>
    <row r="233" spans="1:28" x14ac:dyDescent="0.25">
      <c r="A233" s="12" t="s">
        <v>81</v>
      </c>
      <c r="B233" t="s">
        <v>14</v>
      </c>
      <c r="C233" s="11">
        <v>1</v>
      </c>
      <c r="D233" s="5">
        <v>84653319566.563263</v>
      </c>
      <c r="E233" s="5">
        <v>84653319566.563263</v>
      </c>
      <c r="F233" s="5">
        <v>0.21194244295386527</v>
      </c>
      <c r="G233" s="5">
        <v>0</v>
      </c>
      <c r="H233" s="5">
        <v>31627990287.040459</v>
      </c>
      <c r="I233" s="5">
        <v>32852232847.685352</v>
      </c>
      <c r="J233" s="5">
        <v>32852232847.685352</v>
      </c>
      <c r="K233" s="5">
        <v>-2.7646169377742914E-11</v>
      </c>
      <c r="L233" s="5">
        <v>-2.7646169377742914E-11</v>
      </c>
      <c r="M233" s="5">
        <v>0</v>
      </c>
      <c r="N233" s="5">
        <v>2.0000000000000001E-4</v>
      </c>
      <c r="O233" s="5">
        <v>39.740306413980505</v>
      </c>
      <c r="P233" s="5">
        <v>39.740306413980505</v>
      </c>
      <c r="Q233" s="5">
        <v>5.1293034506445672E-9</v>
      </c>
      <c r="R233" s="5">
        <v>0</v>
      </c>
      <c r="S233" s="5">
        <v>4.8530381016245665E-5</v>
      </c>
      <c r="T233" s="5">
        <v>8.3071212803224449E-6</v>
      </c>
      <c r="U233" s="5">
        <v>8.3071212803224449E-6</v>
      </c>
      <c r="V233" s="5">
        <v>0</v>
      </c>
      <c r="W233" s="5">
        <v>0</v>
      </c>
      <c r="X233" s="5">
        <v>1.825728344367084</v>
      </c>
      <c r="Y233" s="5">
        <v>3529.8059602622029</v>
      </c>
      <c r="Z233" s="5">
        <v>-1.1999999999999999E-3</v>
      </c>
      <c r="AA233" s="5">
        <v>-1E-3</v>
      </c>
      <c r="AB233" s="4">
        <v>2</v>
      </c>
    </row>
    <row r="234" spans="1:28" x14ac:dyDescent="0.25">
      <c r="C234" s="4">
        <v>2</v>
      </c>
      <c r="D234" s="5">
        <v>88706827528.781281</v>
      </c>
      <c r="E234" s="5">
        <v>88706827528.781281</v>
      </c>
      <c r="F234" s="5">
        <v>0.22653037680593194</v>
      </c>
      <c r="G234" s="5">
        <v>0</v>
      </c>
      <c r="H234" s="5">
        <v>33432952535.362633</v>
      </c>
      <c r="I234" s="5">
        <v>36234147626.768135</v>
      </c>
      <c r="J234" s="5">
        <v>36234147626.768135</v>
      </c>
      <c r="K234" s="5">
        <v>-4.0697706161692025E-11</v>
      </c>
      <c r="L234" s="5">
        <v>-4.0697706161692025E-11</v>
      </c>
      <c r="M234" s="5">
        <v>0</v>
      </c>
      <c r="N234" s="5">
        <v>2.0000000000000001E-4</v>
      </c>
      <c r="O234" s="5">
        <v>26.337958903642505</v>
      </c>
      <c r="P234" s="5">
        <v>26.337958903642505</v>
      </c>
      <c r="Q234" s="5">
        <v>7.5292006114102404E-9</v>
      </c>
      <c r="R234" s="5">
        <v>0</v>
      </c>
      <c r="S234" s="5">
        <v>3.4966168558192269E-5</v>
      </c>
      <c r="T234" s="5">
        <v>9.9055975457027489E-6</v>
      </c>
      <c r="U234" s="5">
        <v>9.9055975457027489E-6</v>
      </c>
      <c r="V234" s="5">
        <v>0</v>
      </c>
      <c r="W234" s="5">
        <v>0</v>
      </c>
      <c r="X234" s="5">
        <v>2.106827768770513</v>
      </c>
      <c r="Y234" s="5">
        <v>3964.8769776932231</v>
      </c>
      <c r="Z234" s="5">
        <f t="shared" ref="Z234:AA234" si="79">Z233+0.0002</f>
        <v>-9.999999999999998E-4</v>
      </c>
      <c r="AA234" s="5">
        <f t="shared" si="79"/>
        <v>-8.0000000000000004E-4</v>
      </c>
      <c r="AB234" s="4">
        <v>2</v>
      </c>
    </row>
    <row r="235" spans="1:28" x14ac:dyDescent="0.25">
      <c r="C235" s="4">
        <v>3</v>
      </c>
      <c r="D235" s="5">
        <v>95023144959.015717</v>
      </c>
      <c r="E235" s="5">
        <v>95023144959.015717</v>
      </c>
      <c r="F235" s="5">
        <v>0.24471551723441823</v>
      </c>
      <c r="G235" s="5">
        <v>0</v>
      </c>
      <c r="H235" s="5">
        <v>35948011356.935112</v>
      </c>
      <c r="I235" s="5">
        <v>39651567234.51342</v>
      </c>
      <c r="J235" s="5">
        <v>39651567234.51342</v>
      </c>
      <c r="K235" s="5">
        <v>-4.9024855591834869E-11</v>
      </c>
      <c r="L235" s="5">
        <v>-4.9024855591834869E-11</v>
      </c>
      <c r="M235" s="5">
        <v>0</v>
      </c>
      <c r="N235" s="5">
        <v>2.0000000000000001E-4</v>
      </c>
      <c r="O235" s="5">
        <v>21.127851080369741</v>
      </c>
      <c r="P235" s="5">
        <v>21.127851080369741</v>
      </c>
      <c r="Q235" s="5">
        <v>9.0626287285403076E-9</v>
      </c>
      <c r="R235" s="5">
        <v>0</v>
      </c>
      <c r="S235" s="5">
        <v>3.0100639122455144E-5</v>
      </c>
      <c r="T235" s="5">
        <v>1.1166777938789153E-5</v>
      </c>
      <c r="U235" s="5">
        <v>1.1166777938789153E-5</v>
      </c>
      <c r="V235" s="5">
        <v>0</v>
      </c>
      <c r="W235" s="5">
        <v>0</v>
      </c>
      <c r="X235" s="5">
        <v>2.346504893067674</v>
      </c>
      <c r="Y235" s="5">
        <v>4370.3606379054818</v>
      </c>
      <c r="Z235" s="5">
        <f t="shared" ref="Z235:AA235" si="80">Z234+0.0002</f>
        <v>-7.9999999999999982E-4</v>
      </c>
      <c r="AA235" s="5">
        <f t="shared" si="80"/>
        <v>-6.0000000000000006E-4</v>
      </c>
      <c r="AB235" s="4">
        <v>2</v>
      </c>
    </row>
    <row r="236" spans="1:28" x14ac:dyDescent="0.25">
      <c r="C236" s="4">
        <v>4</v>
      </c>
      <c r="D236" s="5">
        <v>102108134458.6467</v>
      </c>
      <c r="E236" s="5">
        <v>102108134458.6467</v>
      </c>
      <c r="F236" s="5">
        <v>0.26412262189021851</v>
      </c>
      <c r="G236" s="5">
        <v>0</v>
      </c>
      <c r="H236" s="5">
        <v>38704288632.887749</v>
      </c>
      <c r="I236" s="5">
        <v>43081047764.977722</v>
      </c>
      <c r="J236" s="5">
        <v>43081047764.977722</v>
      </c>
      <c r="K236" s="5">
        <v>-5.5747139629990265E-11</v>
      </c>
      <c r="L236" s="5">
        <v>-5.5747139629990265E-11</v>
      </c>
      <c r="M236" s="5">
        <v>0</v>
      </c>
      <c r="N236" s="5">
        <v>2.0000000000000001E-4</v>
      </c>
      <c r="O236" s="5">
        <v>18.700631486201367</v>
      </c>
      <c r="P236" s="5">
        <v>18.700631486201367</v>
      </c>
      <c r="Q236" s="5">
        <v>1.030171896072982E-8</v>
      </c>
      <c r="R236" s="5">
        <v>0</v>
      </c>
      <c r="S236" s="5">
        <v>2.8190035752874924E-5</v>
      </c>
      <c r="T236" s="5">
        <v>1.2313379566044985E-5</v>
      </c>
      <c r="U236" s="5">
        <v>1.2313379566044985E-5</v>
      </c>
      <c r="V236" s="5">
        <v>0</v>
      </c>
      <c r="W236" s="5">
        <v>0</v>
      </c>
      <c r="X236" s="5">
        <v>2.5721109408593259</v>
      </c>
      <c r="Y236" s="5">
        <v>4765.7935291852327</v>
      </c>
      <c r="Z236" s="5">
        <f t="shared" ref="Z236:AA236" si="81">Z235+0.0002</f>
        <v>-5.9999999999999984E-4</v>
      </c>
      <c r="AA236" s="5">
        <f t="shared" si="81"/>
        <v>-4.0000000000000007E-4</v>
      </c>
      <c r="AB236" s="4">
        <v>2</v>
      </c>
    </row>
    <row r="237" spans="1:28" x14ac:dyDescent="0.25">
      <c r="C237" s="4">
        <v>5</v>
      </c>
      <c r="D237" s="5">
        <v>109597579964.70795</v>
      </c>
      <c r="E237" s="5">
        <v>109597579964.70795</v>
      </c>
      <c r="F237" s="5">
        <v>0.28417269354203317</v>
      </c>
      <c r="G237" s="5">
        <v>0</v>
      </c>
      <c r="H237" s="5">
        <v>41587489022.896645</v>
      </c>
      <c r="I237" s="5">
        <v>46516874451.144829</v>
      </c>
      <c r="J237" s="5">
        <v>46516874451.144829</v>
      </c>
      <c r="K237" s="5">
        <v>-6.1624983661614691E-11</v>
      </c>
      <c r="L237" s="5">
        <v>-6.1624983661614691E-11</v>
      </c>
      <c r="M237" s="5">
        <v>0</v>
      </c>
      <c r="N237" s="5">
        <v>2.0000000000000001E-4</v>
      </c>
      <c r="O237" s="5">
        <v>17.737698034716708</v>
      </c>
      <c r="P237" s="5">
        <v>17.737698034716708</v>
      </c>
      <c r="Q237" s="5">
        <v>1.1385935963848255E-8</v>
      </c>
      <c r="R237" s="5">
        <v>0</v>
      </c>
      <c r="S237" s="5">
        <v>2.7834240530483909E-5</v>
      </c>
      <c r="T237" s="5">
        <v>1.3399692714124092E-5</v>
      </c>
      <c r="U237" s="5">
        <v>1.3399692714124092E-5</v>
      </c>
      <c r="V237" s="5">
        <v>0</v>
      </c>
      <c r="W237" s="5">
        <v>0</v>
      </c>
      <c r="X237" s="5">
        <v>2.7903131403310288</v>
      </c>
      <c r="Y237" s="5">
        <v>5155.9379573793067</v>
      </c>
      <c r="Z237" s="5">
        <f t="shared" ref="Z237:AA237" si="82">Z236+0.0002</f>
        <v>-3.9999999999999986E-4</v>
      </c>
      <c r="AA237" s="5">
        <f t="shared" si="82"/>
        <v>-2.0000000000000006E-4</v>
      </c>
      <c r="AB237" s="4">
        <v>2</v>
      </c>
    </row>
    <row r="238" spans="1:28" x14ac:dyDescent="0.25">
      <c r="C238" s="4">
        <v>6</v>
      </c>
      <c r="D238" s="5">
        <v>117340656812.14359</v>
      </c>
      <c r="E238" s="5">
        <v>117340656812.14359</v>
      </c>
      <c r="F238" s="5">
        <v>0.30462596499571976</v>
      </c>
      <c r="G238" s="5">
        <v>0</v>
      </c>
      <c r="H238" s="5">
        <v>44550281949.937271</v>
      </c>
      <c r="I238" s="5">
        <v>49956680764.163528</v>
      </c>
      <c r="J238" s="5">
        <v>49956680764.163528</v>
      </c>
      <c r="K238" s="5">
        <v>-6.6973285670963333E-11</v>
      </c>
      <c r="L238" s="5">
        <v>-6.6973285670963333E-11</v>
      </c>
      <c r="M238" s="5">
        <v>0</v>
      </c>
      <c r="N238" s="5">
        <v>2.0000000000000001E-4</v>
      </c>
      <c r="O238" s="5">
        <v>17.693007488814601</v>
      </c>
      <c r="P238" s="5">
        <v>17.693007488814601</v>
      </c>
      <c r="Q238" s="5">
        <v>1.2373033121525458E-8</v>
      </c>
      <c r="R238" s="5">
        <v>0</v>
      </c>
      <c r="S238" s="5">
        <v>2.8453453886731622E-5</v>
      </c>
      <c r="T238" s="5">
        <v>1.4448199407113126E-5</v>
      </c>
      <c r="U238" s="5">
        <v>1.4448199407113126E-5</v>
      </c>
      <c r="V238" s="5">
        <v>0</v>
      </c>
      <c r="W238" s="5">
        <v>0</v>
      </c>
      <c r="X238" s="5">
        <v>3.0038724418092144</v>
      </c>
      <c r="Y238" s="5">
        <v>5542.7660298637247</v>
      </c>
      <c r="Z238" s="5">
        <f t="shared" ref="Z238:AA238" si="83">Z237+0.0002</f>
        <v>-1.9999999999999985E-4</v>
      </c>
      <c r="AA238" s="5">
        <f t="shared" si="83"/>
        <v>0</v>
      </c>
      <c r="AB238" s="4">
        <v>2</v>
      </c>
    </row>
    <row r="239" spans="1:28" x14ac:dyDescent="0.25">
      <c r="C239" s="4">
        <v>7</v>
      </c>
      <c r="D239" s="5">
        <v>116229154254.8994</v>
      </c>
      <c r="E239" s="5">
        <v>116229154254.8994</v>
      </c>
      <c r="F239" s="5">
        <v>0.30285900035943902</v>
      </c>
      <c r="G239" s="5">
        <v>0</v>
      </c>
      <c r="H239" s="5">
        <v>44201479203.52224</v>
      </c>
      <c r="I239" s="5">
        <v>49939240626.842781</v>
      </c>
      <c r="J239" s="5">
        <v>49939240626.842781</v>
      </c>
      <c r="K239" s="5">
        <v>-6.929392675868647E-11</v>
      </c>
      <c r="L239" s="5">
        <v>-6.929392675868647E-11</v>
      </c>
      <c r="M239" s="5">
        <v>0</v>
      </c>
      <c r="N239" s="5">
        <v>2.0000000000000001E-4</v>
      </c>
      <c r="O239" s="5">
        <v>13.668941171948532</v>
      </c>
      <c r="P239" s="5">
        <v>13.668941171948532</v>
      </c>
      <c r="Q239" s="5">
        <v>1.2798646754218163E-8</v>
      </c>
      <c r="R239" s="5">
        <v>0</v>
      </c>
      <c r="S239" s="5">
        <v>2.4180620243147484E-5</v>
      </c>
      <c r="T239" s="5">
        <v>1.4613880711660265E-5</v>
      </c>
      <c r="U239" s="5">
        <v>1.4613880711660265E-5</v>
      </c>
      <c r="V239" s="5">
        <v>0</v>
      </c>
      <c r="W239" s="5">
        <v>0</v>
      </c>
      <c r="X239" s="5">
        <v>3.0242192686834248</v>
      </c>
      <c r="Y239" s="5">
        <v>5557.2994776310179</v>
      </c>
      <c r="Z239" s="5">
        <f t="shared" ref="Z239:AA239" si="84">Z238+0.0002</f>
        <v>0</v>
      </c>
      <c r="AA239" s="5">
        <f t="shared" si="84"/>
        <v>2.0000000000000001E-4</v>
      </c>
      <c r="AB239" s="4">
        <v>2</v>
      </c>
    </row>
    <row r="240" spans="1:28" x14ac:dyDescent="0.25">
      <c r="C240" s="4">
        <v>8</v>
      </c>
      <c r="D240" s="5">
        <v>106216974611.21109</v>
      </c>
      <c r="E240" s="5">
        <v>106216974611.21109</v>
      </c>
      <c r="F240" s="5">
        <v>0.27879851777435855</v>
      </c>
      <c r="G240" s="5">
        <v>0</v>
      </c>
      <c r="H240" s="5">
        <v>40526614781.843521</v>
      </c>
      <c r="I240" s="5">
        <v>46463830739.092178</v>
      </c>
      <c r="J240" s="5">
        <v>46463830739.092178</v>
      </c>
      <c r="K240" s="5">
        <v>-6.8683151574563472E-11</v>
      </c>
      <c r="L240" s="5">
        <v>-6.8683151574563472E-11</v>
      </c>
      <c r="M240" s="5">
        <v>0</v>
      </c>
      <c r="N240" s="5">
        <v>2.0000000000000001E-4</v>
      </c>
      <c r="O240" s="5">
        <v>5.4986077645583382</v>
      </c>
      <c r="P240" s="5">
        <v>5.4986077645583382</v>
      </c>
      <c r="Q240" s="5">
        <v>1.2680428464854774E-8</v>
      </c>
      <c r="R240" s="5">
        <v>0</v>
      </c>
      <c r="S240" s="5">
        <v>1.4838531077583109E-5</v>
      </c>
      <c r="T240" s="5">
        <v>1.3903607978624328E-5</v>
      </c>
      <c r="U240" s="5">
        <v>1.3903607978624328E-5</v>
      </c>
      <c r="V240" s="5">
        <v>0</v>
      </c>
      <c r="W240" s="5">
        <v>0</v>
      </c>
      <c r="X240" s="5">
        <v>2.852197471059128</v>
      </c>
      <c r="Y240" s="5">
        <v>5200.1410507565197</v>
      </c>
      <c r="Z240" s="5">
        <f t="shared" ref="Z240:AA240" si="85">Z239+0.0002</f>
        <v>2.0000000000000001E-4</v>
      </c>
      <c r="AA240" s="5">
        <f t="shared" si="85"/>
        <v>4.0000000000000002E-4</v>
      </c>
      <c r="AB240" s="4">
        <v>2</v>
      </c>
    </row>
    <row r="241" spans="1:28" x14ac:dyDescent="0.25">
      <c r="C241" s="4">
        <v>9</v>
      </c>
      <c r="D241" s="5">
        <v>96304553762.007278</v>
      </c>
      <c r="E241" s="5">
        <v>96304553762.007278</v>
      </c>
      <c r="F241" s="5">
        <v>0.25489662255451917</v>
      </c>
      <c r="G241" s="5">
        <v>0</v>
      </c>
      <c r="H241" s="5">
        <v>36883055858.535858</v>
      </c>
      <c r="I241" s="5">
        <v>42989986126.260124</v>
      </c>
      <c r="J241" s="5">
        <v>42989986126.260124</v>
      </c>
      <c r="K241" s="5">
        <v>-6.7864095846384558E-11</v>
      </c>
      <c r="L241" s="5">
        <v>-6.7864095846384558E-11</v>
      </c>
      <c r="M241" s="5">
        <v>0</v>
      </c>
      <c r="N241" s="5">
        <v>2.0000000000000001E-4</v>
      </c>
      <c r="O241" s="5">
        <v>-2.3105604776419213</v>
      </c>
      <c r="P241" s="5">
        <v>-2.3105604776419213</v>
      </c>
      <c r="Q241" s="5">
        <v>1.2524010800567004E-8</v>
      </c>
      <c r="R241" s="5">
        <v>0</v>
      </c>
      <c r="S241" s="5">
        <v>5.8799342670642086E-6</v>
      </c>
      <c r="T241" s="5">
        <v>1.3178465133862136E-5</v>
      </c>
      <c r="U241" s="5">
        <v>1.3178465133862136E-5</v>
      </c>
      <c r="V241" s="5">
        <v>0</v>
      </c>
      <c r="W241" s="5">
        <v>0</v>
      </c>
      <c r="X241" s="5">
        <v>2.6783495193631865</v>
      </c>
      <c r="Y241" s="5">
        <v>4841.6782281165615</v>
      </c>
      <c r="Z241" s="5">
        <f t="shared" ref="Z241:AA241" si="86">Z240+0.0002</f>
        <v>4.0000000000000002E-4</v>
      </c>
      <c r="AA241" s="5">
        <f t="shared" si="86"/>
        <v>6.0000000000000006E-4</v>
      </c>
      <c r="AB241" s="4">
        <v>2</v>
      </c>
    </row>
    <row r="242" spans="1:28" x14ac:dyDescent="0.25">
      <c r="C242" s="4">
        <v>10</v>
      </c>
      <c r="D242" s="5">
        <v>86471635291.410934</v>
      </c>
      <c r="E242" s="5">
        <v>86471635291.410934</v>
      </c>
      <c r="F242" s="5">
        <v>0.23112111291119866</v>
      </c>
      <c r="G242" s="5">
        <v>0</v>
      </c>
      <c r="H242" s="5">
        <v>33264445728.934578</v>
      </c>
      <c r="I242" s="5">
        <v>39517388953.113396</v>
      </c>
      <c r="J242" s="5">
        <v>39517388953.113396</v>
      </c>
      <c r="K242" s="5">
        <v>-6.6879051758425652E-11</v>
      </c>
      <c r="L242" s="5">
        <v>-6.6879051758425652E-11</v>
      </c>
      <c r="M242" s="5">
        <v>0</v>
      </c>
      <c r="N242" s="5">
        <v>2.0000000000000001E-4</v>
      </c>
      <c r="O242" s="5">
        <v>-9.831899563013021</v>
      </c>
      <c r="P242" s="5">
        <v>-9.831899563013021</v>
      </c>
      <c r="Q242" s="5">
        <v>1.2337150294788405E-8</v>
      </c>
      <c r="R242" s="5">
        <v>0</v>
      </c>
      <c r="S242" s="5">
        <v>-2.7730398205513892E-6</v>
      </c>
      <c r="T242" s="5">
        <v>1.2441471612089406E-5</v>
      </c>
      <c r="U242" s="5">
        <v>1.2441471612089406E-5</v>
      </c>
      <c r="V242" s="5">
        <v>0</v>
      </c>
      <c r="W242" s="5">
        <v>0</v>
      </c>
      <c r="X242" s="5">
        <v>2.5030462213677049</v>
      </c>
      <c r="Y242" s="5">
        <v>4482.1758724055035</v>
      </c>
      <c r="Z242" s="5">
        <f t="shared" ref="Z242:AA242" si="87">Z241+0.0002</f>
        <v>6.0000000000000006E-4</v>
      </c>
      <c r="AA242" s="5">
        <f t="shared" si="87"/>
        <v>8.0000000000000004E-4</v>
      </c>
      <c r="AB242" s="4">
        <v>2</v>
      </c>
    </row>
    <row r="243" spans="1:28" x14ac:dyDescent="0.25">
      <c r="C243" s="4">
        <v>11</v>
      </c>
      <c r="D243" s="5">
        <v>76703718282.793335</v>
      </c>
      <c r="E243" s="5">
        <v>76703718282.793335</v>
      </c>
      <c r="F243" s="5">
        <v>0.20744893661954208</v>
      </c>
      <c r="G243" s="5">
        <v>0</v>
      </c>
      <c r="H243" s="5">
        <v>29666233832.617981</v>
      </c>
      <c r="I243" s="5">
        <v>36045811691.630898</v>
      </c>
      <c r="J243" s="5">
        <v>36045811691.630898</v>
      </c>
      <c r="K243" s="5">
        <v>-6.5758294925186185E-11</v>
      </c>
      <c r="L243" s="5">
        <v>-6.5758294925186185E-11</v>
      </c>
      <c r="M243" s="5">
        <v>0</v>
      </c>
      <c r="N243" s="5">
        <v>2.0000000000000001E-4</v>
      </c>
      <c r="O243" s="5">
        <v>-17.11790838126873</v>
      </c>
      <c r="P243" s="5">
        <v>-17.11790838126873</v>
      </c>
      <c r="Q243" s="5">
        <v>1.2125399600334301E-8</v>
      </c>
      <c r="R243" s="5">
        <v>0</v>
      </c>
      <c r="S243" s="5">
        <v>-1.1176135550429702E-5</v>
      </c>
      <c r="T243" s="5">
        <v>1.1694788929506457E-5</v>
      </c>
      <c r="U243" s="5">
        <v>1.1694788929506457E-5</v>
      </c>
      <c r="V243" s="5">
        <v>0</v>
      </c>
      <c r="W243" s="5">
        <v>0</v>
      </c>
      <c r="X243" s="5">
        <v>2.3265530264306178</v>
      </c>
      <c r="Y243" s="5">
        <v>4121.8235903075838</v>
      </c>
      <c r="Z243" s="5">
        <f t="shared" ref="Z243:AA243" si="88">Z242+0.0002</f>
        <v>8.0000000000000004E-4</v>
      </c>
      <c r="AA243" s="5">
        <f t="shared" si="88"/>
        <v>1E-3</v>
      </c>
      <c r="AB243" s="4">
        <v>2</v>
      </c>
    </row>
    <row r="244" spans="1:28" x14ac:dyDescent="0.25">
      <c r="B244" t="s">
        <v>190</v>
      </c>
      <c r="C244" s="11">
        <v>12</v>
      </c>
      <c r="D244" s="5">
        <v>66990040723.42067</v>
      </c>
      <c r="E244" s="5">
        <v>66990040723.42067</v>
      </c>
      <c r="F244" s="5">
        <v>0.18386298522056116</v>
      </c>
      <c r="G244" s="5">
        <v>0</v>
      </c>
      <c r="H244" s="5">
        <v>26085042921.756943</v>
      </c>
      <c r="I244" s="5">
        <v>32575085479.421177</v>
      </c>
      <c r="J244" s="5">
        <v>32575085479.421177</v>
      </c>
      <c r="K244" s="5">
        <v>-6.4524294722713864E-11</v>
      </c>
      <c r="L244" s="5">
        <v>-6.4524294722713864E-11</v>
      </c>
      <c r="M244" s="5">
        <v>0</v>
      </c>
      <c r="N244" s="5">
        <v>2.0000000000000001E-4</v>
      </c>
      <c r="O244" s="5">
        <v>-24.207549553467832</v>
      </c>
      <c r="P244" s="5">
        <v>-24.207549553467832</v>
      </c>
      <c r="Q244" s="5">
        <v>1.1892879678784917E-8</v>
      </c>
      <c r="R244" s="5">
        <v>0</v>
      </c>
      <c r="S244" s="5">
        <v>-1.9370724208477407E-5</v>
      </c>
      <c r="T244" s="5">
        <v>1.0940021278832114E-5</v>
      </c>
      <c r="U244" s="5">
        <v>1.0940021278832114E-5</v>
      </c>
      <c r="V244" s="5">
        <v>0</v>
      </c>
      <c r="W244" s="5">
        <v>0</v>
      </c>
      <c r="X244" s="5">
        <v>2.1490669406752891</v>
      </c>
      <c r="Y244" s="5">
        <v>3760.7621004823491</v>
      </c>
      <c r="Z244" s="5">
        <f t="shared" ref="Z244:AA244" si="89">Z243+0.0002</f>
        <v>1E-3</v>
      </c>
      <c r="AA244" s="5">
        <f t="shared" si="89"/>
        <v>1.2000000000000001E-3</v>
      </c>
      <c r="AB244" s="4">
        <v>2</v>
      </c>
    </row>
    <row r="248" spans="1:28" x14ac:dyDescent="0.25">
      <c r="A248" s="15" t="s">
        <v>255</v>
      </c>
      <c r="C248" s="10" t="s">
        <v>27</v>
      </c>
      <c r="D248" s="10" t="s">
        <v>28</v>
      </c>
      <c r="E248" s="10" t="s">
        <v>29</v>
      </c>
      <c r="F248" s="10" t="s">
        <v>30</v>
      </c>
      <c r="G248" s="10" t="s">
        <v>31</v>
      </c>
      <c r="H248" s="10" t="s">
        <v>47</v>
      </c>
      <c r="I248" s="10" t="s">
        <v>32</v>
      </c>
      <c r="J248" s="10" t="s">
        <v>33</v>
      </c>
      <c r="K248" s="10" t="s">
        <v>34</v>
      </c>
      <c r="L248" s="10" t="s">
        <v>35</v>
      </c>
      <c r="M248" s="10" t="s">
        <v>36</v>
      </c>
      <c r="N248" s="10" t="s">
        <v>37</v>
      </c>
      <c r="O248" s="10" t="s">
        <v>38</v>
      </c>
      <c r="P248" s="10" t="s">
        <v>39</v>
      </c>
      <c r="Q248" s="10" t="s">
        <v>40</v>
      </c>
      <c r="R248" s="10" t="s">
        <v>41</v>
      </c>
      <c r="S248" s="10" t="s">
        <v>42</v>
      </c>
      <c r="T248" s="10" t="s">
        <v>48</v>
      </c>
      <c r="U248" s="10" t="s">
        <v>77</v>
      </c>
      <c r="V248" s="10" t="s">
        <v>78</v>
      </c>
      <c r="W248" s="10" t="s">
        <v>79</v>
      </c>
      <c r="X248" s="10" t="s">
        <v>49</v>
      </c>
      <c r="Y248" s="10" t="s">
        <v>43</v>
      </c>
      <c r="Z248" s="10" t="s">
        <v>44</v>
      </c>
      <c r="AA248" s="10" t="s">
        <v>45</v>
      </c>
      <c r="AB248" s="10" t="s">
        <v>46</v>
      </c>
    </row>
    <row r="249" spans="1:28" x14ac:dyDescent="0.25">
      <c r="A249" s="12" t="s">
        <v>81</v>
      </c>
      <c r="B249" t="s">
        <v>14</v>
      </c>
      <c r="C249" s="11">
        <v>1</v>
      </c>
      <c r="D249" s="5">
        <v>59820627475.225662</v>
      </c>
      <c r="E249" s="5">
        <v>59820627475.225662</v>
      </c>
      <c r="F249" s="5">
        <v>0.15006960259100588</v>
      </c>
      <c r="G249" s="5">
        <v>0</v>
      </c>
      <c r="H249" s="5">
        <v>22369656953.707127</v>
      </c>
      <c r="I249" s="5">
        <v>23337232847.685349</v>
      </c>
      <c r="J249" s="5">
        <v>23337232847.685349</v>
      </c>
      <c r="K249" s="5">
        <v>-2.032769146226786E-11</v>
      </c>
      <c r="L249" s="5">
        <v>-2.032769146226786E-11</v>
      </c>
      <c r="M249" s="5">
        <v>0</v>
      </c>
      <c r="N249" s="5">
        <v>2.0000000000000001E-4</v>
      </c>
      <c r="O249" s="5">
        <v>27.049830223504316</v>
      </c>
      <c r="P249" s="5">
        <v>27.049830223504316</v>
      </c>
      <c r="Q249" s="5">
        <v>3.770019191385308E-9</v>
      </c>
      <c r="R249" s="5">
        <v>0</v>
      </c>
      <c r="S249" s="5">
        <v>3.3222047682912335E-5</v>
      </c>
      <c r="T249" s="5">
        <v>5.9512879469891102E-6</v>
      </c>
      <c r="U249" s="5">
        <v>5.9512879469891102E-6</v>
      </c>
      <c r="V249" s="5">
        <v>0</v>
      </c>
      <c r="W249" s="5">
        <v>0</v>
      </c>
      <c r="X249" s="5">
        <v>1.303228344367084</v>
      </c>
      <c r="Y249" s="1">
        <v>2512.3059602622029</v>
      </c>
      <c r="Z249" s="5">
        <v>-1.1999999999999999E-3</v>
      </c>
      <c r="AA249" s="5">
        <v>-1E-3</v>
      </c>
      <c r="AB249" s="4">
        <v>2</v>
      </c>
    </row>
    <row r="250" spans="1:28" x14ac:dyDescent="0.25">
      <c r="C250" s="4">
        <v>2</v>
      </c>
      <c r="D250" s="5">
        <v>68389170363.141434</v>
      </c>
      <c r="E250" s="5">
        <v>68389170363.141434</v>
      </c>
      <c r="F250" s="5">
        <v>0.17590714378177427</v>
      </c>
      <c r="G250" s="5">
        <v>0</v>
      </c>
      <c r="H250" s="5">
        <v>25857952535.362633</v>
      </c>
      <c r="I250" s="5">
        <v>28449147626.768135</v>
      </c>
      <c r="J250" s="5">
        <v>28449147626.768135</v>
      </c>
      <c r="K250" s="5">
        <v>-3.470986059448516E-11</v>
      </c>
      <c r="L250" s="5">
        <v>-3.470986059448516E-11</v>
      </c>
      <c r="M250" s="5">
        <v>0</v>
      </c>
      <c r="N250" s="5">
        <v>2.0000000000000001E-4</v>
      </c>
      <c r="O250" s="5">
        <v>15.954842020525628</v>
      </c>
      <c r="P250" s="5">
        <v>15.954842020525628</v>
      </c>
      <c r="Q250" s="5">
        <v>6.4170589447435743E-9</v>
      </c>
      <c r="R250" s="5">
        <v>0</v>
      </c>
      <c r="S250" s="5">
        <v>2.244116855819227E-5</v>
      </c>
      <c r="T250" s="5">
        <v>7.9780975457027474E-6</v>
      </c>
      <c r="U250" s="5">
        <v>7.9780975457027474E-6</v>
      </c>
      <c r="V250" s="5">
        <v>0</v>
      </c>
      <c r="W250" s="5">
        <v>0</v>
      </c>
      <c r="X250" s="5">
        <v>1.679327768770513</v>
      </c>
      <c r="Y250" s="1">
        <v>3132.3769776932231</v>
      </c>
      <c r="Z250" s="5">
        <f t="shared" ref="Z250:AA250" si="90">Z249+0.0002</f>
        <v>-9.999999999999998E-4</v>
      </c>
      <c r="AA250" s="5">
        <f t="shared" si="90"/>
        <v>-8.0000000000000004E-4</v>
      </c>
      <c r="AB250" s="4">
        <v>2</v>
      </c>
    </row>
    <row r="251" spans="1:28" x14ac:dyDescent="0.25">
      <c r="C251" s="4">
        <v>3</v>
      </c>
      <c r="D251" s="5">
        <v>79220522719.073608</v>
      </c>
      <c r="E251" s="5">
        <v>79220522719.073608</v>
      </c>
      <c r="F251" s="5">
        <v>0.20534189154896226</v>
      </c>
      <c r="G251" s="5">
        <v>0</v>
      </c>
      <c r="H251" s="5">
        <v>30056344690.268448</v>
      </c>
      <c r="I251" s="5">
        <v>33596567234.51342</v>
      </c>
      <c r="J251" s="5">
        <v>33596567234.51342</v>
      </c>
      <c r="K251" s="5">
        <v>-4.43676423728962E-11</v>
      </c>
      <c r="L251" s="5">
        <v>-4.43676423728962E-11</v>
      </c>
      <c r="M251" s="5">
        <v>0</v>
      </c>
      <c r="N251" s="5">
        <v>2.0000000000000001E-4</v>
      </c>
      <c r="O251" s="5">
        <v>13.05209350461217</v>
      </c>
      <c r="P251" s="5">
        <v>13.05209350461217</v>
      </c>
      <c r="Q251" s="5">
        <v>8.1976296544662346E-9</v>
      </c>
      <c r="R251" s="5">
        <v>0</v>
      </c>
      <c r="S251" s="5">
        <v>2.0358972455788476E-5</v>
      </c>
      <c r="T251" s="5">
        <v>9.6676112721224858E-6</v>
      </c>
      <c r="U251" s="5">
        <v>9.6676112721224858E-6</v>
      </c>
      <c r="V251" s="5">
        <v>0</v>
      </c>
      <c r="W251" s="5">
        <v>0</v>
      </c>
      <c r="X251" s="5">
        <v>2.0140048930676739</v>
      </c>
      <c r="Y251" s="1">
        <v>3722.8606379054818</v>
      </c>
      <c r="Z251" s="5">
        <f t="shared" ref="Z251:AA251" si="91">Z250+0.0002</f>
        <v>-7.9999999999999982E-4</v>
      </c>
      <c r="AA251" s="5">
        <f t="shared" si="91"/>
        <v>-6.0000000000000006E-4</v>
      </c>
      <c r="AB251" s="4">
        <v>2</v>
      </c>
    </row>
    <row r="252" spans="1:28" x14ac:dyDescent="0.25">
      <c r="C252" s="4">
        <v>4</v>
      </c>
      <c r="D252" s="5">
        <v>90820547144.402344</v>
      </c>
      <c r="E252" s="5">
        <v>90820547144.402344</v>
      </c>
      <c r="F252" s="5">
        <v>0.23599860354346425</v>
      </c>
      <c r="G252" s="5">
        <v>0</v>
      </c>
      <c r="H252" s="5">
        <v>34495955299.554413</v>
      </c>
      <c r="I252" s="5">
        <v>38756047764.977722</v>
      </c>
      <c r="J252" s="5">
        <v>38756047764.977722</v>
      </c>
      <c r="K252" s="5">
        <v>-5.2420558759319785E-11</v>
      </c>
      <c r="L252" s="5">
        <v>-5.2420558759319785E-11</v>
      </c>
      <c r="M252" s="5">
        <v>0</v>
      </c>
      <c r="N252" s="5">
        <v>2.0000000000000001E-4</v>
      </c>
      <c r="O252" s="5">
        <v>12.932233217803102</v>
      </c>
      <c r="P252" s="5">
        <v>12.932233217803102</v>
      </c>
      <c r="Q252" s="5">
        <v>9.6838624792483381E-9</v>
      </c>
      <c r="R252" s="5">
        <v>0</v>
      </c>
      <c r="S252" s="5">
        <v>2.1231702419541593E-5</v>
      </c>
      <c r="T252" s="5">
        <v>1.1242546232711652E-5</v>
      </c>
      <c r="U252" s="5">
        <v>1.1242546232711652E-5</v>
      </c>
      <c r="V252" s="5">
        <v>0</v>
      </c>
      <c r="W252" s="5">
        <v>0</v>
      </c>
      <c r="X252" s="5">
        <v>2.3346109408593261</v>
      </c>
      <c r="Y252" s="1">
        <v>4303.2935291852327</v>
      </c>
      <c r="Z252" s="5">
        <f t="shared" ref="Z252:AA252" si="92">Z251+0.0002</f>
        <v>-5.9999999999999984E-4</v>
      </c>
      <c r="AA252" s="5">
        <f t="shared" si="92"/>
        <v>-4.0000000000000007E-4</v>
      </c>
      <c r="AB252" s="4">
        <v>2</v>
      </c>
    </row>
    <row r="253" spans="1:28" x14ac:dyDescent="0.25">
      <c r="C253" s="4">
        <v>5</v>
      </c>
      <c r="D253" s="5">
        <v>102825027576.16132</v>
      </c>
      <c r="E253" s="5">
        <v>102825027576.16132</v>
      </c>
      <c r="F253" s="5">
        <v>0.26729828253398064</v>
      </c>
      <c r="G253" s="5">
        <v>0</v>
      </c>
      <c r="H253" s="5">
        <v>39062489022.896645</v>
      </c>
      <c r="I253" s="5">
        <v>43921874451.144829</v>
      </c>
      <c r="J253" s="5">
        <v>43921874451.144829</v>
      </c>
      <c r="K253" s="5">
        <v>-5.9629035139212413E-11</v>
      </c>
      <c r="L253" s="5">
        <v>-5.9629035139212413E-11</v>
      </c>
      <c r="M253" s="5">
        <v>0</v>
      </c>
      <c r="N253" s="5">
        <v>2.0000000000000001E-4</v>
      </c>
      <c r="O253" s="5">
        <v>14.276659073677751</v>
      </c>
      <c r="P253" s="5">
        <v>14.276659073677751</v>
      </c>
      <c r="Q253" s="5">
        <v>1.1015222074959366E-8</v>
      </c>
      <c r="R253" s="5">
        <v>0</v>
      </c>
      <c r="S253" s="5">
        <v>2.3659240530483906E-5</v>
      </c>
      <c r="T253" s="5">
        <v>1.2757192714124091E-5</v>
      </c>
      <c r="U253" s="5">
        <v>1.2757192714124091E-5</v>
      </c>
      <c r="V253" s="5">
        <v>0</v>
      </c>
      <c r="W253" s="5">
        <v>0</v>
      </c>
      <c r="X253" s="5">
        <v>2.6478131403310288</v>
      </c>
      <c r="Y253" s="1">
        <v>4878.4379573793067</v>
      </c>
      <c r="Z253" s="5">
        <f t="shared" ref="Z253:AA253" si="93">Z252+0.0002</f>
        <v>-3.9999999999999986E-4</v>
      </c>
      <c r="AA253" s="5">
        <f t="shared" si="93"/>
        <v>-2.0000000000000006E-4</v>
      </c>
      <c r="AB253" s="4">
        <v>2</v>
      </c>
    </row>
    <row r="254" spans="1:28" x14ac:dyDescent="0.25">
      <c r="C254" s="4">
        <v>6</v>
      </c>
      <c r="D254" s="5">
        <v>115083139349.29472</v>
      </c>
      <c r="E254" s="5">
        <v>115083139349.29472</v>
      </c>
      <c r="F254" s="5">
        <v>0.29900116132636895</v>
      </c>
      <c r="G254" s="5">
        <v>0</v>
      </c>
      <c r="H254" s="5">
        <v>43708615283.270607</v>
      </c>
      <c r="I254" s="5">
        <v>49091680764.163528</v>
      </c>
      <c r="J254" s="5">
        <v>49091680764.163528</v>
      </c>
      <c r="K254" s="5">
        <v>-6.6307969496829232E-11</v>
      </c>
      <c r="L254" s="5">
        <v>-6.6307969496829232E-11</v>
      </c>
      <c r="M254" s="5">
        <v>0</v>
      </c>
      <c r="N254" s="5">
        <v>2.0000000000000001E-4</v>
      </c>
      <c r="O254" s="5">
        <v>16.539327835134944</v>
      </c>
      <c r="P254" s="5">
        <v>16.539327835134944</v>
      </c>
      <c r="Q254" s="5">
        <v>1.2249461825229162E-8</v>
      </c>
      <c r="R254" s="5">
        <v>0</v>
      </c>
      <c r="S254" s="5">
        <v>2.7061787220064957E-5</v>
      </c>
      <c r="T254" s="5">
        <v>1.4234032740446459E-5</v>
      </c>
      <c r="U254" s="5">
        <v>1.4234032740446459E-5</v>
      </c>
      <c r="V254" s="5">
        <v>0</v>
      </c>
      <c r="W254" s="5">
        <v>0</v>
      </c>
      <c r="X254" s="5">
        <v>2.9563724418092145</v>
      </c>
      <c r="Y254" s="1">
        <v>5450.2660298637247</v>
      </c>
      <c r="Z254" s="5">
        <f t="shared" ref="Z254:AA254" si="94">Z253+0.0002</f>
        <v>-1.9999999999999985E-4</v>
      </c>
      <c r="AA254" s="5">
        <f t="shared" si="94"/>
        <v>0</v>
      </c>
      <c r="AB254" s="4">
        <v>2</v>
      </c>
    </row>
    <row r="255" spans="1:28" x14ac:dyDescent="0.25">
      <c r="C255" s="4">
        <v>7</v>
      </c>
      <c r="D255" s="5">
        <v>113971636792.05052</v>
      </c>
      <c r="E255" s="5">
        <v>113971636792.05052</v>
      </c>
      <c r="F255" s="5">
        <v>0.29723419669008821</v>
      </c>
      <c r="G255" s="5">
        <v>0</v>
      </c>
      <c r="H255" s="5">
        <v>43359812536.855576</v>
      </c>
      <c r="I255" s="5">
        <v>49074240626.842781</v>
      </c>
      <c r="J255" s="5">
        <v>49074240626.842781</v>
      </c>
      <c r="K255" s="5">
        <v>-6.8628610584552369E-11</v>
      </c>
      <c r="L255" s="5">
        <v>-6.8628610584552369E-11</v>
      </c>
      <c r="M255" s="5">
        <v>0</v>
      </c>
      <c r="N255" s="5">
        <v>2.0000000000000001E-4</v>
      </c>
      <c r="O255" s="5">
        <v>12.515261518268879</v>
      </c>
      <c r="P255" s="5">
        <v>12.515261518268879</v>
      </c>
      <c r="Q255" s="5">
        <v>1.2675075457921867E-8</v>
      </c>
      <c r="R255" s="5">
        <v>0</v>
      </c>
      <c r="S255" s="5">
        <v>2.2788953576480818E-5</v>
      </c>
      <c r="T255" s="5">
        <v>1.4399714044993599E-5</v>
      </c>
      <c r="U255" s="5">
        <v>1.4399714044993599E-5</v>
      </c>
      <c r="V255" s="5">
        <v>0</v>
      </c>
      <c r="W255" s="5">
        <v>0</v>
      </c>
      <c r="X255" s="5">
        <v>2.976719268683425</v>
      </c>
      <c r="Y255" s="1">
        <v>5464.7994776310179</v>
      </c>
      <c r="Z255" s="5">
        <f t="shared" ref="Z255:AA255" si="95">Z254+0.0002</f>
        <v>0</v>
      </c>
      <c r="AA255" s="5">
        <f t="shared" si="95"/>
        <v>2.0000000000000001E-4</v>
      </c>
      <c r="AB255" s="4">
        <v>2</v>
      </c>
    </row>
    <row r="256" spans="1:28" x14ac:dyDescent="0.25">
      <c r="C256" s="4">
        <v>8</v>
      </c>
      <c r="D256" s="5">
        <v>99444422222.66449</v>
      </c>
      <c r="E256" s="5">
        <v>99444422222.66449</v>
      </c>
      <c r="F256" s="5">
        <v>0.26192410676630601</v>
      </c>
      <c r="G256" s="5">
        <v>0</v>
      </c>
      <c r="H256" s="5">
        <v>38001614781.843521</v>
      </c>
      <c r="I256" s="5">
        <v>43868830739.092178</v>
      </c>
      <c r="J256" s="5">
        <v>43868830739.092178</v>
      </c>
      <c r="K256" s="5">
        <v>-6.6687203052161194E-11</v>
      </c>
      <c r="L256" s="5">
        <v>-6.6687203052161194E-11</v>
      </c>
      <c r="M256" s="5">
        <v>0</v>
      </c>
      <c r="N256" s="5">
        <v>2.0000000000000001E-4</v>
      </c>
      <c r="O256" s="5">
        <v>2.0375688035193793</v>
      </c>
      <c r="P256" s="5">
        <v>2.0375688035193793</v>
      </c>
      <c r="Q256" s="5">
        <v>1.2309714575965886E-8</v>
      </c>
      <c r="R256" s="5">
        <v>0</v>
      </c>
      <c r="S256" s="5">
        <v>1.0663531077583107E-5</v>
      </c>
      <c r="T256" s="5">
        <v>1.3261107978624327E-5</v>
      </c>
      <c r="U256" s="5">
        <v>1.3261107978624327E-5</v>
      </c>
      <c r="V256" s="5">
        <v>0</v>
      </c>
      <c r="W256" s="5">
        <v>0</v>
      </c>
      <c r="X256" s="5">
        <v>2.7096974710591279</v>
      </c>
      <c r="Y256" s="1">
        <v>4922.6410507565197</v>
      </c>
      <c r="Z256" s="5">
        <f t="shared" ref="Z256:AA256" si="96">Z255+0.0002</f>
        <v>2.0000000000000001E-4</v>
      </c>
      <c r="AA256" s="5">
        <f t="shared" si="96"/>
        <v>4.0000000000000002E-4</v>
      </c>
      <c r="AB256" s="4">
        <v>2</v>
      </c>
    </row>
    <row r="257" spans="1:28" x14ac:dyDescent="0.25">
      <c r="C257" s="4">
        <v>9</v>
      </c>
      <c r="D257" s="5">
        <v>85016966447.762909</v>
      </c>
      <c r="E257" s="5">
        <v>85016966447.762909</v>
      </c>
      <c r="F257" s="5">
        <v>0.22677260420776491</v>
      </c>
      <c r="G257" s="5">
        <v>0</v>
      </c>
      <c r="H257" s="5">
        <v>32674722525.202522</v>
      </c>
      <c r="I257" s="5">
        <v>38664986126.260124</v>
      </c>
      <c r="J257" s="5">
        <v>38664986126.260124</v>
      </c>
      <c r="K257" s="5">
        <v>-6.4537514975714078E-11</v>
      </c>
      <c r="L257" s="5">
        <v>-6.4537514975714078E-11</v>
      </c>
      <c r="M257" s="5">
        <v>0</v>
      </c>
      <c r="N257" s="5">
        <v>2.0000000000000001E-4</v>
      </c>
      <c r="O257" s="5">
        <v>-8.0789587460401862</v>
      </c>
      <c r="P257" s="5">
        <v>-8.0789587460401862</v>
      </c>
      <c r="Q257" s="5">
        <v>1.1906154319085524E-8</v>
      </c>
      <c r="R257" s="5">
        <v>0</v>
      </c>
      <c r="S257" s="5">
        <v>-1.0783990662691239E-6</v>
      </c>
      <c r="T257" s="5">
        <v>1.2107631800528803E-5</v>
      </c>
      <c r="U257" s="5">
        <v>1.2107631800528803E-5</v>
      </c>
      <c r="V257" s="5">
        <v>0</v>
      </c>
      <c r="W257" s="5">
        <v>0</v>
      </c>
      <c r="X257" s="5">
        <v>2.4408495193631867</v>
      </c>
      <c r="Y257" s="1">
        <v>4379.1782281165615</v>
      </c>
      <c r="Z257" s="5">
        <f t="shared" ref="Z257:AA257" si="97">Z256+0.0002</f>
        <v>4.0000000000000002E-4</v>
      </c>
      <c r="AA257" s="5">
        <f t="shared" si="97"/>
        <v>6.0000000000000006E-4</v>
      </c>
      <c r="AB257" s="4">
        <v>2</v>
      </c>
    </row>
    <row r="258" spans="1:28" x14ac:dyDescent="0.25">
      <c r="C258" s="4">
        <v>10</v>
      </c>
      <c r="D258" s="5">
        <v>70669013051.468826</v>
      </c>
      <c r="E258" s="5">
        <v>70669013051.468826</v>
      </c>
      <c r="F258" s="5">
        <v>0.1917474872257427</v>
      </c>
      <c r="G258" s="5">
        <v>0</v>
      </c>
      <c r="H258" s="5">
        <v>27372779062.267914</v>
      </c>
      <c r="I258" s="5">
        <v>33462388953.113396</v>
      </c>
      <c r="J258" s="5">
        <v>33462388953.113396</v>
      </c>
      <c r="K258" s="5">
        <v>-6.222183853948697E-11</v>
      </c>
      <c r="L258" s="5">
        <v>-6.222183853948697E-11</v>
      </c>
      <c r="M258" s="5">
        <v>0</v>
      </c>
      <c r="N258" s="5">
        <v>2.0000000000000001E-4</v>
      </c>
      <c r="O258" s="5">
        <v>-17.907657138770592</v>
      </c>
      <c r="P258" s="5">
        <v>-17.907657138770592</v>
      </c>
      <c r="Q258" s="5">
        <v>1.147215122071433E-8</v>
      </c>
      <c r="R258" s="5">
        <v>0</v>
      </c>
      <c r="S258" s="5">
        <v>-1.2514706487218058E-5</v>
      </c>
      <c r="T258" s="5">
        <v>1.094230494542274E-5</v>
      </c>
      <c r="U258" s="5">
        <v>1.094230494542274E-5</v>
      </c>
      <c r="V258" s="5">
        <v>0</v>
      </c>
      <c r="W258" s="5">
        <v>0</v>
      </c>
      <c r="X258" s="5">
        <v>2.1705462213677049</v>
      </c>
      <c r="Y258" s="1">
        <v>3834.6758724055035</v>
      </c>
      <c r="Z258" s="5">
        <f t="shared" ref="Z258:AA258" si="98">Z257+0.0002</f>
        <v>6.0000000000000006E-4</v>
      </c>
      <c r="AA258" s="5">
        <f t="shared" si="98"/>
        <v>8.0000000000000004E-4</v>
      </c>
      <c r="AB258" s="4">
        <v>2</v>
      </c>
    </row>
    <row r="259" spans="1:28" x14ac:dyDescent="0.25">
      <c r="C259" s="4">
        <v>11</v>
      </c>
      <c r="D259" s="5">
        <v>56386061117.153488</v>
      </c>
      <c r="E259" s="5">
        <v>56386061117.153488</v>
      </c>
      <c r="F259" s="5">
        <v>0.15682570359538442</v>
      </c>
      <c r="G259" s="5">
        <v>0</v>
      </c>
      <c r="H259" s="5">
        <v>22091233832.617981</v>
      </c>
      <c r="I259" s="5">
        <v>28260811691.630898</v>
      </c>
      <c r="J259" s="5">
        <v>28260811691.630898</v>
      </c>
      <c r="K259" s="5">
        <v>-5.9770449357979327E-11</v>
      </c>
      <c r="L259" s="5">
        <v>-5.9770449357979327E-11</v>
      </c>
      <c r="M259" s="5">
        <v>0</v>
      </c>
      <c r="N259" s="5">
        <v>2.0000000000000001E-4</v>
      </c>
      <c r="O259" s="5">
        <v>-27.501025264385607</v>
      </c>
      <c r="P259" s="5">
        <v>-27.501025264385607</v>
      </c>
      <c r="Q259" s="5">
        <v>1.1013257933667636E-8</v>
      </c>
      <c r="R259" s="5">
        <v>0</v>
      </c>
      <c r="S259" s="5">
        <v>-2.3701135550429702E-5</v>
      </c>
      <c r="T259" s="5">
        <v>9.7672889295064559E-6</v>
      </c>
      <c r="U259" s="5">
        <v>9.7672889295064559E-6</v>
      </c>
      <c r="V259" s="5">
        <v>0</v>
      </c>
      <c r="W259" s="5">
        <v>0</v>
      </c>
      <c r="X259" s="5">
        <v>1.8990530264306178</v>
      </c>
      <c r="Y259" s="1">
        <v>3289.3235903075838</v>
      </c>
      <c r="Z259" s="5">
        <f t="shared" ref="Z259:AA259" si="99">Z258+0.0002</f>
        <v>8.0000000000000004E-4</v>
      </c>
      <c r="AA259" s="5">
        <f t="shared" si="99"/>
        <v>1E-3</v>
      </c>
      <c r="AB259" s="4">
        <v>2</v>
      </c>
    </row>
    <row r="260" spans="1:28" x14ac:dyDescent="0.25">
      <c r="B260" t="s">
        <v>190</v>
      </c>
      <c r="C260" s="11">
        <v>12</v>
      </c>
      <c r="D260" s="5">
        <v>42157348632.083069</v>
      </c>
      <c r="E260" s="5">
        <v>42157348632.083069</v>
      </c>
      <c r="F260" s="5">
        <v>0.12199014485770177</v>
      </c>
      <c r="G260" s="5">
        <v>0</v>
      </c>
      <c r="H260" s="5">
        <v>16826709588.423611</v>
      </c>
      <c r="I260" s="5">
        <v>23060085479.421173</v>
      </c>
      <c r="J260" s="5">
        <v>23060085479.421173</v>
      </c>
      <c r="K260" s="5">
        <v>-5.7205816807238804E-11</v>
      </c>
      <c r="L260" s="5">
        <v>-5.7205816807238804E-11</v>
      </c>
      <c r="M260" s="5">
        <v>0</v>
      </c>
      <c r="N260" s="5">
        <v>2.0000000000000001E-4</v>
      </c>
      <c r="O260" s="5">
        <v>-36.898025743944018</v>
      </c>
      <c r="P260" s="5">
        <v>-36.898025743944018</v>
      </c>
      <c r="Q260" s="5">
        <v>1.0533595419525658E-8</v>
      </c>
      <c r="R260" s="5">
        <v>0</v>
      </c>
      <c r="S260" s="5">
        <v>-3.4679057541810737E-5</v>
      </c>
      <c r="T260" s="5">
        <v>8.5841879454987784E-6</v>
      </c>
      <c r="U260" s="5">
        <v>8.5841879454987784E-6</v>
      </c>
      <c r="V260" s="5">
        <v>0</v>
      </c>
      <c r="W260" s="5">
        <v>0</v>
      </c>
      <c r="X260" s="5">
        <v>1.6265669406752892</v>
      </c>
      <c r="Y260" s="1">
        <v>2743.2621004823491</v>
      </c>
      <c r="Z260" s="5">
        <f t="shared" ref="Z260:AA260" si="100">Z259+0.0002</f>
        <v>1E-3</v>
      </c>
      <c r="AA260" s="5">
        <f t="shared" si="100"/>
        <v>1.2000000000000001E-3</v>
      </c>
      <c r="AB260" s="4">
        <v>2</v>
      </c>
    </row>
    <row r="263" spans="1:28" x14ac:dyDescent="0.25">
      <c r="A263" s="15" t="s">
        <v>256</v>
      </c>
      <c r="C263" s="10" t="s">
        <v>27</v>
      </c>
      <c r="D263" s="10" t="s">
        <v>28</v>
      </c>
      <c r="E263" s="10" t="s">
        <v>29</v>
      </c>
      <c r="F263" s="10" t="s">
        <v>30</v>
      </c>
      <c r="G263" s="10" t="s">
        <v>31</v>
      </c>
      <c r="H263" s="10" t="s">
        <v>47</v>
      </c>
      <c r="I263" s="10" t="s">
        <v>32</v>
      </c>
      <c r="J263" s="10" t="s">
        <v>33</v>
      </c>
      <c r="K263" s="10" t="s">
        <v>34</v>
      </c>
      <c r="L263" s="10" t="s">
        <v>35</v>
      </c>
      <c r="M263" s="10" t="s">
        <v>36</v>
      </c>
      <c r="N263" s="10" t="s">
        <v>37</v>
      </c>
      <c r="O263" s="10" t="s">
        <v>38</v>
      </c>
      <c r="P263" s="10" t="s">
        <v>39</v>
      </c>
      <c r="Q263" s="10" t="s">
        <v>40</v>
      </c>
      <c r="R263" s="10" t="s">
        <v>41</v>
      </c>
      <c r="S263" s="10" t="s">
        <v>42</v>
      </c>
      <c r="T263" s="10" t="s">
        <v>48</v>
      </c>
      <c r="U263" s="10" t="s">
        <v>77</v>
      </c>
      <c r="V263" s="10" t="s">
        <v>78</v>
      </c>
      <c r="W263" s="10" t="s">
        <v>79</v>
      </c>
      <c r="X263" s="10" t="s">
        <v>49</v>
      </c>
      <c r="Y263" s="10" t="s">
        <v>43</v>
      </c>
      <c r="Z263" s="10" t="s">
        <v>44</v>
      </c>
      <c r="AA263" s="10" t="s">
        <v>45</v>
      </c>
      <c r="AB263" s="10" t="s">
        <v>46</v>
      </c>
    </row>
    <row r="264" spans="1:28" x14ac:dyDescent="0.25">
      <c r="A264" s="12" t="s">
        <v>81</v>
      </c>
      <c r="B264" t="s">
        <v>14</v>
      </c>
      <c r="C264" s="11">
        <v>1</v>
      </c>
      <c r="D264" s="5">
        <v>34987935383.888062</v>
      </c>
      <c r="E264" s="5">
        <v>34987935383.888062</v>
      </c>
      <c r="F264" s="5">
        <v>8.8196762228146458E-2</v>
      </c>
      <c r="G264" s="5">
        <v>0</v>
      </c>
      <c r="H264" s="5">
        <v>13111323620.373787</v>
      </c>
      <c r="I264" s="5">
        <v>13822232847.685349</v>
      </c>
      <c r="J264" s="5">
        <v>13822232847.685349</v>
      </c>
      <c r="K264" s="5">
        <v>-1.3009213546792803E-11</v>
      </c>
      <c r="L264" s="5">
        <v>-1.3009213546792803E-11</v>
      </c>
      <c r="M264" s="5">
        <v>0</v>
      </c>
      <c r="N264" s="5">
        <v>2.0000000000000001E-4</v>
      </c>
      <c r="O264" s="5">
        <v>14.359354033028119</v>
      </c>
      <c r="P264" s="5">
        <v>14.359354033028119</v>
      </c>
      <c r="Q264" s="5">
        <v>2.410734932126048E-9</v>
      </c>
      <c r="R264" s="5">
        <v>0</v>
      </c>
      <c r="S264" s="5">
        <v>1.7913714349578991E-5</v>
      </c>
      <c r="T264" s="5">
        <v>3.5954546136557756E-6</v>
      </c>
      <c r="U264" s="5">
        <v>3.5954546136557756E-6</v>
      </c>
      <c r="V264" s="5">
        <v>0</v>
      </c>
      <c r="W264" s="5">
        <v>0</v>
      </c>
      <c r="X264" s="5">
        <v>0.7807283443670836</v>
      </c>
      <c r="Y264" s="5">
        <v>1494.8059602622025</v>
      </c>
      <c r="Z264" s="5">
        <v>-1.1999999999999999E-3</v>
      </c>
      <c r="AA264" s="5">
        <v>-1E-3</v>
      </c>
      <c r="AB264" s="4">
        <v>2</v>
      </c>
    </row>
    <row r="265" spans="1:28" x14ac:dyDescent="0.25">
      <c r="C265" s="4">
        <v>2</v>
      </c>
      <c r="D265" s="5">
        <v>48071513197.501572</v>
      </c>
      <c r="E265" s="5">
        <v>48071513197.501572</v>
      </c>
      <c r="F265" s="5">
        <v>0.12528391075761658</v>
      </c>
      <c r="G265" s="5">
        <v>0</v>
      </c>
      <c r="H265" s="5">
        <v>18282952535.362633</v>
      </c>
      <c r="I265" s="5">
        <v>20664147626.768135</v>
      </c>
      <c r="J265" s="5">
        <v>20664147626.768135</v>
      </c>
      <c r="K265" s="5">
        <v>-2.8722015027278296E-11</v>
      </c>
      <c r="L265" s="5">
        <v>-2.8722015027278296E-11</v>
      </c>
      <c r="M265" s="5">
        <v>0</v>
      </c>
      <c r="N265" s="5">
        <v>2.0000000000000001E-4</v>
      </c>
      <c r="O265" s="5">
        <v>5.5717251374087411</v>
      </c>
      <c r="P265" s="5">
        <v>5.5717251374087411</v>
      </c>
      <c r="Q265" s="5">
        <v>5.3049172780769066E-9</v>
      </c>
      <c r="R265" s="5">
        <v>0</v>
      </c>
      <c r="S265" s="5">
        <v>9.9161685581922702E-6</v>
      </c>
      <c r="T265" s="5">
        <v>6.0505975457027477E-6</v>
      </c>
      <c r="U265" s="5">
        <v>6.0505975457027477E-6</v>
      </c>
      <c r="V265" s="5">
        <v>0</v>
      </c>
      <c r="W265" s="5">
        <v>0</v>
      </c>
      <c r="X265" s="5">
        <v>1.2518277687705128</v>
      </c>
      <c r="Y265" s="5">
        <v>2299.8769776932231</v>
      </c>
      <c r="Z265" s="5">
        <f t="shared" ref="Z265:AA265" si="101">Z264+0.0002</f>
        <v>-9.999999999999998E-4</v>
      </c>
      <c r="AA265" s="5">
        <f t="shared" si="101"/>
        <v>-8.0000000000000004E-4</v>
      </c>
      <c r="AB265" s="4">
        <v>2</v>
      </c>
    </row>
    <row r="266" spans="1:28" x14ac:dyDescent="0.25">
      <c r="C266" s="4">
        <v>3</v>
      </c>
      <c r="D266" s="5">
        <v>63417900479.1315</v>
      </c>
      <c r="E266" s="5">
        <v>63417900479.1315</v>
      </c>
      <c r="F266" s="5">
        <v>0.16596826586350627</v>
      </c>
      <c r="G266" s="5">
        <v>0</v>
      </c>
      <c r="H266" s="5">
        <v>24164678023.60178</v>
      </c>
      <c r="I266" s="5">
        <v>27541567234.51342</v>
      </c>
      <c r="J266" s="5">
        <v>27541567234.51342</v>
      </c>
      <c r="K266" s="5">
        <v>-3.9710429153957524E-11</v>
      </c>
      <c r="L266" s="5">
        <v>-3.9710429153957524E-11</v>
      </c>
      <c r="M266" s="5">
        <v>0</v>
      </c>
      <c r="N266" s="5">
        <v>2.0000000000000001E-4</v>
      </c>
      <c r="O266" s="5">
        <v>4.9763359288545885</v>
      </c>
      <c r="P266" s="5">
        <v>4.9763359288545885</v>
      </c>
      <c r="Q266" s="5">
        <v>7.33263058039216E-9</v>
      </c>
      <c r="R266" s="5">
        <v>0</v>
      </c>
      <c r="S266" s="5">
        <v>1.0617305789121811E-5</v>
      </c>
      <c r="T266" s="5">
        <v>8.1684446054558184E-6</v>
      </c>
      <c r="U266" s="5">
        <v>8.1684446054558184E-6</v>
      </c>
      <c r="V266" s="5">
        <v>0</v>
      </c>
      <c r="W266" s="5">
        <v>0</v>
      </c>
      <c r="X266" s="5">
        <v>1.6815048930676737</v>
      </c>
      <c r="Y266" s="5">
        <v>3075.3606379054818</v>
      </c>
      <c r="Z266" s="5">
        <f t="shared" ref="Z266:AA266" si="102">Z265+0.0002</f>
        <v>-7.9999999999999982E-4</v>
      </c>
      <c r="AA266" s="5">
        <f t="shared" si="102"/>
        <v>-6.0000000000000006E-4</v>
      </c>
      <c r="AB266" s="4">
        <v>2</v>
      </c>
    </row>
    <row r="267" spans="1:28" x14ac:dyDescent="0.25">
      <c r="C267" s="4">
        <v>4</v>
      </c>
      <c r="D267" s="5">
        <v>79532959830.157959</v>
      </c>
      <c r="E267" s="5">
        <v>79532959830.157959</v>
      </c>
      <c r="F267" s="5">
        <v>0.20787458519670998</v>
      </c>
      <c r="G267" s="5">
        <v>0</v>
      </c>
      <c r="H267" s="5">
        <v>30287621966.221077</v>
      </c>
      <c r="I267" s="5">
        <v>34431047764.977722</v>
      </c>
      <c r="J267" s="5">
        <v>34431047764.977722</v>
      </c>
      <c r="K267" s="5">
        <v>-4.9093977888649306E-11</v>
      </c>
      <c r="L267" s="5">
        <v>-4.9093977888649306E-11</v>
      </c>
      <c r="M267" s="5">
        <v>0</v>
      </c>
      <c r="N267" s="5">
        <v>2.0000000000000001E-4</v>
      </c>
      <c r="O267" s="5">
        <v>7.1638349494048299</v>
      </c>
      <c r="P267" s="5">
        <v>7.1638349494048299</v>
      </c>
      <c r="Q267" s="5">
        <v>9.0660059977668574E-9</v>
      </c>
      <c r="R267" s="5">
        <v>0</v>
      </c>
      <c r="S267" s="5">
        <v>1.4273369086208259E-5</v>
      </c>
      <c r="T267" s="5">
        <v>1.0171712899378319E-5</v>
      </c>
      <c r="U267" s="5">
        <v>1.0171712899378319E-5</v>
      </c>
      <c r="V267" s="5">
        <v>0</v>
      </c>
      <c r="W267" s="5">
        <v>0</v>
      </c>
      <c r="X267" s="5">
        <v>2.0971109408593258</v>
      </c>
      <c r="Y267" s="5">
        <v>3840.7935291852327</v>
      </c>
      <c r="Z267" s="5">
        <f t="shared" ref="Z267:AA267" si="103">Z266+0.0002</f>
        <v>-5.9999999999999984E-4</v>
      </c>
      <c r="AA267" s="5">
        <f t="shared" si="103"/>
        <v>-4.0000000000000007E-4</v>
      </c>
      <c r="AB267" s="4">
        <v>2</v>
      </c>
    </row>
    <row r="268" spans="1:28" x14ac:dyDescent="0.25">
      <c r="C268" s="4">
        <v>5</v>
      </c>
      <c r="D268" s="5">
        <v>96052475187.6147</v>
      </c>
      <c r="E268" s="5">
        <v>96052475187.6147</v>
      </c>
      <c r="F268" s="5">
        <v>0.25042387152592804</v>
      </c>
      <c r="G268" s="5">
        <v>0</v>
      </c>
      <c r="H268" s="5">
        <v>36537489022.896645</v>
      </c>
      <c r="I268" s="5">
        <v>41326874451.144829</v>
      </c>
      <c r="J268" s="5">
        <v>41326874451.144829</v>
      </c>
      <c r="K268" s="5">
        <v>-5.7633086616810123E-11</v>
      </c>
      <c r="L268" s="5">
        <v>-5.7633086616810123E-11</v>
      </c>
      <c r="M268" s="5">
        <v>0</v>
      </c>
      <c r="N268" s="5">
        <v>2.0000000000000001E-4</v>
      </c>
      <c r="O268" s="5">
        <v>10.815620112638786</v>
      </c>
      <c r="P268" s="5">
        <v>10.815620112638786</v>
      </c>
      <c r="Q268" s="5">
        <v>1.0644508186070476E-8</v>
      </c>
      <c r="R268" s="5">
        <v>0</v>
      </c>
      <c r="S268" s="5">
        <v>1.9484240530483906E-5</v>
      </c>
      <c r="T268" s="5">
        <v>1.2114692714124092E-5</v>
      </c>
      <c r="U268" s="5">
        <v>1.2114692714124092E-5</v>
      </c>
      <c r="V268" s="5">
        <v>0</v>
      </c>
      <c r="W268" s="5">
        <v>0</v>
      </c>
      <c r="X268" s="5">
        <v>2.5053131403310287</v>
      </c>
      <c r="Y268" s="5">
        <v>4600.9379573793067</v>
      </c>
      <c r="Z268" s="5">
        <f t="shared" ref="Z268:AA268" si="104">Z267+0.0002</f>
        <v>-3.9999999999999986E-4</v>
      </c>
      <c r="AA268" s="5">
        <f t="shared" si="104"/>
        <v>-2.0000000000000006E-4</v>
      </c>
      <c r="AB268" s="4">
        <v>2</v>
      </c>
    </row>
    <row r="269" spans="1:28" x14ac:dyDescent="0.25">
      <c r="C269" s="4">
        <v>6</v>
      </c>
      <c r="D269" s="5">
        <v>112825621886.44585</v>
      </c>
      <c r="E269" s="5">
        <v>112825621886.44585</v>
      </c>
      <c r="F269" s="5">
        <v>0.29337635765701808</v>
      </c>
      <c r="G269" s="5">
        <v>0</v>
      </c>
      <c r="H269" s="5">
        <v>42866948616.603943</v>
      </c>
      <c r="I269" s="5">
        <v>48226680764.163528</v>
      </c>
      <c r="J269" s="5">
        <v>48226680764.163528</v>
      </c>
      <c r="K269" s="5">
        <v>-6.5642653322695144E-11</v>
      </c>
      <c r="L269" s="5">
        <v>-6.5642653322695144E-11</v>
      </c>
      <c r="M269" s="5">
        <v>0</v>
      </c>
      <c r="N269" s="5">
        <v>2.0000000000000001E-4</v>
      </c>
      <c r="O269" s="5">
        <v>15.385648181455291</v>
      </c>
      <c r="P269" s="5">
        <v>15.385648181455291</v>
      </c>
      <c r="Q269" s="5">
        <v>1.2125890528932864E-8</v>
      </c>
      <c r="R269" s="5">
        <v>0</v>
      </c>
      <c r="S269" s="5">
        <v>2.5670120553398288E-5</v>
      </c>
      <c r="T269" s="5">
        <v>1.4019866073779793E-5</v>
      </c>
      <c r="U269" s="5">
        <v>1.4019866073779793E-5</v>
      </c>
      <c r="V269" s="5">
        <v>0</v>
      </c>
      <c r="W269" s="5">
        <v>0</v>
      </c>
      <c r="X269" s="5">
        <v>2.9088724418092147</v>
      </c>
      <c r="Y269" s="5">
        <v>5357.7660298637247</v>
      </c>
      <c r="Z269" s="5">
        <f t="shared" ref="Z269:AA269" si="105">Z268+0.0002</f>
        <v>-1.9999999999999985E-4</v>
      </c>
      <c r="AA269" s="5">
        <f t="shared" si="105"/>
        <v>0</v>
      </c>
      <c r="AB269" s="4">
        <v>2</v>
      </c>
    </row>
    <row r="270" spans="1:28" x14ac:dyDescent="0.25">
      <c r="C270" s="4">
        <v>7</v>
      </c>
      <c r="D270" s="5">
        <v>111714119329.20164</v>
      </c>
      <c r="E270" s="5">
        <v>111714119329.20164</v>
      </c>
      <c r="F270" s="5">
        <v>0.29160939302073735</v>
      </c>
      <c r="G270" s="5">
        <v>0</v>
      </c>
      <c r="H270" s="5">
        <v>42518145870.188911</v>
      </c>
      <c r="I270" s="5">
        <v>48209240626.842781</v>
      </c>
      <c r="J270" s="5">
        <v>48209240626.842781</v>
      </c>
      <c r="K270" s="5">
        <v>-6.7963294410418281E-11</v>
      </c>
      <c r="L270" s="5">
        <v>-6.7963294410418281E-11</v>
      </c>
      <c r="M270" s="5">
        <v>0</v>
      </c>
      <c r="N270" s="5">
        <v>2.0000000000000001E-4</v>
      </c>
      <c r="O270" s="5">
        <v>11.361581864589224</v>
      </c>
      <c r="P270" s="5">
        <v>11.361581864589224</v>
      </c>
      <c r="Q270" s="5">
        <v>1.2551504161625571E-8</v>
      </c>
      <c r="R270" s="5">
        <v>0</v>
      </c>
      <c r="S270" s="5">
        <v>2.1397286909814153E-5</v>
      </c>
      <c r="T270" s="5">
        <v>1.4185547378326932E-5</v>
      </c>
      <c r="U270" s="5">
        <v>1.4185547378326932E-5</v>
      </c>
      <c r="V270" s="5">
        <v>0</v>
      </c>
      <c r="W270" s="5">
        <v>0</v>
      </c>
      <c r="X270" s="5">
        <v>2.9292192686834251</v>
      </c>
      <c r="Y270" s="5">
        <v>5372.2994776310179</v>
      </c>
      <c r="Z270" s="5">
        <f t="shared" ref="Z270:AA270" si="106">Z269+0.0002</f>
        <v>0</v>
      </c>
      <c r="AA270" s="5">
        <f t="shared" si="106"/>
        <v>2.0000000000000001E-4</v>
      </c>
      <c r="AB270" s="4">
        <v>2</v>
      </c>
    </row>
    <row r="271" spans="1:28" x14ac:dyDescent="0.25">
      <c r="C271" s="4">
        <v>8</v>
      </c>
      <c r="D271" s="5">
        <v>92671869834.117859</v>
      </c>
      <c r="E271" s="5">
        <v>92671869834.117859</v>
      </c>
      <c r="F271" s="5">
        <v>0.24504969575825342</v>
      </c>
      <c r="G271" s="5">
        <v>0</v>
      </c>
      <c r="H271" s="5">
        <v>35476614781.843521</v>
      </c>
      <c r="I271" s="5">
        <v>41273830739.092178</v>
      </c>
      <c r="J271" s="5">
        <v>41273830739.092178</v>
      </c>
      <c r="K271" s="5">
        <v>-6.4691254529758904E-11</v>
      </c>
      <c r="L271" s="5">
        <v>-6.4691254529758904E-11</v>
      </c>
      <c r="M271" s="5">
        <v>0</v>
      </c>
      <c r="N271" s="5">
        <v>2.0000000000000001E-4</v>
      </c>
      <c r="O271" s="5">
        <v>-1.4234701575195849</v>
      </c>
      <c r="P271" s="5">
        <v>-1.4234701575195849</v>
      </c>
      <c r="Q271" s="5">
        <v>1.1939000687076997E-8</v>
      </c>
      <c r="R271" s="5">
        <v>0</v>
      </c>
      <c r="S271" s="5">
        <v>6.4885310775831074E-6</v>
      </c>
      <c r="T271" s="5">
        <v>1.2618607978624327E-5</v>
      </c>
      <c r="U271" s="5">
        <v>1.2618607978624327E-5</v>
      </c>
      <c r="V271" s="5">
        <v>0</v>
      </c>
      <c r="W271" s="5">
        <v>0</v>
      </c>
      <c r="X271" s="5">
        <v>2.5671974710591279</v>
      </c>
      <c r="Y271" s="5">
        <v>4645.1410507565197</v>
      </c>
      <c r="Z271" s="5">
        <f t="shared" ref="Z271:AA271" si="107">Z270+0.0002</f>
        <v>2.0000000000000001E-4</v>
      </c>
      <c r="AA271" s="5">
        <f t="shared" si="107"/>
        <v>4.0000000000000002E-4</v>
      </c>
      <c r="AB271" s="4">
        <v>2</v>
      </c>
    </row>
    <row r="272" spans="1:28" x14ac:dyDescent="0.25">
      <c r="C272" s="4">
        <v>9</v>
      </c>
      <c r="D272" s="5">
        <v>73729379133.518555</v>
      </c>
      <c r="E272" s="5">
        <v>73729379133.518555</v>
      </c>
      <c r="F272" s="5">
        <v>0.19864858586101064</v>
      </c>
      <c r="G272" s="5">
        <v>0</v>
      </c>
      <c r="H272" s="5">
        <v>28466389191.869186</v>
      </c>
      <c r="I272" s="5">
        <v>34339986126.260124</v>
      </c>
      <c r="J272" s="5">
        <v>34339986126.260124</v>
      </c>
      <c r="K272" s="5">
        <v>-6.1210934105043599E-11</v>
      </c>
      <c r="L272" s="5">
        <v>-6.1210934105043599E-11</v>
      </c>
      <c r="M272" s="5">
        <v>0</v>
      </c>
      <c r="N272" s="5">
        <v>2.0000000000000001E-4</v>
      </c>
      <c r="O272" s="5">
        <v>-13.847357014438458</v>
      </c>
      <c r="P272" s="5">
        <v>-13.847357014438458</v>
      </c>
      <c r="Q272" s="5">
        <v>1.1288297837604041E-8</v>
      </c>
      <c r="R272" s="5">
        <v>0</v>
      </c>
      <c r="S272" s="5">
        <v>-8.0367323996024581E-6</v>
      </c>
      <c r="T272" s="5">
        <v>1.1036798467195469E-5</v>
      </c>
      <c r="U272" s="5">
        <v>1.1036798467195469E-5</v>
      </c>
      <c r="V272" s="5">
        <v>0</v>
      </c>
      <c r="W272" s="5">
        <v>0</v>
      </c>
      <c r="X272" s="5">
        <v>2.2033495193631865</v>
      </c>
      <c r="Y272" s="5">
        <v>3916.6782281165615</v>
      </c>
      <c r="Z272" s="5">
        <f t="shared" ref="Z272:AA272" si="108">Z271+0.0002</f>
        <v>4.0000000000000002E-4</v>
      </c>
      <c r="AA272" s="5">
        <f t="shared" si="108"/>
        <v>6.0000000000000006E-4</v>
      </c>
      <c r="AB272" s="4">
        <v>2</v>
      </c>
    </row>
    <row r="273" spans="1:28" x14ac:dyDescent="0.25">
      <c r="C273" s="4">
        <v>10</v>
      </c>
      <c r="D273" s="5">
        <v>54866390811.526718</v>
      </c>
      <c r="E273" s="5">
        <v>54866390811.526718</v>
      </c>
      <c r="F273" s="5">
        <v>0.1523738615402867</v>
      </c>
      <c r="G273" s="5">
        <v>0</v>
      </c>
      <c r="H273" s="5">
        <v>21481112395.601246</v>
      </c>
      <c r="I273" s="5">
        <v>27407388953.113396</v>
      </c>
      <c r="J273" s="5">
        <v>27407388953.113396</v>
      </c>
      <c r="K273" s="5">
        <v>-5.7564625320548301E-11</v>
      </c>
      <c r="L273" s="5">
        <v>-5.7564625320548301E-11</v>
      </c>
      <c r="M273" s="5">
        <v>0</v>
      </c>
      <c r="N273" s="5">
        <v>2.0000000000000001E-4</v>
      </c>
      <c r="O273" s="5">
        <v>-25.983414714528173</v>
      </c>
      <c r="P273" s="5">
        <v>-25.983414714528173</v>
      </c>
      <c r="Q273" s="5">
        <v>1.0607152146640255E-8</v>
      </c>
      <c r="R273" s="5">
        <v>0</v>
      </c>
      <c r="S273" s="5">
        <v>-2.2256373153884723E-5</v>
      </c>
      <c r="T273" s="5">
        <v>9.443138278756073E-6</v>
      </c>
      <c r="U273" s="5">
        <v>9.443138278756073E-6</v>
      </c>
      <c r="V273" s="5">
        <v>0</v>
      </c>
      <c r="W273" s="5">
        <v>0</v>
      </c>
      <c r="X273" s="5">
        <v>1.8380462213677047</v>
      </c>
      <c r="Y273" s="5">
        <v>3187.1758724055035</v>
      </c>
      <c r="Z273" s="5">
        <f t="shared" ref="Z273:AA273" si="109">Z272+0.0002</f>
        <v>6.0000000000000006E-4</v>
      </c>
      <c r="AA273" s="5">
        <f t="shared" si="109"/>
        <v>8.0000000000000004E-4</v>
      </c>
      <c r="AB273" s="4">
        <v>2</v>
      </c>
    </row>
    <row r="274" spans="1:28" x14ac:dyDescent="0.25">
      <c r="C274" s="4">
        <v>11</v>
      </c>
      <c r="D274" s="5">
        <v>36068403951.513626</v>
      </c>
      <c r="E274" s="5">
        <v>36068403951.513626</v>
      </c>
      <c r="F274" s="5">
        <v>0.10620247057122673</v>
      </c>
      <c r="G274" s="5">
        <v>0</v>
      </c>
      <c r="H274" s="5">
        <v>14516233832.617981</v>
      </c>
      <c r="I274" s="5">
        <v>20475811691.630898</v>
      </c>
      <c r="J274" s="5">
        <v>20475811691.630898</v>
      </c>
      <c r="K274" s="5">
        <v>-5.3782603790772462E-11</v>
      </c>
      <c r="L274" s="5">
        <v>-5.3782603790772462E-11</v>
      </c>
      <c r="M274" s="5">
        <v>0</v>
      </c>
      <c r="N274" s="5">
        <v>2.0000000000000001E-4</v>
      </c>
      <c r="O274" s="5">
        <v>-37.884142147502494</v>
      </c>
      <c r="P274" s="5">
        <v>-37.884142147502494</v>
      </c>
      <c r="Q274" s="5">
        <v>9.9011162670009673E-9</v>
      </c>
      <c r="R274" s="5">
        <v>0</v>
      </c>
      <c r="S274" s="5">
        <v>-3.6226135550429701E-5</v>
      </c>
      <c r="T274" s="5">
        <v>7.8397889295064561E-6</v>
      </c>
      <c r="U274" s="5">
        <v>7.8397889295064561E-6</v>
      </c>
      <c r="V274" s="5">
        <v>0</v>
      </c>
      <c r="W274" s="5">
        <v>0</v>
      </c>
      <c r="X274" s="5">
        <v>1.4715530264306176</v>
      </c>
      <c r="Y274" s="5">
        <v>2456.8235903075838</v>
      </c>
      <c r="Z274" s="5">
        <f t="shared" ref="Z274:AA274" si="110">Z273+0.0002</f>
        <v>8.0000000000000004E-4</v>
      </c>
      <c r="AA274" s="5">
        <f t="shared" si="110"/>
        <v>1E-3</v>
      </c>
      <c r="AB274" s="4">
        <v>2</v>
      </c>
    </row>
    <row r="275" spans="1:28" x14ac:dyDescent="0.25">
      <c r="B275" t="s">
        <v>190</v>
      </c>
      <c r="C275" s="11">
        <v>12</v>
      </c>
      <c r="D275" s="5">
        <v>17324656540.745453</v>
      </c>
      <c r="E275" s="5">
        <v>17324656540.745453</v>
      </c>
      <c r="F275" s="5">
        <v>6.0117304494842344E-2</v>
      </c>
      <c r="G275" s="5">
        <v>0</v>
      </c>
      <c r="H275" s="5">
        <v>7568376255.090271</v>
      </c>
      <c r="I275" s="5">
        <v>13545085479.421173</v>
      </c>
      <c r="J275" s="5">
        <v>13545085479.421173</v>
      </c>
      <c r="K275" s="5">
        <v>-4.988733889176375E-11</v>
      </c>
      <c r="L275" s="5">
        <v>-4.988733889176375E-11</v>
      </c>
      <c r="M275" s="5">
        <v>0</v>
      </c>
      <c r="N275" s="5">
        <v>2.0000000000000001E-4</v>
      </c>
      <c r="O275" s="5">
        <v>-49.588501934420215</v>
      </c>
      <c r="P275" s="5">
        <v>-49.588501934420215</v>
      </c>
      <c r="Q275" s="5">
        <v>9.1743111602663974E-9</v>
      </c>
      <c r="R275" s="5">
        <v>0</v>
      </c>
      <c r="S275" s="5">
        <v>-4.9987390875144081E-5</v>
      </c>
      <c r="T275" s="5">
        <v>6.2283546121654446E-6</v>
      </c>
      <c r="U275" s="5">
        <v>6.2283546121654446E-6</v>
      </c>
      <c r="V275" s="5">
        <v>0</v>
      </c>
      <c r="W275" s="5">
        <v>0</v>
      </c>
      <c r="X275" s="5">
        <v>1.1040669406752888</v>
      </c>
      <c r="Y275" s="5">
        <v>1725.7621004823486</v>
      </c>
      <c r="Z275" s="5">
        <f t="shared" ref="Z275:AA275" si="111">Z274+0.0002</f>
        <v>1E-3</v>
      </c>
      <c r="AA275" s="5">
        <f t="shared" si="111"/>
        <v>1.2000000000000001E-3</v>
      </c>
      <c r="AB275" s="4">
        <v>2</v>
      </c>
    </row>
    <row r="277" spans="1:28" x14ac:dyDescent="0.25">
      <c r="A277" t="s">
        <v>83</v>
      </c>
    </row>
    <row r="278" spans="1:28" x14ac:dyDescent="0.25">
      <c r="A278" t="s">
        <v>83</v>
      </c>
    </row>
    <row r="279" spans="1:28" x14ac:dyDescent="0.25">
      <c r="A279" t="s">
        <v>83</v>
      </c>
    </row>
    <row r="281" spans="1:28" x14ac:dyDescent="0.25">
      <c r="A281" s="15" t="s">
        <v>74</v>
      </c>
      <c r="C281" s="10" t="s">
        <v>27</v>
      </c>
      <c r="D281" s="10" t="s">
        <v>28</v>
      </c>
      <c r="E281" s="10" t="s">
        <v>29</v>
      </c>
      <c r="F281" s="10" t="s">
        <v>30</v>
      </c>
      <c r="G281" s="10" t="s">
        <v>31</v>
      </c>
      <c r="H281" s="10" t="s">
        <v>47</v>
      </c>
      <c r="I281" s="10" t="s">
        <v>32</v>
      </c>
      <c r="J281" s="10" t="s">
        <v>33</v>
      </c>
      <c r="K281" s="10" t="s">
        <v>34</v>
      </c>
      <c r="L281" s="10" t="s">
        <v>35</v>
      </c>
      <c r="M281" s="10" t="s">
        <v>36</v>
      </c>
      <c r="N281" s="10" t="s">
        <v>37</v>
      </c>
      <c r="O281" s="10" t="s">
        <v>38</v>
      </c>
      <c r="P281" s="10" t="s">
        <v>39</v>
      </c>
      <c r="Q281" s="10" t="s">
        <v>40</v>
      </c>
      <c r="R281" s="10" t="s">
        <v>41</v>
      </c>
      <c r="S281" s="10" t="s">
        <v>42</v>
      </c>
      <c r="T281" s="10" t="s">
        <v>48</v>
      </c>
      <c r="U281" s="10" t="s">
        <v>77</v>
      </c>
      <c r="V281" s="10" t="s">
        <v>78</v>
      </c>
      <c r="W281" s="10" t="s">
        <v>79</v>
      </c>
      <c r="X281" s="10" t="s">
        <v>49</v>
      </c>
      <c r="Y281" s="10" t="s">
        <v>43</v>
      </c>
      <c r="Z281" s="10" t="s">
        <v>44</v>
      </c>
      <c r="AA281" s="10" t="s">
        <v>45</v>
      </c>
      <c r="AB281" s="10" t="s">
        <v>46</v>
      </c>
    </row>
    <row r="282" spans="1:28" x14ac:dyDescent="0.25">
      <c r="A282" s="12" t="s">
        <v>84</v>
      </c>
      <c r="B282" t="s">
        <v>14</v>
      </c>
      <c r="C282" s="11">
        <v>1</v>
      </c>
      <c r="D282" s="5">
        <v>146765182395.67111</v>
      </c>
      <c r="E282" s="5">
        <v>146765182395.67111</v>
      </c>
      <c r="F282" s="5">
        <v>0.35547439180027679</v>
      </c>
      <c r="G282" s="5">
        <v>0</v>
      </c>
      <c r="H282" s="5">
        <v>54050510257.216827</v>
      </c>
      <c r="I282" s="5">
        <v>52077525512.86084</v>
      </c>
      <c r="J282" s="5">
        <v>52077525512.86084</v>
      </c>
      <c r="K282" s="5">
        <v>-1.6296851442492125E-11</v>
      </c>
      <c r="L282" s="5">
        <v>-1.6296851442492125E-11</v>
      </c>
      <c r="M282" s="5">
        <v>0</v>
      </c>
      <c r="N282" s="5">
        <v>2.0000000000000001E-4</v>
      </c>
      <c r="O282" s="5">
        <v>110.18229366009885</v>
      </c>
      <c r="P282" s="5">
        <v>110.18229366009885</v>
      </c>
      <c r="Q282" s="5">
        <v>3.0818991367888449E-9</v>
      </c>
      <c r="R282" s="5">
        <v>0</v>
      </c>
      <c r="S282" s="5">
        <v>1.2699375065090609E-4</v>
      </c>
      <c r="T282" s="5">
        <v>1.1163507627822008E-5</v>
      </c>
      <c r="U282" s="5">
        <v>1.1163507627822008E-5</v>
      </c>
      <c r="V282" s="5">
        <v>0</v>
      </c>
      <c r="W282" s="5">
        <v>0</v>
      </c>
      <c r="X282" s="5">
        <v>2.6428869016623517</v>
      </c>
      <c r="Y282" s="5">
        <v>5402.0620726159659</v>
      </c>
      <c r="Z282" s="5">
        <v>-1.1999999999999999E-3</v>
      </c>
      <c r="AA282" s="5">
        <v>-1E-3</v>
      </c>
      <c r="AB282" s="4">
        <v>2</v>
      </c>
    </row>
    <row r="283" spans="1:28" x14ac:dyDescent="0.25">
      <c r="C283" s="4">
        <v>2</v>
      </c>
      <c r="D283" s="5">
        <v>141051087880.53528</v>
      </c>
      <c r="E283" s="5">
        <v>141051087880.53528</v>
      </c>
      <c r="F283" s="5">
        <v>0.34639064937358954</v>
      </c>
      <c r="G283" s="5">
        <v>0</v>
      </c>
      <c r="H283" s="5">
        <v>52257359312.880714</v>
      </c>
      <c r="I283" s="5">
        <v>51987867965.644035</v>
      </c>
      <c r="J283" s="5">
        <v>51987867965.644035</v>
      </c>
      <c r="K283" s="5">
        <v>-2.8226974701798543E-11</v>
      </c>
      <c r="L283" s="5">
        <v>-2.8226974701798543E-11</v>
      </c>
      <c r="M283" s="5">
        <v>0</v>
      </c>
      <c r="N283" s="5">
        <v>2.0000000000000001E-4</v>
      </c>
      <c r="O283" s="5">
        <v>89.495076055528571</v>
      </c>
      <c r="P283" s="5">
        <v>89.495076055528571</v>
      </c>
      <c r="Q283" s="5">
        <v>5.2699251636170451E-9</v>
      </c>
      <c r="R283" s="5">
        <v>0</v>
      </c>
      <c r="S283" s="5">
        <v>1.0502765158278875E-4</v>
      </c>
      <c r="T283" s="5">
        <v>1.201525432638166E-5</v>
      </c>
      <c r="U283" s="5">
        <v>1.201525432638166E-5</v>
      </c>
      <c r="V283" s="5">
        <v>0</v>
      </c>
      <c r="W283" s="5">
        <v>0</v>
      </c>
      <c r="X283" s="5">
        <v>2.7474873734152916</v>
      </c>
      <c r="Y283" s="5">
        <v>5476.7766952966367</v>
      </c>
      <c r="Z283" s="5">
        <f t="shared" ref="Z283:AA283" si="112">Z282+0.0002</f>
        <v>-9.999999999999998E-4</v>
      </c>
      <c r="AA283" s="5">
        <f t="shared" si="112"/>
        <v>-8.0000000000000004E-4</v>
      </c>
      <c r="AB283" s="4">
        <v>2</v>
      </c>
    </row>
    <row r="284" spans="1:28" x14ac:dyDescent="0.25">
      <c r="C284" s="4">
        <v>3</v>
      </c>
      <c r="D284" s="5">
        <v>137116932332.23267</v>
      </c>
      <c r="E284" s="5">
        <v>137116932332.23267</v>
      </c>
      <c r="F284" s="5">
        <v>0.34013649036858157</v>
      </c>
      <c r="G284" s="5">
        <v>0</v>
      </c>
      <c r="H284" s="5">
        <v>51022774424.948341</v>
      </c>
      <c r="I284" s="5">
        <v>51926138721.247414</v>
      </c>
      <c r="J284" s="5">
        <v>51926138721.247414</v>
      </c>
      <c r="K284" s="5">
        <v>-3.6440867644627941E-11</v>
      </c>
      <c r="L284" s="5">
        <v>-3.6440867644627941E-11</v>
      </c>
      <c r="M284" s="5">
        <v>0</v>
      </c>
      <c r="N284" s="5">
        <v>2.0000000000000001E-4</v>
      </c>
      <c r="O284" s="5">
        <v>75.251921396048999</v>
      </c>
      <c r="P284" s="5">
        <v>75.251921396048999</v>
      </c>
      <c r="Q284" s="5">
        <v>6.7763816477503068E-9</v>
      </c>
      <c r="R284" s="5">
        <v>0</v>
      </c>
      <c r="S284" s="5">
        <v>8.9903986705617151E-5</v>
      </c>
      <c r="T284" s="5">
        <v>1.2601682148149538E-5</v>
      </c>
      <c r="U284" s="5">
        <v>1.2601682148149538E-5</v>
      </c>
      <c r="V284" s="5">
        <v>0</v>
      </c>
      <c r="W284" s="5">
        <v>0</v>
      </c>
      <c r="X284" s="5">
        <v>2.819504825211347</v>
      </c>
      <c r="Y284" s="5">
        <v>5528.2177322938196</v>
      </c>
      <c r="Z284" s="5">
        <f t="shared" ref="Z284:AA284" si="113">Z283+0.0002</f>
        <v>-7.9999999999999982E-4</v>
      </c>
      <c r="AA284" s="5">
        <f t="shared" si="113"/>
        <v>-6.0000000000000006E-4</v>
      </c>
      <c r="AB284" s="4">
        <v>2</v>
      </c>
    </row>
    <row r="285" spans="1:28" x14ac:dyDescent="0.25">
      <c r="C285" s="4">
        <v>4</v>
      </c>
      <c r="D285" s="5">
        <v>133919108813.61722</v>
      </c>
      <c r="E285" s="5">
        <v>133919108813.61722</v>
      </c>
      <c r="F285" s="5">
        <v>0.33505288436728758</v>
      </c>
      <c r="G285" s="5">
        <v>0</v>
      </c>
      <c r="H285" s="5">
        <v>50019259301.59214</v>
      </c>
      <c r="I285" s="5">
        <v>51875962965.079605</v>
      </c>
      <c r="J285" s="5">
        <v>51875962965.079605</v>
      </c>
      <c r="K285" s="5">
        <v>-4.3117416070198453E-11</v>
      </c>
      <c r="L285" s="5">
        <v>-4.3117416070198453E-11</v>
      </c>
      <c r="M285" s="5">
        <v>0</v>
      </c>
      <c r="N285" s="5">
        <v>2.0000000000000001E-4</v>
      </c>
      <c r="O285" s="5">
        <v>63.674571596290264</v>
      </c>
      <c r="P285" s="5">
        <v>63.674571596290264</v>
      </c>
      <c r="Q285" s="5">
        <v>8.0008838097989165E-9</v>
      </c>
      <c r="R285" s="5">
        <v>0</v>
      </c>
      <c r="S285" s="5">
        <v>7.7610926444503724E-5</v>
      </c>
      <c r="T285" s="5">
        <v>1.3078351831743732E-5</v>
      </c>
      <c r="U285" s="5">
        <v>1.3078351831743732E-5</v>
      </c>
      <c r="V285" s="5">
        <v>0</v>
      </c>
      <c r="W285" s="5">
        <v>0</v>
      </c>
      <c r="X285" s="5">
        <v>2.8780432074071252</v>
      </c>
      <c r="Y285" s="5">
        <v>5570.0308624336612</v>
      </c>
      <c r="Z285" s="5">
        <f t="shared" ref="Z285:AA285" si="114">Z284+0.0002</f>
        <v>-5.9999999999999984E-4</v>
      </c>
      <c r="AA285" s="5">
        <f t="shared" si="114"/>
        <v>-4.0000000000000007E-4</v>
      </c>
      <c r="AB285" s="4">
        <v>2</v>
      </c>
    </row>
    <row r="286" spans="1:28" x14ac:dyDescent="0.25">
      <c r="C286" s="4">
        <v>5</v>
      </c>
      <c r="D286" s="5">
        <v>131153985861.06938</v>
      </c>
      <c r="E286" s="5">
        <v>131153985861.06938</v>
      </c>
      <c r="F286" s="5">
        <v>0.33065714596769824</v>
      </c>
      <c r="G286" s="5">
        <v>0</v>
      </c>
      <c r="H286" s="5">
        <v>49151530771.650467</v>
      </c>
      <c r="I286" s="5">
        <v>51832576538.58252</v>
      </c>
      <c r="J286" s="5">
        <v>51832576538.58252</v>
      </c>
      <c r="K286" s="5">
        <v>-4.8890554327476431E-11</v>
      </c>
      <c r="L286" s="5">
        <v>-4.8890554327476431E-11</v>
      </c>
      <c r="M286" s="5">
        <v>0</v>
      </c>
      <c r="N286" s="5">
        <v>2.0000000000000001E-4</v>
      </c>
      <c r="O286" s="5">
        <v>53.663764097179609</v>
      </c>
      <c r="P286" s="5">
        <v>53.663764097179609</v>
      </c>
      <c r="Q286" s="5">
        <v>9.0596974103665426E-9</v>
      </c>
      <c r="R286" s="5">
        <v>0</v>
      </c>
      <c r="S286" s="5">
        <v>6.6981251952718212E-5</v>
      </c>
      <c r="T286" s="5">
        <v>1.3490522883466029E-5</v>
      </c>
      <c r="U286" s="5">
        <v>1.3490522883466029E-5</v>
      </c>
      <c r="V286" s="5">
        <v>0</v>
      </c>
      <c r="W286" s="5">
        <v>0</v>
      </c>
      <c r="X286" s="5">
        <v>2.9286607049870561</v>
      </c>
      <c r="Y286" s="5">
        <v>5606.1862178478968</v>
      </c>
      <c r="Z286" s="5">
        <f t="shared" ref="Z286:AA286" si="115">Z285+0.0002</f>
        <v>-3.9999999999999986E-4</v>
      </c>
      <c r="AA286" s="5">
        <f t="shared" si="115"/>
        <v>-2.0000000000000006E-4</v>
      </c>
      <c r="AB286" s="4">
        <v>2</v>
      </c>
    </row>
    <row r="287" spans="1:28" x14ac:dyDescent="0.25">
      <c r="C287" s="4">
        <v>6</v>
      </c>
      <c r="D287" s="5">
        <v>128682539946.08676</v>
      </c>
      <c r="E287" s="5">
        <v>128682539946.08676</v>
      </c>
      <c r="F287" s="5">
        <v>0.32672826833822893</v>
      </c>
      <c r="G287" s="5">
        <v>0</v>
      </c>
      <c r="H287" s="5">
        <v>48375961595.364044</v>
      </c>
      <c r="I287" s="5">
        <v>51793798079.768204</v>
      </c>
      <c r="J287" s="5">
        <v>51793798079.768204</v>
      </c>
      <c r="K287" s="5">
        <v>-5.4050541498908602E-11</v>
      </c>
      <c r="L287" s="5">
        <v>-5.4050541498908602E-11</v>
      </c>
      <c r="M287" s="5">
        <v>0</v>
      </c>
      <c r="N287" s="5">
        <v>2.0000000000000001E-4</v>
      </c>
      <c r="O287" s="5">
        <v>44.716180310152225</v>
      </c>
      <c r="P287" s="5">
        <v>44.716180310152225</v>
      </c>
      <c r="Q287" s="5">
        <v>1.0006056972945748E-8</v>
      </c>
      <c r="R287" s="5">
        <v>0</v>
      </c>
      <c r="S287" s="5">
        <v>5.7480529543209492E-5</v>
      </c>
      <c r="T287" s="5">
        <v>1.3858918242202081E-5</v>
      </c>
      <c r="U287" s="5">
        <v>1.3858918242202081E-5</v>
      </c>
      <c r="V287" s="5">
        <v>0</v>
      </c>
      <c r="W287" s="5">
        <v>0</v>
      </c>
      <c r="X287" s="5">
        <v>2.9739022402704309</v>
      </c>
      <c r="Y287" s="5">
        <v>5638.5016001931654</v>
      </c>
      <c r="Z287" s="5">
        <f t="shared" ref="Z287:AA287" si="116">Z286+0.0002</f>
        <v>-1.9999999999999985E-4</v>
      </c>
      <c r="AA287" s="5">
        <f t="shared" si="116"/>
        <v>0</v>
      </c>
      <c r="AB287" s="4">
        <v>2</v>
      </c>
    </row>
    <row r="288" spans="1:28" x14ac:dyDescent="0.25">
      <c r="C288" s="4">
        <v>7</v>
      </c>
      <c r="D288" s="5">
        <v>126427295874.54584</v>
      </c>
      <c r="E288" s="5">
        <v>126427295874.54584</v>
      </c>
      <c r="F288" s="5">
        <v>0.32314308853398754</v>
      </c>
      <c r="G288" s="5">
        <v>0</v>
      </c>
      <c r="H288" s="5">
        <v>47668239133.67215</v>
      </c>
      <c r="I288" s="5">
        <v>51758411956.683609</v>
      </c>
      <c r="J288" s="5">
        <v>51758411956.683609</v>
      </c>
      <c r="K288" s="5">
        <v>-5.8759133504524697E-11</v>
      </c>
      <c r="L288" s="5">
        <v>-5.8759133504524697E-11</v>
      </c>
      <c r="M288" s="5">
        <v>0</v>
      </c>
      <c r="N288" s="5">
        <v>2.0000000000000001E-4</v>
      </c>
      <c r="O288" s="5">
        <v>36.551330265092147</v>
      </c>
      <c r="P288" s="5">
        <v>36.551330265092147</v>
      </c>
      <c r="Q288" s="5">
        <v>1.0869629094882247E-8</v>
      </c>
      <c r="R288" s="5">
        <v>0</v>
      </c>
      <c r="S288" s="5">
        <v>4.8810929387483885E-5</v>
      </c>
      <c r="T288" s="5">
        <v>1.4195086411505727E-5</v>
      </c>
      <c r="U288" s="5">
        <v>1.4195086411505727E-5</v>
      </c>
      <c r="V288" s="5">
        <v>0</v>
      </c>
      <c r="W288" s="5">
        <v>0</v>
      </c>
      <c r="X288" s="5">
        <v>3.015186050535791</v>
      </c>
      <c r="Y288" s="5">
        <v>5667.9900360969932</v>
      </c>
      <c r="Z288" s="5">
        <f t="shared" ref="Z288:AA288" si="117">Z287+0.0002</f>
        <v>0</v>
      </c>
      <c r="AA288" s="5">
        <f t="shared" si="117"/>
        <v>2.0000000000000001E-4</v>
      </c>
      <c r="AB288" s="4">
        <v>2</v>
      </c>
    </row>
    <row r="289" spans="1:28" x14ac:dyDescent="0.25">
      <c r="C289" s="4">
        <v>8</v>
      </c>
      <c r="D289" s="5">
        <v>124339828566.53026</v>
      </c>
      <c r="E289" s="5">
        <v>124339828566.53026</v>
      </c>
      <c r="F289" s="5">
        <v>0.31982462481240997</v>
      </c>
      <c r="G289" s="5">
        <v>0</v>
      </c>
      <c r="H289" s="5">
        <v>47013167019.494858</v>
      </c>
      <c r="I289" s="5">
        <v>51725658350.974747</v>
      </c>
      <c r="J289" s="5">
        <v>51725658350.974747</v>
      </c>
      <c r="K289" s="5">
        <v>-6.3117434232388395E-11</v>
      </c>
      <c r="L289" s="5">
        <v>-6.3117434232388395E-11</v>
      </c>
      <c r="M289" s="5">
        <v>0</v>
      </c>
      <c r="N289" s="5">
        <v>2.0000000000000001E-4</v>
      </c>
      <c r="O289" s="5">
        <v>28.993896566899579</v>
      </c>
      <c r="P289" s="5">
        <v>28.993896566899579</v>
      </c>
      <c r="Q289" s="5">
        <v>1.1668956580276933E-8</v>
      </c>
      <c r="R289" s="5">
        <v>0</v>
      </c>
      <c r="S289" s="5">
        <v>4.0786295988812045E-5</v>
      </c>
      <c r="T289" s="5">
        <v>1.4506245665739941E-5</v>
      </c>
      <c r="U289" s="5">
        <v>1.4506245665739941E-5</v>
      </c>
      <c r="V289" s="5">
        <v>0</v>
      </c>
      <c r="W289" s="5">
        <v>0</v>
      </c>
      <c r="X289" s="5">
        <v>3.0533985905294667</v>
      </c>
      <c r="Y289" s="5">
        <v>5695.2847075210475</v>
      </c>
      <c r="Z289" s="5">
        <f t="shared" ref="Z289:AA289" si="118">Z288+0.0002</f>
        <v>2.0000000000000001E-4</v>
      </c>
      <c r="AA289" s="5">
        <f t="shared" si="118"/>
        <v>4.0000000000000002E-4</v>
      </c>
      <c r="AB289" s="4">
        <v>2</v>
      </c>
    </row>
    <row r="290" spans="1:28" x14ac:dyDescent="0.25">
      <c r="C290" s="4">
        <v>9</v>
      </c>
      <c r="D290" s="5">
        <v>122387474535.75232</v>
      </c>
      <c r="E290" s="5">
        <v>122387474535.75232</v>
      </c>
      <c r="F290" s="5">
        <v>0.31672095176424553</v>
      </c>
      <c r="G290" s="5">
        <v>0</v>
      </c>
      <c r="H290" s="5">
        <v>46400495061.637924</v>
      </c>
      <c r="I290" s="5">
        <v>51695024753.081894</v>
      </c>
      <c r="J290" s="5">
        <v>51695024753.081894</v>
      </c>
      <c r="K290" s="5">
        <v>-6.7193639862394651E-11</v>
      </c>
      <c r="L290" s="5">
        <v>-6.7193639862394651E-11</v>
      </c>
      <c r="M290" s="5">
        <v>0</v>
      </c>
      <c r="N290" s="5">
        <v>2.0000000000000001E-4</v>
      </c>
      <c r="O290" s="5">
        <v>21.92562484530329</v>
      </c>
      <c r="P290" s="5">
        <v>21.92562484530329</v>
      </c>
      <c r="Q290" s="5">
        <v>1.241654684529787E-8</v>
      </c>
      <c r="R290" s="5">
        <v>0</v>
      </c>
      <c r="S290" s="5">
        <v>3.3281064505064534E-5</v>
      </c>
      <c r="T290" s="5">
        <v>1.4797264845721987E-5</v>
      </c>
      <c r="U290" s="5">
        <v>1.4797264845721987E-5</v>
      </c>
      <c r="V290" s="5">
        <v>0</v>
      </c>
      <c r="W290" s="5">
        <v>0</v>
      </c>
      <c r="X290" s="5">
        <v>3.0891377880711213</v>
      </c>
      <c r="Y290" s="5">
        <v>5720.8127057650863</v>
      </c>
      <c r="Z290" s="5">
        <f t="shared" ref="Z290:AA290" si="119">Z289+0.0002</f>
        <v>4.0000000000000002E-4</v>
      </c>
      <c r="AA290" s="5">
        <f t="shared" si="119"/>
        <v>6.0000000000000006E-4</v>
      </c>
      <c r="AB290" s="4">
        <v>2</v>
      </c>
    </row>
    <row r="291" spans="1:28" x14ac:dyDescent="0.25">
      <c r="C291" s="4">
        <v>10</v>
      </c>
      <c r="D291" s="5">
        <v>120546966621.93132</v>
      </c>
      <c r="E291" s="5">
        <v>120546966621.93132</v>
      </c>
      <c r="F291" s="5">
        <v>0.31379508139595813</v>
      </c>
      <c r="G291" s="5">
        <v>0</v>
      </c>
      <c r="H291" s="5">
        <v>45822921747.968689</v>
      </c>
      <c r="I291" s="5">
        <v>51666146087.398437</v>
      </c>
      <c r="J291" s="5">
        <v>51666146087.398437</v>
      </c>
      <c r="K291" s="5">
        <v>-7.103632853571831E-11</v>
      </c>
      <c r="L291" s="5">
        <v>-7.103632853571831E-11</v>
      </c>
      <c r="M291" s="5">
        <v>0</v>
      </c>
      <c r="N291" s="5">
        <v>2.0000000000000001E-4</v>
      </c>
      <c r="O291" s="5">
        <v>15.26227904041798</v>
      </c>
      <c r="P291" s="5">
        <v>15.26227904041798</v>
      </c>
      <c r="Q291" s="5">
        <v>1.3121309289698541E-8</v>
      </c>
      <c r="R291" s="5">
        <v>0</v>
      </c>
      <c r="S291" s="5">
        <v>2.6205791412616441E-5</v>
      </c>
      <c r="T291" s="5">
        <v>1.5071612169714871E-5</v>
      </c>
      <c r="U291" s="5">
        <v>1.5071612169714871E-5</v>
      </c>
      <c r="V291" s="5">
        <v>0</v>
      </c>
      <c r="W291" s="5">
        <v>0</v>
      </c>
      <c r="X291" s="5">
        <v>3.1228295647018265</v>
      </c>
      <c r="Y291" s="5">
        <v>5744.8782605013048</v>
      </c>
      <c r="Z291" s="5">
        <f t="shared" ref="Z291:AA291" si="120">Z290+0.0002</f>
        <v>6.0000000000000006E-4</v>
      </c>
      <c r="AA291" s="5">
        <f t="shared" si="120"/>
        <v>8.0000000000000004E-4</v>
      </c>
      <c r="AB291" s="4">
        <v>2</v>
      </c>
    </row>
    <row r="292" spans="1:28" x14ac:dyDescent="0.25">
      <c r="C292" s="4">
        <v>11</v>
      </c>
      <c r="D292" s="5">
        <v>118801035758.64961</v>
      </c>
      <c r="E292" s="5">
        <v>118801035758.64961</v>
      </c>
      <c r="F292" s="5">
        <v>0.31101956093250677</v>
      </c>
      <c r="G292" s="5">
        <v>0</v>
      </c>
      <c r="H292" s="5">
        <v>45275027839.678177</v>
      </c>
      <c r="I292" s="5">
        <v>51638751391.98391</v>
      </c>
      <c r="J292" s="5">
        <v>51638751391.98391</v>
      </c>
      <c r="K292" s="5">
        <v>-7.4681555324670517E-11</v>
      </c>
      <c r="L292" s="5">
        <v>-7.4681555324670517E-11</v>
      </c>
      <c r="M292" s="5">
        <v>0</v>
      </c>
      <c r="N292" s="5">
        <v>2.0000000000000001E-4</v>
      </c>
      <c r="O292" s="5">
        <v>8.9413384967200784</v>
      </c>
      <c r="P292" s="5">
        <v>8.9413384967200784</v>
      </c>
      <c r="Q292" s="5">
        <v>1.3789856538923065E-8</v>
      </c>
      <c r="R292" s="5">
        <v>0</v>
      </c>
      <c r="S292" s="5">
        <v>1.9494091036057653E-5</v>
      </c>
      <c r="T292" s="5">
        <v>1.5331861776152866E-5</v>
      </c>
      <c r="U292" s="5">
        <v>1.5331861776152866E-5</v>
      </c>
      <c r="V292" s="5">
        <v>0</v>
      </c>
      <c r="W292" s="5">
        <v>0</v>
      </c>
      <c r="X292" s="5">
        <v>3.1547900426854398</v>
      </c>
      <c r="Y292" s="5">
        <v>5767.7071733467428</v>
      </c>
      <c r="Z292" s="5">
        <f t="shared" ref="Z292:AA292" si="121">Z291+0.0002</f>
        <v>8.0000000000000004E-4</v>
      </c>
      <c r="AA292" s="5">
        <f t="shared" si="121"/>
        <v>1E-3</v>
      </c>
      <c r="AB292" s="4">
        <v>2</v>
      </c>
    </row>
    <row r="293" spans="1:28" x14ac:dyDescent="0.25">
      <c r="B293" t="s">
        <v>190</v>
      </c>
      <c r="C293" s="11">
        <v>12</v>
      </c>
      <c r="D293" s="5">
        <v>117136446434.33534</v>
      </c>
      <c r="E293" s="5">
        <v>117136446434.33534</v>
      </c>
      <c r="F293" s="5">
        <v>0.30837334977372532</v>
      </c>
      <c r="G293" s="5">
        <v>0</v>
      </c>
      <c r="H293" s="5">
        <v>44752659875.529266</v>
      </c>
      <c r="I293" s="5">
        <v>51612632993.776466</v>
      </c>
      <c r="J293" s="5">
        <v>51612632993.776466</v>
      </c>
      <c r="K293" s="5">
        <v>-7.8156953878648201E-11</v>
      </c>
      <c r="L293" s="5">
        <v>-7.8156953878648201E-11</v>
      </c>
      <c r="M293" s="5">
        <v>0</v>
      </c>
      <c r="N293" s="5">
        <v>2.0000000000000001E-4</v>
      </c>
      <c r="O293" s="5">
        <v>2.9148855769934983</v>
      </c>
      <c r="P293" s="5">
        <v>2.9148855769934983</v>
      </c>
      <c r="Q293" s="5">
        <v>1.4427256700214135E-8</v>
      </c>
      <c r="R293" s="5">
        <v>0</v>
      </c>
      <c r="S293" s="5">
        <v>1.309508347523353E-5</v>
      </c>
      <c r="T293" s="5">
        <v>1.5579986559123597E-5</v>
      </c>
      <c r="U293" s="5">
        <v>1.5579986559123597E-5</v>
      </c>
      <c r="V293" s="5">
        <v>0</v>
      </c>
      <c r="W293" s="5">
        <v>0</v>
      </c>
      <c r="X293" s="5">
        <v>3.185261507260793</v>
      </c>
      <c r="Y293" s="5">
        <v>5789.4725051862806</v>
      </c>
      <c r="Z293" s="5">
        <f t="shared" ref="Z293:AA293" si="122">Z292+0.0002</f>
        <v>1E-3</v>
      </c>
      <c r="AA293" s="5">
        <f t="shared" si="122"/>
        <v>1.2000000000000001E-3</v>
      </c>
      <c r="AB293" s="4">
        <v>2</v>
      </c>
    </row>
    <row r="297" spans="1:28" x14ac:dyDescent="0.25">
      <c r="A297" s="15" t="s">
        <v>82</v>
      </c>
      <c r="C297" s="10" t="s">
        <v>27</v>
      </c>
      <c r="D297" s="10" t="s">
        <v>28</v>
      </c>
      <c r="E297" s="10" t="s">
        <v>29</v>
      </c>
      <c r="F297" s="10" t="s">
        <v>30</v>
      </c>
      <c r="G297" s="10" t="s">
        <v>31</v>
      </c>
      <c r="H297" s="10" t="s">
        <v>47</v>
      </c>
      <c r="I297" s="10" t="s">
        <v>32</v>
      </c>
      <c r="J297" s="10" t="s">
        <v>33</v>
      </c>
      <c r="K297" s="10" t="s">
        <v>34</v>
      </c>
      <c r="L297" s="10" t="s">
        <v>35</v>
      </c>
      <c r="M297" s="10" t="s">
        <v>36</v>
      </c>
      <c r="N297" s="10" t="s">
        <v>37</v>
      </c>
      <c r="O297" s="10" t="s">
        <v>38</v>
      </c>
      <c r="P297" s="10" t="s">
        <v>39</v>
      </c>
      <c r="Q297" s="10" t="s">
        <v>40</v>
      </c>
      <c r="R297" s="10" t="s">
        <v>41</v>
      </c>
      <c r="S297" s="10" t="s">
        <v>42</v>
      </c>
      <c r="T297" s="10" t="s">
        <v>48</v>
      </c>
      <c r="U297" s="10" t="s">
        <v>77</v>
      </c>
      <c r="V297" s="10" t="s">
        <v>78</v>
      </c>
      <c r="W297" s="10" t="s">
        <v>79</v>
      </c>
      <c r="X297" s="10" t="s">
        <v>49</v>
      </c>
      <c r="Y297" s="10" t="s">
        <v>43</v>
      </c>
      <c r="Z297" s="10" t="s">
        <v>44</v>
      </c>
      <c r="AA297" s="10" t="s">
        <v>45</v>
      </c>
      <c r="AB297" s="10" t="s">
        <v>46</v>
      </c>
    </row>
    <row r="298" spans="1:28" x14ac:dyDescent="0.25">
      <c r="A298" s="12" t="s">
        <v>84</v>
      </c>
      <c r="B298" t="s">
        <v>14</v>
      </c>
      <c r="C298" s="11">
        <v>1</v>
      </c>
      <c r="D298" s="5">
        <v>97099798212.995911</v>
      </c>
      <c r="E298" s="5">
        <v>97099798212.995911</v>
      </c>
      <c r="F298" s="5">
        <v>0.231728711074558</v>
      </c>
      <c r="G298" s="5">
        <v>0</v>
      </c>
      <c r="H298" s="5">
        <v>35533843590.550156</v>
      </c>
      <c r="I298" s="5">
        <v>33047525512.860836</v>
      </c>
      <c r="J298" s="5">
        <v>33047525512.860836</v>
      </c>
      <c r="K298" s="5">
        <v>-1.6598956115420147E-12</v>
      </c>
      <c r="L298" s="5">
        <v>-1.6598956115420147E-12</v>
      </c>
      <c r="M298" s="5">
        <v>0</v>
      </c>
      <c r="N298" s="5">
        <v>2.0000000000000001E-4</v>
      </c>
      <c r="O298" s="5">
        <v>84.80134127914647</v>
      </c>
      <c r="P298" s="5">
        <v>84.80134127914647</v>
      </c>
      <c r="Q298" s="5">
        <v>3.6333061827032573E-10</v>
      </c>
      <c r="R298" s="5">
        <v>0</v>
      </c>
      <c r="S298" s="5">
        <v>9.6377083984239419E-5</v>
      </c>
      <c r="T298" s="5">
        <v>6.4518409611553395E-6</v>
      </c>
      <c r="U298" s="5">
        <v>6.4518409611553395E-6</v>
      </c>
      <c r="V298" s="5">
        <v>0</v>
      </c>
      <c r="W298" s="5">
        <v>0</v>
      </c>
      <c r="X298" s="5">
        <v>1.5978869016623514</v>
      </c>
      <c r="Y298" s="5">
        <v>3367.0620726159655</v>
      </c>
      <c r="Z298" s="5">
        <v>-1.1999999999999999E-3</v>
      </c>
      <c r="AA298" s="5">
        <v>-1E-3</v>
      </c>
      <c r="AB298" s="4">
        <v>2</v>
      </c>
    </row>
    <row r="299" spans="1:28" x14ac:dyDescent="0.25">
      <c r="C299" s="4">
        <v>2</v>
      </c>
      <c r="D299" s="5">
        <v>100415773549.25557</v>
      </c>
      <c r="E299" s="5">
        <v>100415773549.25557</v>
      </c>
      <c r="F299" s="5">
        <v>0.24514418332527418</v>
      </c>
      <c r="G299" s="5">
        <v>0</v>
      </c>
      <c r="H299" s="5">
        <v>37107359312.880714</v>
      </c>
      <c r="I299" s="5">
        <v>36417867965.644035</v>
      </c>
      <c r="J299" s="5">
        <v>36417867965.644035</v>
      </c>
      <c r="K299" s="5">
        <v>-1.6251283567384818E-11</v>
      </c>
      <c r="L299" s="5">
        <v>-1.6251283567384818E-11</v>
      </c>
      <c r="M299" s="5">
        <v>0</v>
      </c>
      <c r="N299" s="5">
        <v>2.0000000000000001E-4</v>
      </c>
      <c r="O299" s="5">
        <v>68.728842289294803</v>
      </c>
      <c r="P299" s="5">
        <v>68.728842289294803</v>
      </c>
      <c r="Q299" s="5">
        <v>3.0456418302837113E-9</v>
      </c>
      <c r="R299" s="5">
        <v>0</v>
      </c>
      <c r="S299" s="5">
        <v>7.9977651582788752E-5</v>
      </c>
      <c r="T299" s="5">
        <v>8.1602543263816605E-6</v>
      </c>
      <c r="U299" s="5">
        <v>8.1602543263816605E-6</v>
      </c>
      <c r="V299" s="5">
        <v>0</v>
      </c>
      <c r="W299" s="5">
        <v>0</v>
      </c>
      <c r="X299" s="5">
        <v>1.8924873734152916</v>
      </c>
      <c r="Y299" s="5">
        <v>3811.7766952966367</v>
      </c>
      <c r="Z299" s="5">
        <f t="shared" ref="Z299:AA299" si="123">Z298+0.0002</f>
        <v>-9.999999999999998E-4</v>
      </c>
      <c r="AA299" s="5">
        <f t="shared" si="123"/>
        <v>-8.0000000000000004E-4</v>
      </c>
      <c r="AB299" s="4">
        <v>2</v>
      </c>
    </row>
    <row r="300" spans="1:28" x14ac:dyDescent="0.25">
      <c r="C300" s="4">
        <v>3</v>
      </c>
      <c r="D300" s="5">
        <v>105511687852.34845</v>
      </c>
      <c r="E300" s="5">
        <v>105511687852.34845</v>
      </c>
      <c r="F300" s="5">
        <v>0.26138923899766964</v>
      </c>
      <c r="G300" s="5">
        <v>0</v>
      </c>
      <c r="H300" s="5">
        <v>39239441091.615005</v>
      </c>
      <c r="I300" s="5">
        <v>39816138721.247414</v>
      </c>
      <c r="J300" s="5">
        <v>39816138721.247414</v>
      </c>
      <c r="K300" s="5">
        <v>-2.7126441206750597E-11</v>
      </c>
      <c r="L300" s="5">
        <v>-2.7126441206750597E-11</v>
      </c>
      <c r="M300" s="5">
        <v>0</v>
      </c>
      <c r="N300" s="5">
        <v>2.0000000000000001E-4</v>
      </c>
      <c r="O300" s="5">
        <v>59.100406244533843</v>
      </c>
      <c r="P300" s="5">
        <v>59.100406244533843</v>
      </c>
      <c r="Q300" s="5">
        <v>5.0463834996021584E-9</v>
      </c>
      <c r="R300" s="5">
        <v>0</v>
      </c>
      <c r="S300" s="5">
        <v>7.0420653372283814E-5</v>
      </c>
      <c r="T300" s="5">
        <v>9.6033488148162029E-6</v>
      </c>
      <c r="U300" s="5">
        <v>9.6033488148162029E-6</v>
      </c>
      <c r="V300" s="5">
        <v>0</v>
      </c>
      <c r="W300" s="5">
        <v>0</v>
      </c>
      <c r="X300" s="5">
        <v>2.154504825211347</v>
      </c>
      <c r="Y300" s="5">
        <v>4233.2177322938196</v>
      </c>
      <c r="Z300" s="5">
        <f t="shared" ref="Z300:AA300" si="124">Z299+0.0002</f>
        <v>-7.9999999999999982E-4</v>
      </c>
      <c r="AA300" s="5">
        <f t="shared" si="124"/>
        <v>-6.0000000000000006E-4</v>
      </c>
      <c r="AB300" s="4">
        <v>2</v>
      </c>
    </row>
    <row r="301" spans="1:28" x14ac:dyDescent="0.25">
      <c r="C301" s="4">
        <v>4</v>
      </c>
      <c r="D301" s="5">
        <v>111343934185.12849</v>
      </c>
      <c r="E301" s="5">
        <v>111343934185.12849</v>
      </c>
      <c r="F301" s="5">
        <v>0.27880484767377905</v>
      </c>
      <c r="G301" s="5">
        <v>0</v>
      </c>
      <c r="H301" s="5">
        <v>41602592634.925476</v>
      </c>
      <c r="I301" s="5">
        <v>43225962965.079605</v>
      </c>
      <c r="J301" s="5">
        <v>43225962965.079605</v>
      </c>
      <c r="K301" s="5">
        <v>-3.6464254328857494E-11</v>
      </c>
      <c r="L301" s="5">
        <v>-3.6464254328857494E-11</v>
      </c>
      <c r="M301" s="5">
        <v>0</v>
      </c>
      <c r="N301" s="5">
        <v>2.0000000000000001E-4</v>
      </c>
      <c r="O301" s="5">
        <v>52.137775059493727</v>
      </c>
      <c r="P301" s="5">
        <v>52.137775059493727</v>
      </c>
      <c r="Q301" s="5">
        <v>6.7651708468359535E-9</v>
      </c>
      <c r="R301" s="5">
        <v>0</v>
      </c>
      <c r="S301" s="5">
        <v>6.3694259777837063E-5</v>
      </c>
      <c r="T301" s="5">
        <v>1.0936685165077066E-5</v>
      </c>
      <c r="U301" s="5">
        <v>1.0936685165077066E-5</v>
      </c>
      <c r="V301" s="5">
        <v>0</v>
      </c>
      <c r="W301" s="5">
        <v>0</v>
      </c>
      <c r="X301" s="5">
        <v>2.4030432074071251</v>
      </c>
      <c r="Y301" s="5">
        <v>4645.0308624336612</v>
      </c>
      <c r="Z301" s="5">
        <f t="shared" ref="Z301:AA301" si="125">Z300+0.0002</f>
        <v>-5.9999999999999984E-4</v>
      </c>
      <c r="AA301" s="5">
        <f t="shared" si="125"/>
        <v>-4.0000000000000007E-4</v>
      </c>
      <c r="AB301" s="4">
        <v>2</v>
      </c>
    </row>
    <row r="302" spans="1:28" x14ac:dyDescent="0.25">
      <c r="C302" s="4">
        <v>5</v>
      </c>
      <c r="D302" s="5">
        <v>117608881083.97614</v>
      </c>
      <c r="E302" s="5">
        <v>117608881083.97614</v>
      </c>
      <c r="F302" s="5">
        <v>0.29690832395159311</v>
      </c>
      <c r="G302" s="5">
        <v>0</v>
      </c>
      <c r="H302" s="5">
        <v>44101530771.650467</v>
      </c>
      <c r="I302" s="5">
        <v>46642576538.58252</v>
      </c>
      <c r="J302" s="5">
        <v>46642576538.58252</v>
      </c>
      <c r="K302" s="5">
        <v>-4.4898657282671857E-11</v>
      </c>
      <c r="L302" s="5">
        <v>-4.4898657282671857E-11</v>
      </c>
      <c r="M302" s="5">
        <v>0</v>
      </c>
      <c r="N302" s="5">
        <v>2.0000000000000001E-4</v>
      </c>
      <c r="O302" s="5">
        <v>46.741686175101684</v>
      </c>
      <c r="P302" s="5">
        <v>46.741686175101684</v>
      </c>
      <c r="Q302" s="5">
        <v>8.3182696325887642E-9</v>
      </c>
      <c r="R302" s="5">
        <v>0</v>
      </c>
      <c r="S302" s="5">
        <v>5.8631251952718212E-5</v>
      </c>
      <c r="T302" s="5">
        <v>1.2205522883466029E-5</v>
      </c>
      <c r="U302" s="5">
        <v>1.2205522883466029E-5</v>
      </c>
      <c r="V302" s="5">
        <v>0</v>
      </c>
      <c r="W302" s="5">
        <v>0</v>
      </c>
      <c r="X302" s="5">
        <v>2.643660704987056</v>
      </c>
      <c r="Y302" s="5">
        <v>5051.1862178478968</v>
      </c>
      <c r="Z302" s="5">
        <f t="shared" ref="Z302:AA302" si="126">Z301+0.0002</f>
        <v>-3.9999999999999986E-4</v>
      </c>
      <c r="AA302" s="5">
        <f t="shared" si="126"/>
        <v>-2.0000000000000006E-4</v>
      </c>
      <c r="AB302" s="4">
        <v>2</v>
      </c>
    </row>
    <row r="303" spans="1:28" x14ac:dyDescent="0.25">
      <c r="C303" s="4">
        <v>6</v>
      </c>
      <c r="D303" s="5">
        <v>124167505020.38901</v>
      </c>
      <c r="E303" s="5">
        <v>124167505020.38901</v>
      </c>
      <c r="F303" s="5">
        <v>0.31547866099952721</v>
      </c>
      <c r="G303" s="5">
        <v>0</v>
      </c>
      <c r="H303" s="5">
        <v>46692628262.030708</v>
      </c>
      <c r="I303" s="5">
        <v>50063798079.768204</v>
      </c>
      <c r="J303" s="5">
        <v>50063798079.768204</v>
      </c>
      <c r="K303" s="5">
        <v>-5.2719909150640413E-11</v>
      </c>
      <c r="L303" s="5">
        <v>-5.2719909150640413E-11</v>
      </c>
      <c r="M303" s="5">
        <v>0</v>
      </c>
      <c r="N303" s="5">
        <v>2.0000000000000001E-4</v>
      </c>
      <c r="O303" s="5">
        <v>42.408821002792919</v>
      </c>
      <c r="P303" s="5">
        <v>42.408821002792919</v>
      </c>
      <c r="Q303" s="5">
        <v>9.7589143803531559E-9</v>
      </c>
      <c r="R303" s="5">
        <v>0</v>
      </c>
      <c r="S303" s="5">
        <v>5.4697196209876161E-5</v>
      </c>
      <c r="T303" s="5">
        <v>1.3430584908868747E-5</v>
      </c>
      <c r="U303" s="5">
        <v>1.3430584908868747E-5</v>
      </c>
      <c r="V303" s="5">
        <v>0</v>
      </c>
      <c r="W303" s="5">
        <v>0</v>
      </c>
      <c r="X303" s="5">
        <v>2.8789022402704307</v>
      </c>
      <c r="Y303" s="5">
        <v>5453.5016001931654</v>
      </c>
      <c r="Z303" s="5">
        <f t="shared" ref="Z303:AA303" si="127">Z302+0.0002</f>
        <v>-1.9999999999999985E-4</v>
      </c>
      <c r="AA303" s="5">
        <f t="shared" si="127"/>
        <v>0</v>
      </c>
      <c r="AB303" s="4">
        <v>2</v>
      </c>
    </row>
    <row r="304" spans="1:28" x14ac:dyDescent="0.25">
      <c r="C304" s="4">
        <v>7</v>
      </c>
      <c r="D304" s="5">
        <v>121912260948.8481</v>
      </c>
      <c r="E304" s="5">
        <v>121912260948.8481</v>
      </c>
      <c r="F304" s="5">
        <v>0.31189348119528582</v>
      </c>
      <c r="G304" s="5">
        <v>0</v>
      </c>
      <c r="H304" s="5">
        <v>45984905800.338814</v>
      </c>
      <c r="I304" s="5">
        <v>50028411956.683609</v>
      </c>
      <c r="J304" s="5">
        <v>50028411956.683609</v>
      </c>
      <c r="K304" s="5">
        <v>-5.7428501156256508E-11</v>
      </c>
      <c r="L304" s="5">
        <v>-5.7428501156256508E-11</v>
      </c>
      <c r="M304" s="5">
        <v>0</v>
      </c>
      <c r="N304" s="5">
        <v>2.0000000000000001E-4</v>
      </c>
      <c r="O304" s="5">
        <v>34.243970957732841</v>
      </c>
      <c r="P304" s="5">
        <v>34.243970957732841</v>
      </c>
      <c r="Q304" s="5">
        <v>1.0622486502289654E-8</v>
      </c>
      <c r="R304" s="5">
        <v>0</v>
      </c>
      <c r="S304" s="5">
        <v>4.6027596054150554E-5</v>
      </c>
      <c r="T304" s="5">
        <v>1.3766753078172393E-5</v>
      </c>
      <c r="U304" s="5">
        <v>1.3766753078172393E-5</v>
      </c>
      <c r="V304" s="5">
        <v>0</v>
      </c>
      <c r="W304" s="5">
        <v>0</v>
      </c>
      <c r="X304" s="5">
        <v>2.9201860505357908</v>
      </c>
      <c r="Y304" s="5">
        <v>5482.9900360969932</v>
      </c>
      <c r="Z304" s="5">
        <f t="shared" ref="Z304:AA304" si="128">Z303+0.0002</f>
        <v>0</v>
      </c>
      <c r="AA304" s="5">
        <f t="shared" si="128"/>
        <v>2.0000000000000001E-4</v>
      </c>
      <c r="AB304" s="4">
        <v>2</v>
      </c>
    </row>
    <row r="305" spans="1:28" x14ac:dyDescent="0.25">
      <c r="C305" s="4">
        <v>8</v>
      </c>
      <c r="D305" s="5">
        <v>110794723789.43701</v>
      </c>
      <c r="E305" s="5">
        <v>110794723789.43701</v>
      </c>
      <c r="F305" s="5">
        <v>0.28607580279630485</v>
      </c>
      <c r="G305" s="5">
        <v>0</v>
      </c>
      <c r="H305" s="5">
        <v>41963167019.494858</v>
      </c>
      <c r="I305" s="5">
        <v>46535658350.974747</v>
      </c>
      <c r="J305" s="5">
        <v>46535658350.974747</v>
      </c>
      <c r="K305" s="5">
        <v>-5.9125537187583815E-11</v>
      </c>
      <c r="L305" s="5">
        <v>-5.9125537187583815E-11</v>
      </c>
      <c r="M305" s="5">
        <v>0</v>
      </c>
      <c r="N305" s="5">
        <v>2.0000000000000001E-4</v>
      </c>
      <c r="O305" s="5">
        <v>22.071818644821654</v>
      </c>
      <c r="P305" s="5">
        <v>22.071818644821654</v>
      </c>
      <c r="Q305" s="5">
        <v>1.0927528802499155E-8</v>
      </c>
      <c r="R305" s="5">
        <v>0</v>
      </c>
      <c r="S305" s="5">
        <v>3.2436295988812045E-5</v>
      </c>
      <c r="T305" s="5">
        <v>1.3221245665739941E-5</v>
      </c>
      <c r="U305" s="5">
        <v>1.3221245665739941E-5</v>
      </c>
      <c r="V305" s="5">
        <v>0</v>
      </c>
      <c r="W305" s="5">
        <v>0</v>
      </c>
      <c r="X305" s="5">
        <v>2.7683985905294666</v>
      </c>
      <c r="Y305" s="5">
        <v>5140.2847075210475</v>
      </c>
      <c r="Z305" s="5">
        <f t="shared" ref="Z305:AA305" si="129">Z304+0.0002</f>
        <v>2.0000000000000001E-4</v>
      </c>
      <c r="AA305" s="5">
        <f t="shared" si="129"/>
        <v>4.0000000000000002E-4</v>
      </c>
      <c r="AB305" s="4">
        <v>2</v>
      </c>
    </row>
    <row r="306" spans="1:28" x14ac:dyDescent="0.25">
      <c r="C306" s="4">
        <v>9</v>
      </c>
      <c r="D306" s="5">
        <v>99812299907.263596</v>
      </c>
      <c r="E306" s="5">
        <v>99812299907.263596</v>
      </c>
      <c r="F306" s="5">
        <v>0.260472915070737</v>
      </c>
      <c r="G306" s="5">
        <v>0</v>
      </c>
      <c r="H306" s="5">
        <v>37983828394.97126</v>
      </c>
      <c r="I306" s="5">
        <v>43045024753.081894</v>
      </c>
      <c r="J306" s="5">
        <v>43045024753.081894</v>
      </c>
      <c r="K306" s="5">
        <v>-6.0540478121053692E-11</v>
      </c>
      <c r="L306" s="5">
        <v>-6.0540478121053692E-11</v>
      </c>
      <c r="M306" s="5">
        <v>0</v>
      </c>
      <c r="N306" s="5">
        <v>2.0000000000000001E-4</v>
      </c>
      <c r="O306" s="5">
        <v>10.388828308506753</v>
      </c>
      <c r="P306" s="5">
        <v>10.388828308506753</v>
      </c>
      <c r="Q306" s="5">
        <v>1.1180833882334907E-8</v>
      </c>
      <c r="R306" s="5">
        <v>0</v>
      </c>
      <c r="S306" s="5">
        <v>1.9364397838397865E-5</v>
      </c>
      <c r="T306" s="5">
        <v>1.265559817905532E-5</v>
      </c>
      <c r="U306" s="5">
        <v>1.265559817905532E-5</v>
      </c>
      <c r="V306" s="5">
        <v>0</v>
      </c>
      <c r="W306" s="5">
        <v>0</v>
      </c>
      <c r="X306" s="5">
        <v>2.6141377880711212</v>
      </c>
      <c r="Y306" s="5">
        <v>4795.8127057650863</v>
      </c>
      <c r="Z306" s="5">
        <f t="shared" ref="Z306:AA306" si="130">Z305+0.0002</f>
        <v>4.0000000000000002E-4</v>
      </c>
      <c r="AA306" s="5">
        <f t="shared" si="130"/>
        <v>6.0000000000000006E-4</v>
      </c>
      <c r="AB306" s="4">
        <v>2</v>
      </c>
    </row>
    <row r="307" spans="1:28" x14ac:dyDescent="0.25">
      <c r="C307" s="4">
        <v>10</v>
      </c>
      <c r="D307" s="5">
        <v>88941722142.047104</v>
      </c>
      <c r="E307" s="5">
        <v>88941722142.047104</v>
      </c>
      <c r="F307" s="5">
        <v>0.23504783002504617</v>
      </c>
      <c r="G307" s="5">
        <v>0</v>
      </c>
      <c r="H307" s="5">
        <v>34039588414.635353</v>
      </c>
      <c r="I307" s="5">
        <v>39556146087.398437</v>
      </c>
      <c r="J307" s="5">
        <v>39556146087.398437</v>
      </c>
      <c r="K307" s="5">
        <v>-6.1721902097840972E-11</v>
      </c>
      <c r="L307" s="5">
        <v>-6.1721902097840972E-11</v>
      </c>
      <c r="M307" s="5">
        <v>0</v>
      </c>
      <c r="N307" s="5">
        <v>2.0000000000000001E-4</v>
      </c>
      <c r="O307" s="5">
        <v>-0.88923611109717271</v>
      </c>
      <c r="P307" s="5">
        <v>-0.88923611109717271</v>
      </c>
      <c r="Q307" s="5">
        <v>1.1391311141550391E-8</v>
      </c>
      <c r="R307" s="5">
        <v>0</v>
      </c>
      <c r="S307" s="5">
        <v>6.7224580792831077E-6</v>
      </c>
      <c r="T307" s="5">
        <v>1.2073278836381537E-5</v>
      </c>
      <c r="U307" s="5">
        <v>1.2073278836381537E-5</v>
      </c>
      <c r="V307" s="5">
        <v>0</v>
      </c>
      <c r="W307" s="5">
        <v>0</v>
      </c>
      <c r="X307" s="5">
        <v>2.4578295647018265</v>
      </c>
      <c r="Y307" s="5">
        <v>4449.8782605013048</v>
      </c>
      <c r="Z307" s="5">
        <f t="shared" ref="Z307:AA307" si="131">Z306+0.0002</f>
        <v>6.0000000000000006E-4</v>
      </c>
      <c r="AA307" s="5">
        <f t="shared" si="131"/>
        <v>8.0000000000000004E-4</v>
      </c>
      <c r="AB307" s="4">
        <v>2</v>
      </c>
    </row>
    <row r="308" spans="1:28" x14ac:dyDescent="0.25">
      <c r="C308" s="4">
        <v>11</v>
      </c>
      <c r="D308" s="5">
        <v>78165721427.369904</v>
      </c>
      <c r="E308" s="5">
        <v>78165721427.369904</v>
      </c>
      <c r="F308" s="5">
        <v>0.20977309488419141</v>
      </c>
      <c r="G308" s="5">
        <v>0</v>
      </c>
      <c r="H308" s="5">
        <v>30125027839.678177</v>
      </c>
      <c r="I308" s="5">
        <v>36068751391.98391</v>
      </c>
      <c r="J308" s="5">
        <v>36068751391.98391</v>
      </c>
      <c r="K308" s="5">
        <v>-6.2705864190256788E-11</v>
      </c>
      <c r="L308" s="5">
        <v>-6.2705864190256788E-11</v>
      </c>
      <c r="M308" s="5">
        <v>0</v>
      </c>
      <c r="N308" s="5">
        <v>2.0000000000000001E-4</v>
      </c>
      <c r="O308" s="5">
        <v>-11.824895269513686</v>
      </c>
      <c r="P308" s="5">
        <v>-11.824895269513686</v>
      </c>
      <c r="Q308" s="5">
        <v>1.1565573205589731E-8</v>
      </c>
      <c r="R308" s="5">
        <v>0</v>
      </c>
      <c r="S308" s="5">
        <v>-5.5559089639423462E-6</v>
      </c>
      <c r="T308" s="5">
        <v>1.1476861776152866E-5</v>
      </c>
      <c r="U308" s="5">
        <v>1.1476861776152866E-5</v>
      </c>
      <c r="V308" s="5">
        <v>0</v>
      </c>
      <c r="W308" s="5">
        <v>0</v>
      </c>
      <c r="X308" s="5">
        <v>2.2997900426854399</v>
      </c>
      <c r="Y308" s="5">
        <v>4102.7071733467428</v>
      </c>
      <c r="Z308" s="5">
        <f t="shared" ref="Z308:AA308" si="132">Z307+0.0002</f>
        <v>8.0000000000000004E-4</v>
      </c>
      <c r="AA308" s="5">
        <f t="shared" si="132"/>
        <v>1E-3</v>
      </c>
      <c r="AB308" s="4">
        <v>2</v>
      </c>
    </row>
    <row r="309" spans="1:28" x14ac:dyDescent="0.25">
      <c r="B309" t="s">
        <v>190</v>
      </c>
      <c r="C309" s="11">
        <v>12</v>
      </c>
      <c r="D309" s="5">
        <v>67471062251.660126</v>
      </c>
      <c r="E309" s="5">
        <v>67471062251.660126</v>
      </c>
      <c r="F309" s="5">
        <v>0.18462766904800654</v>
      </c>
      <c r="G309" s="5">
        <v>0</v>
      </c>
      <c r="H309" s="5">
        <v>26235993208.862595</v>
      </c>
      <c r="I309" s="5">
        <v>32582632993.776463</v>
      </c>
      <c r="J309" s="5">
        <v>32582632993.776463</v>
      </c>
      <c r="K309" s="5">
        <v>-6.3519998047698093E-11</v>
      </c>
      <c r="L309" s="5">
        <v>-6.3519998047698093E-11</v>
      </c>
      <c r="M309" s="5">
        <v>0</v>
      </c>
      <c r="N309" s="5">
        <v>2.0000000000000001E-4</v>
      </c>
      <c r="O309" s="5">
        <v>-22.466066803958885</v>
      </c>
      <c r="P309" s="5">
        <v>-22.466066803958885</v>
      </c>
      <c r="Q309" s="5">
        <v>1.1708688181695617E-8</v>
      </c>
      <c r="R309" s="5">
        <v>0</v>
      </c>
      <c r="S309" s="5">
        <v>-1.7521583191433144E-5</v>
      </c>
      <c r="T309" s="5">
        <v>1.086831989245693E-5</v>
      </c>
      <c r="U309" s="5">
        <v>1.086831989245693E-5</v>
      </c>
      <c r="V309" s="5">
        <v>0</v>
      </c>
      <c r="W309" s="5">
        <v>0</v>
      </c>
      <c r="X309" s="5">
        <v>2.1402615072607927</v>
      </c>
      <c r="Y309" s="5">
        <v>3754.4725051862802</v>
      </c>
      <c r="Z309" s="5">
        <f t="shared" ref="Z309:AA309" si="133">Z308+0.0002</f>
        <v>1E-3</v>
      </c>
      <c r="AA309" s="5">
        <f t="shared" si="133"/>
        <v>1.2000000000000001E-3</v>
      </c>
      <c r="AB309" s="4">
        <v>2</v>
      </c>
    </row>
    <row r="313" spans="1:28" x14ac:dyDescent="0.25">
      <c r="A313" s="15" t="s">
        <v>255</v>
      </c>
      <c r="C313" s="10" t="s">
        <v>27</v>
      </c>
      <c r="D313" s="10" t="s">
        <v>28</v>
      </c>
      <c r="E313" s="10" t="s">
        <v>29</v>
      </c>
      <c r="F313" s="10" t="s">
        <v>30</v>
      </c>
      <c r="G313" s="10" t="s">
        <v>31</v>
      </c>
      <c r="H313" s="10" t="s">
        <v>47</v>
      </c>
      <c r="I313" s="10" t="s">
        <v>32</v>
      </c>
      <c r="J313" s="10" t="s">
        <v>33</v>
      </c>
      <c r="K313" s="10" t="s">
        <v>34</v>
      </c>
      <c r="L313" s="10" t="s">
        <v>35</v>
      </c>
      <c r="M313" s="10" t="s">
        <v>36</v>
      </c>
      <c r="N313" s="10" t="s">
        <v>37</v>
      </c>
      <c r="O313" s="10" t="s">
        <v>38</v>
      </c>
      <c r="P313" s="10" t="s">
        <v>39</v>
      </c>
      <c r="Q313" s="10" t="s">
        <v>40</v>
      </c>
      <c r="R313" s="10" t="s">
        <v>41</v>
      </c>
      <c r="S313" s="10" t="s">
        <v>42</v>
      </c>
      <c r="T313" s="10" t="s">
        <v>48</v>
      </c>
      <c r="U313" s="10" t="s">
        <v>77</v>
      </c>
      <c r="V313" s="10" t="s">
        <v>78</v>
      </c>
      <c r="W313" s="10" t="s">
        <v>79</v>
      </c>
      <c r="X313" s="10" t="s">
        <v>49</v>
      </c>
      <c r="Y313" s="10" t="s">
        <v>43</v>
      </c>
      <c r="Z313" s="10" t="s">
        <v>44</v>
      </c>
      <c r="AA313" s="10" t="s">
        <v>45</v>
      </c>
      <c r="AB313" s="10" t="s">
        <v>46</v>
      </c>
    </row>
    <row r="314" spans="1:28" x14ac:dyDescent="0.25">
      <c r="A314" s="12" t="s">
        <v>84</v>
      </c>
      <c r="B314" t="s">
        <v>14</v>
      </c>
      <c r="C314" s="11">
        <v>1</v>
      </c>
      <c r="D314" s="5">
        <v>72267106121.65831</v>
      </c>
      <c r="E314" s="5">
        <v>72267106121.65831</v>
      </c>
      <c r="F314" s="5">
        <v>0.16985587071169861</v>
      </c>
      <c r="G314" s="5">
        <v>0</v>
      </c>
      <c r="H314" s="5">
        <v>26275510257.216824</v>
      </c>
      <c r="I314" s="5">
        <v>23532525512.860832</v>
      </c>
      <c r="J314" s="5">
        <v>23532525512.860832</v>
      </c>
      <c r="K314" s="5">
        <v>5.6585823039330391E-12</v>
      </c>
      <c r="L314" s="5">
        <v>5.6585823039330391E-12</v>
      </c>
      <c r="M314" s="5">
        <v>0</v>
      </c>
      <c r="N314" s="5">
        <v>2.0000000000000001E-4</v>
      </c>
      <c r="O314" s="5">
        <v>72.11086508867028</v>
      </c>
      <c r="P314" s="5">
        <v>72.11086508867028</v>
      </c>
      <c r="Q314" s="5">
        <v>-9.9595364098893345E-10</v>
      </c>
      <c r="R314" s="5">
        <v>0</v>
      </c>
      <c r="S314" s="5">
        <v>8.1068750650906089E-5</v>
      </c>
      <c r="T314" s="5">
        <v>4.0960076278220057E-6</v>
      </c>
      <c r="U314" s="5">
        <v>4.0960076278220057E-6</v>
      </c>
      <c r="V314" s="5">
        <v>0</v>
      </c>
      <c r="W314" s="5">
        <v>0</v>
      </c>
      <c r="X314" s="5">
        <v>1.0753869016623514</v>
      </c>
      <c r="Y314" s="5">
        <v>2349.5620726159655</v>
      </c>
      <c r="Z314" s="5">
        <v>-1.1999999999999999E-3</v>
      </c>
      <c r="AA314" s="5">
        <v>-1E-3</v>
      </c>
      <c r="AB314" s="4">
        <v>2</v>
      </c>
    </row>
    <row r="315" spans="1:28" x14ac:dyDescent="0.25">
      <c r="C315" s="4">
        <v>2</v>
      </c>
      <c r="D315" s="5">
        <v>80098116383.615723</v>
      </c>
      <c r="E315" s="5">
        <v>80098116383.615723</v>
      </c>
      <c r="F315" s="5">
        <v>0.19452095030111652</v>
      </c>
      <c r="G315" s="5">
        <v>0</v>
      </c>
      <c r="H315" s="5">
        <v>29532359312.880714</v>
      </c>
      <c r="I315" s="5">
        <v>28632867965.644035</v>
      </c>
      <c r="J315" s="5">
        <v>28632867965.644035</v>
      </c>
      <c r="K315" s="5">
        <v>-1.0263438000177956E-11</v>
      </c>
      <c r="L315" s="5">
        <v>-1.0263438000177956E-11</v>
      </c>
      <c r="M315" s="5">
        <v>0</v>
      </c>
      <c r="N315" s="5">
        <v>2.0000000000000001E-4</v>
      </c>
      <c r="O315" s="5">
        <v>58.345725406177934</v>
      </c>
      <c r="P315" s="5">
        <v>58.345725406177934</v>
      </c>
      <c r="Q315" s="5">
        <v>1.9335001636170452E-9</v>
      </c>
      <c r="R315" s="5">
        <v>0</v>
      </c>
      <c r="S315" s="5">
        <v>6.7452651582788746E-5</v>
      </c>
      <c r="T315" s="5">
        <v>6.232754326381659E-6</v>
      </c>
      <c r="U315" s="5">
        <v>6.232754326381659E-6</v>
      </c>
      <c r="V315" s="5">
        <v>0</v>
      </c>
      <c r="W315" s="5">
        <v>0</v>
      </c>
      <c r="X315" s="5">
        <v>1.4649873734152916</v>
      </c>
      <c r="Y315" s="5">
        <v>2979.2766952966367</v>
      </c>
      <c r="Z315" s="5">
        <f t="shared" ref="Z315:AA315" si="134">Z314+0.0002</f>
        <v>-9.999999999999998E-4</v>
      </c>
      <c r="AA315" s="5">
        <f t="shared" si="134"/>
        <v>-8.0000000000000004E-4</v>
      </c>
      <c r="AB315" s="4">
        <v>2</v>
      </c>
    </row>
    <row r="316" spans="1:28" x14ac:dyDescent="0.25">
      <c r="C316" s="4">
        <v>3</v>
      </c>
      <c r="D316" s="5">
        <v>89709065612.406342</v>
      </c>
      <c r="E316" s="5">
        <v>89709065612.406342</v>
      </c>
      <c r="F316" s="5">
        <v>0.22201561331221364</v>
      </c>
      <c r="G316" s="5">
        <v>0</v>
      </c>
      <c r="H316" s="5">
        <v>33347774424.948341</v>
      </c>
      <c r="I316" s="5">
        <v>33761138721.247414</v>
      </c>
      <c r="J316" s="5">
        <v>33761138721.247414</v>
      </c>
      <c r="K316" s="5">
        <v>-2.2469227987811928E-11</v>
      </c>
      <c r="L316" s="5">
        <v>-2.2469227987811928E-11</v>
      </c>
      <c r="M316" s="5">
        <v>0</v>
      </c>
      <c r="N316" s="5">
        <v>2.0000000000000001E-4</v>
      </c>
      <c r="O316" s="5">
        <v>51.02464866877628</v>
      </c>
      <c r="P316" s="5">
        <v>51.02464866877628</v>
      </c>
      <c r="Q316" s="5">
        <v>4.1813844255280837E-9</v>
      </c>
      <c r="R316" s="5">
        <v>0</v>
      </c>
      <c r="S316" s="5">
        <v>6.0678986705617146E-5</v>
      </c>
      <c r="T316" s="5">
        <v>8.1041821481495372E-6</v>
      </c>
      <c r="U316" s="5">
        <v>8.1041821481495372E-6</v>
      </c>
      <c r="V316" s="5">
        <v>0</v>
      </c>
      <c r="W316" s="5">
        <v>0</v>
      </c>
      <c r="X316" s="5">
        <v>1.822004825211347</v>
      </c>
      <c r="Y316" s="5">
        <v>3585.7177322938196</v>
      </c>
      <c r="Z316" s="5">
        <f t="shared" ref="Z316:AA316" si="135">Z315+0.0002</f>
        <v>-7.9999999999999982E-4</v>
      </c>
      <c r="AA316" s="5">
        <f t="shared" si="135"/>
        <v>-6.0000000000000006E-4</v>
      </c>
      <c r="AB316" s="4">
        <v>2</v>
      </c>
    </row>
    <row r="317" spans="1:28" x14ac:dyDescent="0.25">
      <c r="C317" s="4">
        <v>4</v>
      </c>
      <c r="D317" s="5">
        <v>100056346870.88412</v>
      </c>
      <c r="E317" s="5">
        <v>100056346870.88412</v>
      </c>
      <c r="F317" s="5">
        <v>0.25068082932702479</v>
      </c>
      <c r="G317" s="5">
        <v>0</v>
      </c>
      <c r="H317" s="5">
        <v>37394259301.59214</v>
      </c>
      <c r="I317" s="5">
        <v>38900962965.079605</v>
      </c>
      <c r="J317" s="5">
        <v>38900962965.079605</v>
      </c>
      <c r="K317" s="5">
        <v>-3.3137673458187015E-11</v>
      </c>
      <c r="L317" s="5">
        <v>-3.3137673458187015E-11</v>
      </c>
      <c r="M317" s="5">
        <v>0</v>
      </c>
      <c r="N317" s="5">
        <v>2.0000000000000001E-4</v>
      </c>
      <c r="O317" s="5">
        <v>46.369376791095462</v>
      </c>
      <c r="P317" s="5">
        <v>46.369376791095462</v>
      </c>
      <c r="Q317" s="5">
        <v>6.147314365354472E-9</v>
      </c>
      <c r="R317" s="5">
        <v>0</v>
      </c>
      <c r="S317" s="5">
        <v>5.6735926444503725E-5</v>
      </c>
      <c r="T317" s="5">
        <v>9.8658518317437323E-6</v>
      </c>
      <c r="U317" s="5">
        <v>9.8658518317437323E-6</v>
      </c>
      <c r="V317" s="5">
        <v>0</v>
      </c>
      <c r="W317" s="5">
        <v>0</v>
      </c>
      <c r="X317" s="5">
        <v>2.1655432074071252</v>
      </c>
      <c r="Y317" s="5">
        <v>4182.5308624336612</v>
      </c>
      <c r="Z317" s="5">
        <f t="shared" ref="Z317:AA317" si="136">Z316+0.0002</f>
        <v>-5.9999999999999984E-4</v>
      </c>
      <c r="AA317" s="5">
        <f t="shared" si="136"/>
        <v>-4.0000000000000007E-4</v>
      </c>
      <c r="AB317" s="4">
        <v>2</v>
      </c>
    </row>
    <row r="318" spans="1:28" x14ac:dyDescent="0.25">
      <c r="C318" s="4">
        <v>5</v>
      </c>
      <c r="D318" s="5">
        <v>110836328695.42953</v>
      </c>
      <c r="E318" s="5">
        <v>110836328695.42953</v>
      </c>
      <c r="F318" s="5">
        <v>0.28003391294354057</v>
      </c>
      <c r="G318" s="5">
        <v>0</v>
      </c>
      <c r="H318" s="5">
        <v>41576530771.650467</v>
      </c>
      <c r="I318" s="5">
        <v>44047576538.58252</v>
      </c>
      <c r="J318" s="5">
        <v>44047576538.58252</v>
      </c>
      <c r="K318" s="5">
        <v>-4.2902708760269567E-11</v>
      </c>
      <c r="L318" s="5">
        <v>-4.2902708760269567E-11</v>
      </c>
      <c r="M318" s="5">
        <v>0</v>
      </c>
      <c r="N318" s="5">
        <v>2.0000000000000001E-4</v>
      </c>
      <c r="O318" s="5">
        <v>43.280647214062725</v>
      </c>
      <c r="P318" s="5">
        <v>43.280647214062725</v>
      </c>
      <c r="Q318" s="5">
        <v>7.9475557436998757E-9</v>
      </c>
      <c r="R318" s="5">
        <v>0</v>
      </c>
      <c r="S318" s="5">
        <v>5.4456251952718205E-5</v>
      </c>
      <c r="T318" s="5">
        <v>1.1563022883466028E-5</v>
      </c>
      <c r="U318" s="5">
        <v>1.1563022883466028E-5</v>
      </c>
      <c r="V318" s="5">
        <v>0</v>
      </c>
      <c r="W318" s="5">
        <v>0</v>
      </c>
      <c r="X318" s="5">
        <v>2.5011607049870559</v>
      </c>
      <c r="Y318" s="5">
        <v>4773.6862178478968</v>
      </c>
      <c r="Z318" s="5">
        <f t="shared" ref="Z318:AA318" si="137">Z317+0.0002</f>
        <v>-3.9999999999999986E-4</v>
      </c>
      <c r="AA318" s="5">
        <f t="shared" si="137"/>
        <v>-2.0000000000000006E-4</v>
      </c>
      <c r="AB318" s="4">
        <v>2</v>
      </c>
    </row>
    <row r="319" spans="1:28" x14ac:dyDescent="0.25">
      <c r="C319" s="4">
        <v>6</v>
      </c>
      <c r="D319" s="5">
        <v>121909987557.54015</v>
      </c>
      <c r="E319" s="5">
        <v>121909987557.54015</v>
      </c>
      <c r="F319" s="5">
        <v>0.3098538573301764</v>
      </c>
      <c r="G319" s="5">
        <v>0</v>
      </c>
      <c r="H319" s="5">
        <v>45850961595.364044</v>
      </c>
      <c r="I319" s="5">
        <v>49198798079.768204</v>
      </c>
      <c r="J319" s="5">
        <v>49198798079.768204</v>
      </c>
      <c r="K319" s="5">
        <v>-5.2054592976506312E-11</v>
      </c>
      <c r="L319" s="5">
        <v>-5.2054592976506312E-11</v>
      </c>
      <c r="M319" s="5">
        <v>0</v>
      </c>
      <c r="N319" s="5">
        <v>2.0000000000000001E-4</v>
      </c>
      <c r="O319" s="5">
        <v>41.255141349113266</v>
      </c>
      <c r="P319" s="5">
        <v>41.255141349113266</v>
      </c>
      <c r="Q319" s="5">
        <v>9.6353430840568598E-9</v>
      </c>
      <c r="R319" s="5">
        <v>0</v>
      </c>
      <c r="S319" s="5">
        <v>5.3305529543209492E-5</v>
      </c>
      <c r="T319" s="5">
        <v>1.3216418242202082E-5</v>
      </c>
      <c r="U319" s="5">
        <v>1.3216418242202082E-5</v>
      </c>
      <c r="V319" s="5">
        <v>0</v>
      </c>
      <c r="W319" s="5">
        <v>0</v>
      </c>
      <c r="X319" s="5">
        <v>2.8314022402704309</v>
      </c>
      <c r="Y319" s="5">
        <v>5361.0016001931654</v>
      </c>
      <c r="Z319" s="5">
        <f t="shared" ref="Z319:AA319" si="138">Z318+0.0002</f>
        <v>-1.9999999999999985E-4</v>
      </c>
      <c r="AA319" s="5">
        <f t="shared" si="138"/>
        <v>0</v>
      </c>
      <c r="AB319" s="4">
        <v>2</v>
      </c>
    </row>
    <row r="320" spans="1:28" x14ac:dyDescent="0.25">
      <c r="C320" s="4">
        <v>7</v>
      </c>
      <c r="D320" s="5">
        <v>119654743485.99922</v>
      </c>
      <c r="E320" s="5">
        <v>119654743485.99922</v>
      </c>
      <c r="F320" s="5">
        <v>0.30626867752593501</v>
      </c>
      <c r="G320" s="5">
        <v>0</v>
      </c>
      <c r="H320" s="5">
        <v>45143239133.67215</v>
      </c>
      <c r="I320" s="5">
        <v>49163411956.683609</v>
      </c>
      <c r="J320" s="5">
        <v>49163411956.683609</v>
      </c>
      <c r="K320" s="5">
        <v>-5.6763184982122407E-11</v>
      </c>
      <c r="L320" s="5">
        <v>-5.6763184982122407E-11</v>
      </c>
      <c r="M320" s="5">
        <v>0</v>
      </c>
      <c r="N320" s="5">
        <v>2.0000000000000001E-4</v>
      </c>
      <c r="O320" s="5">
        <v>33.090291304053189</v>
      </c>
      <c r="P320" s="5">
        <v>33.090291304053189</v>
      </c>
      <c r="Q320" s="5">
        <v>1.0498915205993358E-8</v>
      </c>
      <c r="R320" s="5">
        <v>0</v>
      </c>
      <c r="S320" s="5">
        <v>4.4635929387483885E-5</v>
      </c>
      <c r="T320" s="5">
        <v>1.3552586411505727E-5</v>
      </c>
      <c r="U320" s="5">
        <v>1.3552586411505727E-5</v>
      </c>
      <c r="V320" s="5">
        <v>0</v>
      </c>
      <c r="W320" s="5">
        <v>0</v>
      </c>
      <c r="X320" s="5">
        <v>2.872686050535791</v>
      </c>
      <c r="Y320" s="5">
        <v>5390.4900360969932</v>
      </c>
      <c r="Z320" s="5">
        <f t="shared" ref="Z320:AA320" si="139">Z319+0.0002</f>
        <v>0</v>
      </c>
      <c r="AA320" s="5">
        <f t="shared" si="139"/>
        <v>2.0000000000000001E-4</v>
      </c>
      <c r="AB320" s="4">
        <v>2</v>
      </c>
    </row>
    <row r="321" spans="1:28" x14ac:dyDescent="0.25">
      <c r="C321" s="4">
        <v>8</v>
      </c>
      <c r="D321" s="5">
        <v>104022171400.89041</v>
      </c>
      <c r="E321" s="5">
        <v>104022171400.89041</v>
      </c>
      <c r="F321" s="5">
        <v>0.26920139178825231</v>
      </c>
      <c r="G321" s="5">
        <v>0</v>
      </c>
      <c r="H321" s="5">
        <v>39438167019.494858</v>
      </c>
      <c r="I321" s="5">
        <v>43940658350.974747</v>
      </c>
      <c r="J321" s="5">
        <v>43940658350.974747</v>
      </c>
      <c r="K321" s="5">
        <v>-5.7129588665181531E-11</v>
      </c>
      <c r="L321" s="5">
        <v>-5.7129588665181531E-11</v>
      </c>
      <c r="M321" s="5">
        <v>0</v>
      </c>
      <c r="N321" s="5">
        <v>2.0000000000000001E-4</v>
      </c>
      <c r="O321" s="5">
        <v>18.610779683782695</v>
      </c>
      <c r="P321" s="5">
        <v>18.610779683782695</v>
      </c>
      <c r="Q321" s="5">
        <v>1.0556814913610266E-8</v>
      </c>
      <c r="R321" s="5">
        <v>0</v>
      </c>
      <c r="S321" s="5">
        <v>2.8261295988812042E-5</v>
      </c>
      <c r="T321" s="5">
        <v>1.257874566573994E-5</v>
      </c>
      <c r="U321" s="5">
        <v>1.257874566573994E-5</v>
      </c>
      <c r="V321" s="5">
        <v>0</v>
      </c>
      <c r="W321" s="5">
        <v>0</v>
      </c>
      <c r="X321" s="5">
        <v>2.6258985905294665</v>
      </c>
      <c r="Y321" s="5">
        <v>4862.7847075210475</v>
      </c>
      <c r="Z321" s="5">
        <f t="shared" ref="Z321:AA321" si="140">Z320+0.0002</f>
        <v>2.0000000000000001E-4</v>
      </c>
      <c r="AA321" s="5">
        <f t="shared" si="140"/>
        <v>4.0000000000000002E-4</v>
      </c>
      <c r="AB321" s="4">
        <v>2</v>
      </c>
    </row>
    <row r="322" spans="1:28" x14ac:dyDescent="0.25">
      <c r="C322" s="4">
        <v>9</v>
      </c>
      <c r="D322" s="5">
        <v>88524712593.019226</v>
      </c>
      <c r="E322" s="5">
        <v>88524712593.019226</v>
      </c>
      <c r="F322" s="5">
        <v>0.23234889672398273</v>
      </c>
      <c r="G322" s="5">
        <v>0</v>
      </c>
      <c r="H322" s="5">
        <v>33775495061.637924</v>
      </c>
      <c r="I322" s="5">
        <v>38720024753.081894</v>
      </c>
      <c r="J322" s="5">
        <v>38720024753.081894</v>
      </c>
      <c r="K322" s="5">
        <v>-5.7213897250383212E-11</v>
      </c>
      <c r="L322" s="5">
        <v>-5.7213897250383212E-11</v>
      </c>
      <c r="M322" s="5">
        <v>0</v>
      </c>
      <c r="N322" s="5">
        <v>2.0000000000000001E-4</v>
      </c>
      <c r="O322" s="5">
        <v>4.6204300401084879</v>
      </c>
      <c r="P322" s="5">
        <v>4.6204300401084879</v>
      </c>
      <c r="Q322" s="5">
        <v>1.0562977400853425E-8</v>
      </c>
      <c r="R322" s="5">
        <v>0</v>
      </c>
      <c r="S322" s="5">
        <v>1.2406064505064535E-5</v>
      </c>
      <c r="T322" s="5">
        <v>1.1584764845721987E-5</v>
      </c>
      <c r="U322" s="5">
        <v>1.1584764845721987E-5</v>
      </c>
      <c r="V322" s="5">
        <v>0</v>
      </c>
      <c r="W322" s="5">
        <v>0</v>
      </c>
      <c r="X322" s="5">
        <v>2.3766377880711214</v>
      </c>
      <c r="Y322" s="5">
        <v>4333.3127057650863</v>
      </c>
      <c r="Z322" s="5">
        <f t="shared" ref="Z322:AA322" si="141">Z321+0.0002</f>
        <v>4.0000000000000002E-4</v>
      </c>
      <c r="AA322" s="5">
        <f t="shared" si="141"/>
        <v>6.0000000000000006E-4</v>
      </c>
      <c r="AB322" s="4">
        <v>2</v>
      </c>
    </row>
    <row r="323" spans="1:28" x14ac:dyDescent="0.25">
      <c r="C323" s="4">
        <v>10</v>
      </c>
      <c r="D323" s="5">
        <v>73139099902.104996</v>
      </c>
      <c r="E323" s="5">
        <v>73139099902.104996</v>
      </c>
      <c r="F323" s="5">
        <v>0.19567420433959021</v>
      </c>
      <c r="G323" s="5">
        <v>0</v>
      </c>
      <c r="H323" s="5">
        <v>28147921747.968689</v>
      </c>
      <c r="I323" s="5">
        <v>33501146087.398437</v>
      </c>
      <c r="J323" s="5">
        <v>33501146087.398437</v>
      </c>
      <c r="K323" s="5">
        <v>-5.7064688878902297E-11</v>
      </c>
      <c r="L323" s="5">
        <v>-5.7064688878902297E-11</v>
      </c>
      <c r="M323" s="5">
        <v>0</v>
      </c>
      <c r="N323" s="5">
        <v>2.0000000000000001E-4</v>
      </c>
      <c r="O323" s="5">
        <v>-8.9649936868547435</v>
      </c>
      <c r="P323" s="5">
        <v>-8.9649936868547435</v>
      </c>
      <c r="Q323" s="5">
        <v>1.0526312067476318E-8</v>
      </c>
      <c r="R323" s="5">
        <v>0</v>
      </c>
      <c r="S323" s="5">
        <v>-3.0192085873835608E-6</v>
      </c>
      <c r="T323" s="5">
        <v>1.0574112169714871E-5</v>
      </c>
      <c r="U323" s="5">
        <v>1.0574112169714871E-5</v>
      </c>
      <c r="V323" s="5">
        <v>0</v>
      </c>
      <c r="W323" s="5">
        <v>0</v>
      </c>
      <c r="X323" s="5">
        <v>2.1253295647018264</v>
      </c>
      <c r="Y323" s="5">
        <v>3802.3782605013048</v>
      </c>
      <c r="Z323" s="5">
        <f t="shared" ref="Z323:AA323" si="142">Z322+0.0002</f>
        <v>6.0000000000000006E-4</v>
      </c>
      <c r="AA323" s="5">
        <f t="shared" si="142"/>
        <v>8.0000000000000004E-4</v>
      </c>
      <c r="AB323" s="4">
        <v>2</v>
      </c>
    </row>
    <row r="324" spans="1:28" x14ac:dyDescent="0.25">
      <c r="C324" s="4">
        <v>11</v>
      </c>
      <c r="D324" s="5">
        <v>57848064261.730057</v>
      </c>
      <c r="E324" s="5">
        <v>57848064261.730057</v>
      </c>
      <c r="F324" s="5">
        <v>0.15914986186003374</v>
      </c>
      <c r="G324" s="5">
        <v>0</v>
      </c>
      <c r="H324" s="5">
        <v>22550027839.678177</v>
      </c>
      <c r="I324" s="5">
        <v>28283751391.98391</v>
      </c>
      <c r="J324" s="5">
        <v>28283751391.98391</v>
      </c>
      <c r="K324" s="5">
        <v>-5.671801862304993E-11</v>
      </c>
      <c r="L324" s="5">
        <v>-5.671801862304993E-11</v>
      </c>
      <c r="M324" s="5">
        <v>0</v>
      </c>
      <c r="N324" s="5">
        <v>2.0000000000000001E-4</v>
      </c>
      <c r="O324" s="5">
        <v>-22.208012152630562</v>
      </c>
      <c r="P324" s="5">
        <v>-22.208012152630562</v>
      </c>
      <c r="Q324" s="5">
        <v>1.0453431538923064E-8</v>
      </c>
      <c r="R324" s="5">
        <v>0</v>
      </c>
      <c r="S324" s="5">
        <v>-1.8080908963942346E-5</v>
      </c>
      <c r="T324" s="5">
        <v>9.5493617761528647E-6</v>
      </c>
      <c r="U324" s="5">
        <v>9.5493617761528647E-6</v>
      </c>
      <c r="V324" s="5">
        <v>0</v>
      </c>
      <c r="W324" s="5">
        <v>0</v>
      </c>
      <c r="X324" s="5">
        <v>1.8722900426854399</v>
      </c>
      <c r="Y324" s="5">
        <v>3270.2071733467428</v>
      </c>
      <c r="Z324" s="5">
        <f t="shared" ref="Z324:AA324" si="143">Z323+0.0002</f>
        <v>8.0000000000000004E-4</v>
      </c>
      <c r="AA324" s="5">
        <f t="shared" si="143"/>
        <v>1E-3</v>
      </c>
      <c r="AB324" s="4">
        <v>2</v>
      </c>
    </row>
    <row r="325" spans="1:28" x14ac:dyDescent="0.25">
      <c r="B325" t="s">
        <v>190</v>
      </c>
      <c r="C325" s="11">
        <v>12</v>
      </c>
      <c r="D325" s="5">
        <v>42638370160.322525</v>
      </c>
      <c r="E325" s="5">
        <v>42638370160.322525</v>
      </c>
      <c r="F325" s="5">
        <v>0.12275482868514714</v>
      </c>
      <c r="G325" s="5">
        <v>0</v>
      </c>
      <c r="H325" s="5">
        <v>16977659875.529263</v>
      </c>
      <c r="I325" s="5">
        <v>23067632993.776459</v>
      </c>
      <c r="J325" s="5">
        <v>23067632993.776459</v>
      </c>
      <c r="K325" s="5">
        <v>-5.6201520132223033E-11</v>
      </c>
      <c r="L325" s="5">
        <v>-5.6201520132223033E-11</v>
      </c>
      <c r="M325" s="5">
        <v>0</v>
      </c>
      <c r="N325" s="5">
        <v>2.0000000000000001E-4</v>
      </c>
      <c r="O325" s="5">
        <v>-35.156542994435071</v>
      </c>
      <c r="P325" s="5">
        <v>-35.156542994435071</v>
      </c>
      <c r="Q325" s="5">
        <v>1.0349403922436358E-8</v>
      </c>
      <c r="R325" s="5">
        <v>0</v>
      </c>
      <c r="S325" s="5">
        <v>-3.2829916524766475E-5</v>
      </c>
      <c r="T325" s="5">
        <v>8.5124865591235943E-6</v>
      </c>
      <c r="U325" s="5">
        <v>8.5124865591235943E-6</v>
      </c>
      <c r="V325" s="5">
        <v>0</v>
      </c>
      <c r="W325" s="5">
        <v>0</v>
      </c>
      <c r="X325" s="5">
        <v>1.6177615072607927</v>
      </c>
      <c r="Y325" s="5">
        <v>2736.9725051862802</v>
      </c>
      <c r="Z325" s="5">
        <f t="shared" ref="Z325:AA325" si="144">Z324+0.0002</f>
        <v>1E-3</v>
      </c>
      <c r="AA325" s="5">
        <f t="shared" si="144"/>
        <v>1.2000000000000001E-3</v>
      </c>
      <c r="AB325" s="4">
        <v>2</v>
      </c>
    </row>
    <row r="328" spans="1:28" x14ac:dyDescent="0.25">
      <c r="A328" s="15" t="s">
        <v>256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x14ac:dyDescent="0.25">
      <c r="A329" s="12" t="s">
        <v>84</v>
      </c>
      <c r="C329" s="10" t="s">
        <v>27</v>
      </c>
      <c r="D329" s="10" t="s">
        <v>28</v>
      </c>
      <c r="E329" s="10" t="s">
        <v>29</v>
      </c>
      <c r="F329" s="10" t="s">
        <v>30</v>
      </c>
      <c r="G329" s="10" t="s">
        <v>31</v>
      </c>
      <c r="H329" s="10" t="s">
        <v>47</v>
      </c>
      <c r="I329" s="10" t="s">
        <v>32</v>
      </c>
      <c r="J329" s="10" t="s">
        <v>33</v>
      </c>
      <c r="K329" s="10" t="s">
        <v>34</v>
      </c>
      <c r="L329" s="10" t="s">
        <v>35</v>
      </c>
      <c r="M329" s="10" t="s">
        <v>36</v>
      </c>
      <c r="N329" s="10" t="s">
        <v>37</v>
      </c>
      <c r="O329" s="10" t="s">
        <v>38</v>
      </c>
      <c r="P329" s="10" t="s">
        <v>39</v>
      </c>
      <c r="Q329" s="10" t="s">
        <v>40</v>
      </c>
      <c r="R329" s="10" t="s">
        <v>41</v>
      </c>
      <c r="S329" s="10" t="s">
        <v>42</v>
      </c>
      <c r="T329" s="10" t="s">
        <v>48</v>
      </c>
      <c r="U329" s="10" t="s">
        <v>77</v>
      </c>
      <c r="V329" s="10" t="s">
        <v>78</v>
      </c>
      <c r="W329" s="10" t="s">
        <v>79</v>
      </c>
      <c r="X329" s="10" t="s">
        <v>49</v>
      </c>
      <c r="Y329" s="10" t="s">
        <v>43</v>
      </c>
      <c r="Z329" s="10" t="s">
        <v>44</v>
      </c>
      <c r="AA329" s="10" t="s">
        <v>45</v>
      </c>
      <c r="AB329" s="10" t="s">
        <v>46</v>
      </c>
    </row>
    <row r="330" spans="1:28" x14ac:dyDescent="0.25">
      <c r="B330" t="s">
        <v>14</v>
      </c>
      <c r="C330" s="11">
        <v>1</v>
      </c>
      <c r="D330" s="5">
        <v>47434414030.320709</v>
      </c>
      <c r="E330" s="5">
        <v>47434414030.320709</v>
      </c>
      <c r="F330" s="5">
        <v>0.10798303034883919</v>
      </c>
      <c r="G330" s="5">
        <v>0</v>
      </c>
      <c r="H330" s="5">
        <v>17017176923.883484</v>
      </c>
      <c r="I330" s="5">
        <v>14017525512.860832</v>
      </c>
      <c r="J330" s="5">
        <v>14017525512.860832</v>
      </c>
      <c r="K330" s="5">
        <v>1.2977060219408096E-11</v>
      </c>
      <c r="L330" s="5">
        <v>1.2977060219408096E-11</v>
      </c>
      <c r="M330" s="5">
        <v>0</v>
      </c>
      <c r="N330" s="5">
        <v>2.0000000000000001E-4</v>
      </c>
      <c r="O330" s="5">
        <v>59.420388898194084</v>
      </c>
      <c r="P330" s="5">
        <v>59.420388898194084</v>
      </c>
      <c r="Q330" s="5">
        <v>-2.3552379002481935E-9</v>
      </c>
      <c r="R330" s="5">
        <v>0</v>
      </c>
      <c r="S330" s="5">
        <v>6.5760417317572745E-5</v>
      </c>
      <c r="T330" s="5">
        <v>1.7401742944886711E-6</v>
      </c>
      <c r="U330" s="5">
        <v>1.7401742944886711E-6</v>
      </c>
      <c r="V330" s="5">
        <v>0</v>
      </c>
      <c r="W330" s="5">
        <v>0</v>
      </c>
      <c r="X330" s="5">
        <v>0.55288690166235099</v>
      </c>
      <c r="Y330" s="5">
        <v>1332.062072615965</v>
      </c>
      <c r="Z330" s="5">
        <v>-1.1999999999999999E-3</v>
      </c>
      <c r="AA330" s="5">
        <v>-1E-3</v>
      </c>
      <c r="AB330" s="4">
        <v>2</v>
      </c>
    </row>
    <row r="331" spans="1:28" x14ac:dyDescent="0.25">
      <c r="C331" s="4">
        <v>2</v>
      </c>
      <c r="D331" s="5">
        <v>59780459217.975861</v>
      </c>
      <c r="E331" s="5">
        <v>59780459217.975861</v>
      </c>
      <c r="F331" s="5">
        <v>0.14389771727695883</v>
      </c>
      <c r="G331" s="5">
        <v>0</v>
      </c>
      <c r="H331" s="5">
        <v>21957359312.880714</v>
      </c>
      <c r="I331" s="5">
        <v>20847867965.644035</v>
      </c>
      <c r="J331" s="5">
        <v>20847867965.644035</v>
      </c>
      <c r="K331" s="5">
        <v>-4.2755924329710918E-12</v>
      </c>
      <c r="L331" s="5">
        <v>-4.2755924329710918E-12</v>
      </c>
      <c r="M331" s="5">
        <v>0</v>
      </c>
      <c r="N331" s="5">
        <v>2.0000000000000001E-4</v>
      </c>
      <c r="O331" s="5">
        <v>47.962608523061043</v>
      </c>
      <c r="P331" s="5">
        <v>47.962608523061043</v>
      </c>
      <c r="Q331" s="5">
        <v>8.2135849695037749E-10</v>
      </c>
      <c r="R331" s="5">
        <v>0</v>
      </c>
      <c r="S331" s="5">
        <v>5.4927651582788753E-5</v>
      </c>
      <c r="T331" s="5">
        <v>4.3052543263816593E-6</v>
      </c>
      <c r="U331" s="5">
        <v>4.3052543263816593E-6</v>
      </c>
      <c r="V331" s="5">
        <v>0</v>
      </c>
      <c r="W331" s="5">
        <v>0</v>
      </c>
      <c r="X331" s="5">
        <v>1.0374873734152914</v>
      </c>
      <c r="Y331" s="5">
        <v>2146.7766952966367</v>
      </c>
      <c r="Z331" s="5">
        <f t="shared" ref="Z331:AA331" si="145">Z330+0.0002</f>
        <v>-9.999999999999998E-4</v>
      </c>
      <c r="AA331" s="5">
        <f t="shared" si="145"/>
        <v>-8.0000000000000004E-4</v>
      </c>
      <c r="AB331" s="4">
        <v>2</v>
      </c>
    </row>
    <row r="332" spans="1:28" x14ac:dyDescent="0.25">
      <c r="C332" s="4">
        <v>3</v>
      </c>
      <c r="D332" s="5">
        <v>73906443372.464233</v>
      </c>
      <c r="E332" s="5">
        <v>73906443372.464233</v>
      </c>
      <c r="F332" s="5">
        <v>0.18264198762675765</v>
      </c>
      <c r="G332" s="5">
        <v>0</v>
      </c>
      <c r="H332" s="5">
        <v>27456107758.281673</v>
      </c>
      <c r="I332" s="5">
        <v>27706138721.247414</v>
      </c>
      <c r="J332" s="5">
        <v>27706138721.247414</v>
      </c>
      <c r="K332" s="5">
        <v>-1.7812014768873256E-11</v>
      </c>
      <c r="L332" s="5">
        <v>-1.7812014768873256E-11</v>
      </c>
      <c r="M332" s="5">
        <v>0</v>
      </c>
      <c r="N332" s="5">
        <v>2.0000000000000001E-4</v>
      </c>
      <c r="O332" s="5">
        <v>42.948891093018695</v>
      </c>
      <c r="P332" s="5">
        <v>42.948891093018695</v>
      </c>
      <c r="Q332" s="5">
        <v>3.3163853514540099E-9</v>
      </c>
      <c r="R332" s="5">
        <v>0</v>
      </c>
      <c r="S332" s="5">
        <v>5.0937320038950484E-5</v>
      </c>
      <c r="T332" s="5">
        <v>6.6050154814828698E-6</v>
      </c>
      <c r="U332" s="5">
        <v>6.6050154814828698E-6</v>
      </c>
      <c r="V332" s="5">
        <v>0</v>
      </c>
      <c r="W332" s="5">
        <v>0</v>
      </c>
      <c r="X332" s="5">
        <v>1.4895048252113468</v>
      </c>
      <c r="Y332" s="5">
        <v>2938.2177322938196</v>
      </c>
      <c r="Z332" s="5">
        <f t="shared" ref="Z332:AA332" si="146">Z331+0.0002</f>
        <v>-7.9999999999999982E-4</v>
      </c>
      <c r="AA332" s="5">
        <f t="shared" si="146"/>
        <v>-6.0000000000000006E-4</v>
      </c>
      <c r="AB332" s="4">
        <v>2</v>
      </c>
    </row>
    <row r="333" spans="1:28" x14ac:dyDescent="0.25">
      <c r="C333" s="4">
        <v>4</v>
      </c>
      <c r="D333" s="5">
        <v>88768759556.639771</v>
      </c>
      <c r="E333" s="5">
        <v>88768759556.639771</v>
      </c>
      <c r="F333" s="5">
        <v>0.22255681098027053</v>
      </c>
      <c r="G333" s="5">
        <v>0</v>
      </c>
      <c r="H333" s="5">
        <v>33185925968.258804</v>
      </c>
      <c r="I333" s="5">
        <v>34575962965.079605</v>
      </c>
      <c r="J333" s="5">
        <v>34575962965.079605</v>
      </c>
      <c r="K333" s="5">
        <v>-2.9811092587516535E-11</v>
      </c>
      <c r="L333" s="5">
        <v>-2.9811092587516535E-11</v>
      </c>
      <c r="M333" s="5">
        <v>0</v>
      </c>
      <c r="N333" s="5">
        <v>2.0000000000000001E-4</v>
      </c>
      <c r="O333" s="5">
        <v>40.60097852269719</v>
      </c>
      <c r="P333" s="5">
        <v>40.60097852269719</v>
      </c>
      <c r="Q333" s="5">
        <v>5.5294578838729904E-9</v>
      </c>
      <c r="R333" s="5">
        <v>0</v>
      </c>
      <c r="S333" s="5">
        <v>4.9777593111170388E-5</v>
      </c>
      <c r="T333" s="5">
        <v>8.7950184984103973E-6</v>
      </c>
      <c r="U333" s="5">
        <v>8.7950184984103973E-6</v>
      </c>
      <c r="V333" s="5">
        <v>0</v>
      </c>
      <c r="W333" s="5">
        <v>0</v>
      </c>
      <c r="X333" s="5">
        <v>1.928043207407125</v>
      </c>
      <c r="Y333" s="5">
        <v>3720.0308624336612</v>
      </c>
      <c r="Z333" s="5">
        <f t="shared" ref="Z333:AA333" si="147">Z332+0.0002</f>
        <v>-5.9999999999999984E-4</v>
      </c>
      <c r="AA333" s="5">
        <f t="shared" si="147"/>
        <v>-4.0000000000000007E-4</v>
      </c>
      <c r="AB333" s="4">
        <v>2</v>
      </c>
    </row>
    <row r="334" spans="1:28" x14ac:dyDescent="0.25">
      <c r="C334" s="4">
        <v>5</v>
      </c>
      <c r="D334" s="5">
        <v>104063776306.8829</v>
      </c>
      <c r="E334" s="5">
        <v>104063776306.8829</v>
      </c>
      <c r="F334" s="5">
        <v>0.26315950193548798</v>
      </c>
      <c r="G334" s="5">
        <v>0</v>
      </c>
      <c r="H334" s="5">
        <v>39051530771.650467</v>
      </c>
      <c r="I334" s="5">
        <v>41452576538.58252</v>
      </c>
      <c r="J334" s="5">
        <v>41452576538.58252</v>
      </c>
      <c r="K334" s="5">
        <v>-4.0906760237867283E-11</v>
      </c>
      <c r="L334" s="5">
        <v>-4.0906760237867283E-11</v>
      </c>
      <c r="M334" s="5">
        <v>0</v>
      </c>
      <c r="N334" s="5">
        <v>2.0000000000000001E-4</v>
      </c>
      <c r="O334" s="5">
        <v>39.819608253023759</v>
      </c>
      <c r="P334" s="5">
        <v>39.819608253023759</v>
      </c>
      <c r="Q334" s="5">
        <v>7.5768418548109873E-9</v>
      </c>
      <c r="R334" s="5">
        <v>0</v>
      </c>
      <c r="S334" s="5">
        <v>5.0281251952718212E-5</v>
      </c>
      <c r="T334" s="5">
        <v>1.0920522883466028E-5</v>
      </c>
      <c r="U334" s="5">
        <v>1.0920522883466028E-5</v>
      </c>
      <c r="V334" s="5">
        <v>0</v>
      </c>
      <c r="W334" s="5">
        <v>0</v>
      </c>
      <c r="X334" s="5">
        <v>2.3586607049870558</v>
      </c>
      <c r="Y334" s="5">
        <v>4496.1862178478968</v>
      </c>
      <c r="Z334" s="5">
        <f t="shared" ref="Z334:AA334" si="148">Z333+0.0002</f>
        <v>-3.9999999999999986E-4</v>
      </c>
      <c r="AA334" s="5">
        <f t="shared" si="148"/>
        <v>-2.0000000000000006E-4</v>
      </c>
      <c r="AB334" s="4">
        <v>2</v>
      </c>
    </row>
    <row r="335" spans="1:28" x14ac:dyDescent="0.25">
      <c r="C335" s="4">
        <v>6</v>
      </c>
      <c r="D335" s="5">
        <v>119652470094.69127</v>
      </c>
      <c r="E335" s="5">
        <v>119652470094.69127</v>
      </c>
      <c r="F335" s="5">
        <v>0.30422905366082553</v>
      </c>
      <c r="G335" s="5">
        <v>0</v>
      </c>
      <c r="H335" s="5">
        <v>45009294928.69738</v>
      </c>
      <c r="I335" s="5">
        <v>48333798079.768204</v>
      </c>
      <c r="J335" s="5">
        <v>48333798079.768204</v>
      </c>
      <c r="K335" s="5">
        <v>-5.1389276802372217E-11</v>
      </c>
      <c r="L335" s="5">
        <v>-5.1389276802372217E-11</v>
      </c>
      <c r="M335" s="5">
        <v>0</v>
      </c>
      <c r="N335" s="5">
        <v>2.0000000000000001E-4</v>
      </c>
      <c r="O335" s="5">
        <v>40.101461695433613</v>
      </c>
      <c r="P335" s="5">
        <v>40.101461695433613</v>
      </c>
      <c r="Q335" s="5">
        <v>9.511771787760562E-9</v>
      </c>
      <c r="R335" s="5">
        <v>0</v>
      </c>
      <c r="S335" s="5">
        <v>5.1913862876542823E-5</v>
      </c>
      <c r="T335" s="5">
        <v>1.3002251575535415E-5</v>
      </c>
      <c r="U335" s="5">
        <v>1.3002251575535415E-5</v>
      </c>
      <c r="V335" s="5">
        <v>0</v>
      </c>
      <c r="W335" s="5">
        <v>0</v>
      </c>
      <c r="X335" s="5">
        <v>2.783902240270431</v>
      </c>
      <c r="Y335" s="5">
        <v>5268.5016001931654</v>
      </c>
      <c r="Z335" s="5">
        <f t="shared" ref="Z335:AA335" si="149">Z334+0.0002</f>
        <v>-1.9999999999999985E-4</v>
      </c>
      <c r="AA335" s="5">
        <f t="shared" si="149"/>
        <v>0</v>
      </c>
      <c r="AB335" s="4">
        <v>2</v>
      </c>
    </row>
    <row r="336" spans="1:28" x14ac:dyDescent="0.25">
      <c r="C336" s="4">
        <v>7</v>
      </c>
      <c r="D336" s="5">
        <v>117397226023.15034</v>
      </c>
      <c r="E336" s="5">
        <v>117397226023.15034</v>
      </c>
      <c r="F336" s="5">
        <v>0.30064387385658414</v>
      </c>
      <c r="G336" s="5">
        <v>0</v>
      </c>
      <c r="H336" s="5">
        <v>44301572467.005486</v>
      </c>
      <c r="I336" s="5">
        <v>48298411956.683609</v>
      </c>
      <c r="J336" s="5">
        <v>48298411956.683609</v>
      </c>
      <c r="K336" s="5">
        <v>-5.6097868807988312E-11</v>
      </c>
      <c r="L336" s="5">
        <v>-5.6097868807988312E-11</v>
      </c>
      <c r="M336" s="5">
        <v>0</v>
      </c>
      <c r="N336" s="5">
        <v>2.0000000000000001E-4</v>
      </c>
      <c r="O336" s="5">
        <v>31.936611650373536</v>
      </c>
      <c r="P336" s="5">
        <v>31.936611650373536</v>
      </c>
      <c r="Q336" s="5">
        <v>1.0375343909697062E-8</v>
      </c>
      <c r="R336" s="5">
        <v>0</v>
      </c>
      <c r="S336" s="5">
        <v>4.3244262720817216E-5</v>
      </c>
      <c r="T336" s="5">
        <v>1.333841974483906E-5</v>
      </c>
      <c r="U336" s="5">
        <v>1.333841974483906E-5</v>
      </c>
      <c r="V336" s="5">
        <v>0</v>
      </c>
      <c r="W336" s="5">
        <v>0</v>
      </c>
      <c r="X336" s="5">
        <v>2.8251860505357911</v>
      </c>
      <c r="Y336" s="5">
        <v>5297.9900360969932</v>
      </c>
      <c r="Z336" s="5">
        <f t="shared" ref="Z336:AA336" si="150">Z335+0.0002</f>
        <v>0</v>
      </c>
      <c r="AA336" s="5">
        <f t="shared" si="150"/>
        <v>2.0000000000000001E-4</v>
      </c>
      <c r="AB336" s="4">
        <v>2</v>
      </c>
    </row>
    <row r="337" spans="1:28" x14ac:dyDescent="0.25">
      <c r="C337" s="4">
        <v>8</v>
      </c>
      <c r="D337" s="5">
        <v>97249619012.343781</v>
      </c>
      <c r="E337" s="5">
        <v>97249619012.343781</v>
      </c>
      <c r="F337" s="5">
        <v>0.25232698078019972</v>
      </c>
      <c r="G337" s="5">
        <v>0</v>
      </c>
      <c r="H337" s="5">
        <v>36913167019.494858</v>
      </c>
      <c r="I337" s="5">
        <v>41345658350.974747</v>
      </c>
      <c r="J337" s="5">
        <v>41345658350.974747</v>
      </c>
      <c r="K337" s="5">
        <v>-5.5133640142779247E-11</v>
      </c>
      <c r="L337" s="5">
        <v>-5.5133640142779247E-11</v>
      </c>
      <c r="M337" s="5">
        <v>0</v>
      </c>
      <c r="N337" s="5">
        <v>2.0000000000000001E-4</v>
      </c>
      <c r="O337" s="5">
        <v>15.149740722743733</v>
      </c>
      <c r="P337" s="5">
        <v>15.149740722743733</v>
      </c>
      <c r="Q337" s="5">
        <v>1.0186101024721376E-8</v>
      </c>
      <c r="R337" s="5">
        <v>0</v>
      </c>
      <c r="S337" s="5">
        <v>2.4086295988812042E-5</v>
      </c>
      <c r="T337" s="5">
        <v>1.193624566573994E-5</v>
      </c>
      <c r="U337" s="5">
        <v>1.193624566573994E-5</v>
      </c>
      <c r="V337" s="5">
        <v>0</v>
      </c>
      <c r="W337" s="5">
        <v>0</v>
      </c>
      <c r="X337" s="5">
        <v>2.4833985905294664</v>
      </c>
      <c r="Y337" s="5">
        <v>4585.2847075210475</v>
      </c>
      <c r="Z337" s="5">
        <f t="shared" ref="Z337:AA337" si="151">Z336+0.0002</f>
        <v>2.0000000000000001E-4</v>
      </c>
      <c r="AA337" s="5">
        <f t="shared" si="151"/>
        <v>4.0000000000000002E-4</v>
      </c>
      <c r="AB337" s="4">
        <v>2</v>
      </c>
    </row>
    <row r="338" spans="1:28" x14ac:dyDescent="0.25">
      <c r="C338" s="4">
        <v>9</v>
      </c>
      <c r="D338" s="5">
        <v>77237125278.774872</v>
      </c>
      <c r="E338" s="5">
        <v>77237125278.774872</v>
      </c>
      <c r="F338" s="5">
        <v>0.20422487837722847</v>
      </c>
      <c r="G338" s="5">
        <v>0</v>
      </c>
      <c r="H338" s="5">
        <v>29567161728.304588</v>
      </c>
      <c r="I338" s="5">
        <v>34395024753.081894</v>
      </c>
      <c r="J338" s="5">
        <v>34395024753.081894</v>
      </c>
      <c r="K338" s="5">
        <v>-5.3887316379712732E-11</v>
      </c>
      <c r="L338" s="5">
        <v>-5.3887316379712732E-11</v>
      </c>
      <c r="M338" s="5">
        <v>0</v>
      </c>
      <c r="N338" s="5">
        <v>2.0000000000000001E-4</v>
      </c>
      <c r="O338" s="5">
        <v>-1.1479682282897841</v>
      </c>
      <c r="P338" s="5">
        <v>-1.1479682282897841</v>
      </c>
      <c r="Q338" s="5">
        <v>9.9451209193719441E-9</v>
      </c>
      <c r="R338" s="5">
        <v>0</v>
      </c>
      <c r="S338" s="5">
        <v>5.4477311717312004E-6</v>
      </c>
      <c r="T338" s="5">
        <v>1.0513931512388654E-5</v>
      </c>
      <c r="U338" s="5">
        <v>1.0513931512388654E-5</v>
      </c>
      <c r="V338" s="5">
        <v>0</v>
      </c>
      <c r="W338" s="5">
        <v>0</v>
      </c>
      <c r="X338" s="5">
        <v>2.1391377880711211</v>
      </c>
      <c r="Y338" s="5">
        <v>3870.8127057650863</v>
      </c>
      <c r="Z338" s="5">
        <f t="shared" ref="Z338:AA338" si="152">Z337+0.0002</f>
        <v>4.0000000000000002E-4</v>
      </c>
      <c r="AA338" s="5">
        <f t="shared" si="152"/>
        <v>6.0000000000000006E-4</v>
      </c>
      <c r="AB338" s="4">
        <v>2</v>
      </c>
    </row>
    <row r="339" spans="1:28" x14ac:dyDescent="0.25">
      <c r="C339" s="4">
        <v>10</v>
      </c>
      <c r="D339" s="5">
        <v>57336477662.162888</v>
      </c>
      <c r="E339" s="5">
        <v>57336477662.162888</v>
      </c>
      <c r="F339" s="5">
        <v>0.15630057865413421</v>
      </c>
      <c r="G339" s="5">
        <v>0</v>
      </c>
      <c r="H339" s="5">
        <v>22256255081.302021</v>
      </c>
      <c r="I339" s="5">
        <v>27446146087.398437</v>
      </c>
      <c r="J339" s="5">
        <v>27446146087.398437</v>
      </c>
      <c r="K339" s="5">
        <v>-5.2407475659963621E-11</v>
      </c>
      <c r="L339" s="5">
        <v>-5.2407475659963621E-11</v>
      </c>
      <c r="M339" s="5">
        <v>0</v>
      </c>
      <c r="N339" s="5">
        <v>2.0000000000000001E-4</v>
      </c>
      <c r="O339" s="5">
        <v>-17.040751262612325</v>
      </c>
      <c r="P339" s="5">
        <v>-17.040751262612325</v>
      </c>
      <c r="Q339" s="5">
        <v>9.6613129934022438E-9</v>
      </c>
      <c r="R339" s="5">
        <v>0</v>
      </c>
      <c r="S339" s="5">
        <v>-1.2760875254050226E-5</v>
      </c>
      <c r="T339" s="5">
        <v>9.0749455030482035E-6</v>
      </c>
      <c r="U339" s="5">
        <v>9.0749455030482035E-6</v>
      </c>
      <c r="V339" s="5">
        <v>0</v>
      </c>
      <c r="W339" s="5">
        <v>0</v>
      </c>
      <c r="X339" s="5">
        <v>1.7928295647018262</v>
      </c>
      <c r="Y339" s="5">
        <v>3154.8782605013048</v>
      </c>
      <c r="Z339" s="5">
        <f t="shared" ref="Z339:AA339" si="153">Z338+0.0002</f>
        <v>6.0000000000000006E-4</v>
      </c>
      <c r="AA339" s="5">
        <f t="shared" si="153"/>
        <v>8.0000000000000004E-4</v>
      </c>
      <c r="AB339" s="4">
        <v>2</v>
      </c>
    </row>
    <row r="340" spans="1:28" x14ac:dyDescent="0.25">
      <c r="C340" s="4">
        <v>11</v>
      </c>
      <c r="D340" s="5">
        <v>37530407096.090195</v>
      </c>
      <c r="E340" s="5">
        <v>37530407096.090195</v>
      </c>
      <c r="F340" s="5">
        <v>0.10852662883587605</v>
      </c>
      <c r="G340" s="5">
        <v>0</v>
      </c>
      <c r="H340" s="5">
        <v>14975027839.678177</v>
      </c>
      <c r="I340" s="5">
        <v>20498751391.98391</v>
      </c>
      <c r="J340" s="5">
        <v>20498751391.98391</v>
      </c>
      <c r="K340" s="5">
        <v>-5.0730173055843065E-11</v>
      </c>
      <c r="L340" s="5">
        <v>-5.0730173055843065E-11</v>
      </c>
      <c r="M340" s="5">
        <v>0</v>
      </c>
      <c r="N340" s="5">
        <v>2.0000000000000001E-4</v>
      </c>
      <c r="O340" s="5">
        <v>-32.59112903574745</v>
      </c>
      <c r="P340" s="5">
        <v>-32.59112903574745</v>
      </c>
      <c r="Q340" s="5">
        <v>9.3412898722563975E-9</v>
      </c>
      <c r="R340" s="5">
        <v>0</v>
      </c>
      <c r="S340" s="5">
        <v>-3.0605908963942345E-5</v>
      </c>
      <c r="T340" s="5">
        <v>7.621861776152865E-6</v>
      </c>
      <c r="U340" s="5">
        <v>7.621861776152865E-6</v>
      </c>
      <c r="V340" s="5">
        <v>0</v>
      </c>
      <c r="W340" s="5">
        <v>0</v>
      </c>
      <c r="X340" s="5">
        <v>1.4447900426854396</v>
      </c>
      <c r="Y340" s="5">
        <v>2437.7071733467428</v>
      </c>
      <c r="Z340" s="5">
        <f t="shared" ref="Z340:AA340" si="154">Z339+0.0002</f>
        <v>8.0000000000000004E-4</v>
      </c>
      <c r="AA340" s="5">
        <f t="shared" si="154"/>
        <v>1E-3</v>
      </c>
      <c r="AB340" s="4">
        <v>2</v>
      </c>
    </row>
    <row r="341" spans="1:28" x14ac:dyDescent="0.25">
      <c r="B341" t="s">
        <v>190</v>
      </c>
      <c r="C341" s="11">
        <v>12</v>
      </c>
      <c r="D341" s="5">
        <v>17805678068.984909</v>
      </c>
      <c r="E341" s="5">
        <v>17805678068.984909</v>
      </c>
      <c r="F341" s="5">
        <v>6.0881988322287722E-2</v>
      </c>
      <c r="G341" s="5">
        <v>0</v>
      </c>
      <c r="H341" s="5">
        <v>7719326542.1959229</v>
      </c>
      <c r="I341" s="5">
        <v>13552632993.776459</v>
      </c>
      <c r="J341" s="5">
        <v>13552632993.776459</v>
      </c>
      <c r="K341" s="5">
        <v>-4.8883042216747979E-11</v>
      </c>
      <c r="L341" s="5">
        <v>-4.8883042216747979E-11</v>
      </c>
      <c r="M341" s="5">
        <v>0</v>
      </c>
      <c r="N341" s="5">
        <v>2.0000000000000001E-4</v>
      </c>
      <c r="O341" s="5">
        <v>-47.847019184911268</v>
      </c>
      <c r="P341" s="5">
        <v>-47.847019184911268</v>
      </c>
      <c r="Q341" s="5">
        <v>8.990119663177097E-9</v>
      </c>
      <c r="R341" s="5">
        <v>0</v>
      </c>
      <c r="S341" s="5">
        <v>-4.8138249858099819E-5</v>
      </c>
      <c r="T341" s="5">
        <v>6.1566532257902605E-6</v>
      </c>
      <c r="U341" s="5">
        <v>6.1566532257902605E-6</v>
      </c>
      <c r="V341" s="5">
        <v>0</v>
      </c>
      <c r="W341" s="5">
        <v>0</v>
      </c>
      <c r="X341" s="5">
        <v>1.0952615072607923</v>
      </c>
      <c r="Y341" s="5">
        <v>1719.4725051862797</v>
      </c>
      <c r="Z341" s="5">
        <f t="shared" ref="Z341:AA341" si="155">Z340+0.0002</f>
        <v>1E-3</v>
      </c>
      <c r="AA341" s="5">
        <f t="shared" si="155"/>
        <v>1.2000000000000001E-3</v>
      </c>
      <c r="AB341" s="4">
        <v>2</v>
      </c>
    </row>
    <row r="342" spans="1:28" x14ac:dyDescent="0.25">
      <c r="A342" t="s">
        <v>83</v>
      </c>
    </row>
    <row r="343" spans="1:28" x14ac:dyDescent="0.25">
      <c r="A343" t="s">
        <v>83</v>
      </c>
    </row>
    <row r="344" spans="1:28" x14ac:dyDescent="0.25">
      <c r="A344" t="s">
        <v>83</v>
      </c>
    </row>
    <row r="346" spans="1:28" x14ac:dyDescent="0.25">
      <c r="A346" s="15" t="s">
        <v>74</v>
      </c>
      <c r="C346" s="10" t="s">
        <v>27</v>
      </c>
      <c r="D346" s="10" t="s">
        <v>28</v>
      </c>
      <c r="E346" s="10" t="s">
        <v>29</v>
      </c>
      <c r="F346" s="10" t="s">
        <v>30</v>
      </c>
      <c r="G346" s="10" t="s">
        <v>31</v>
      </c>
      <c r="H346" s="10" t="s">
        <v>47</v>
      </c>
      <c r="I346" s="10" t="s">
        <v>32</v>
      </c>
      <c r="J346" s="10" t="s">
        <v>33</v>
      </c>
      <c r="K346" s="10" t="s">
        <v>34</v>
      </c>
      <c r="L346" s="10" t="s">
        <v>35</v>
      </c>
      <c r="M346" s="10" t="s">
        <v>36</v>
      </c>
      <c r="N346" s="10" t="s">
        <v>37</v>
      </c>
      <c r="O346" s="10" t="s">
        <v>38</v>
      </c>
      <c r="P346" s="10" t="s">
        <v>39</v>
      </c>
      <c r="Q346" s="10" t="s">
        <v>40</v>
      </c>
      <c r="R346" s="10" t="s">
        <v>41</v>
      </c>
      <c r="S346" s="10" t="s">
        <v>42</v>
      </c>
      <c r="T346" s="10" t="s">
        <v>48</v>
      </c>
      <c r="U346" s="10" t="s">
        <v>77</v>
      </c>
      <c r="V346" s="10" t="s">
        <v>78</v>
      </c>
      <c r="W346" s="10" t="s">
        <v>79</v>
      </c>
      <c r="X346" s="10" t="s">
        <v>49</v>
      </c>
      <c r="Y346" s="10" t="s">
        <v>43</v>
      </c>
      <c r="Z346" s="10" t="s">
        <v>44</v>
      </c>
      <c r="AA346" s="10" t="s">
        <v>45</v>
      </c>
      <c r="AB346" s="10" t="s">
        <v>46</v>
      </c>
    </row>
    <row r="347" spans="1:28" x14ac:dyDescent="0.25">
      <c r="A347" s="12" t="s">
        <v>85</v>
      </c>
      <c r="B347" t="s">
        <v>14</v>
      </c>
      <c r="C347" s="11">
        <v>1</v>
      </c>
      <c r="D347" s="5">
        <v>154504392701.54126</v>
      </c>
      <c r="E347" s="5">
        <v>154504392701.54126</v>
      </c>
      <c r="F347" s="5">
        <v>0.3677774772354705</v>
      </c>
      <c r="G347" s="5">
        <v>0</v>
      </c>
      <c r="H347" s="5">
        <v>56479166666.666664</v>
      </c>
      <c r="I347" s="5">
        <v>52198958333.333336</v>
      </c>
      <c r="J347" s="5">
        <v>52198958333.333336</v>
      </c>
      <c r="K347" s="5">
        <v>-1.3860753627793601E-13</v>
      </c>
      <c r="L347" s="5">
        <v>-1.3860753627793601E-13</v>
      </c>
      <c r="M347" s="5">
        <v>0</v>
      </c>
      <c r="N347" s="5">
        <v>2.0000000000000001E-4</v>
      </c>
      <c r="O347" s="5">
        <v>138.20120851370848</v>
      </c>
      <c r="P347" s="5">
        <v>138.20120851370848</v>
      </c>
      <c r="Q347" s="5">
        <v>1.1842110339506163E-10</v>
      </c>
      <c r="R347" s="5">
        <v>0</v>
      </c>
      <c r="S347" s="5">
        <v>1.5674479166666666E-4</v>
      </c>
      <c r="T347" s="5">
        <v>1.0009895833333335E-5</v>
      </c>
      <c r="U347" s="5">
        <v>1.0009895833333335E-5</v>
      </c>
      <c r="V347" s="5">
        <v>0</v>
      </c>
      <c r="W347" s="5">
        <v>0</v>
      </c>
      <c r="X347" s="5">
        <v>2.5012152777777779</v>
      </c>
      <c r="Y347" s="5">
        <v>5300.8680555555557</v>
      </c>
      <c r="Z347" s="5">
        <v>-1.1999999999999999E-3</v>
      </c>
      <c r="AA347" s="5">
        <v>-1E-3</v>
      </c>
      <c r="AB347" s="4">
        <v>2</v>
      </c>
    </row>
    <row r="348" spans="1:28" x14ac:dyDescent="0.25">
      <c r="C348" s="4">
        <v>2</v>
      </c>
      <c r="D348" s="5">
        <v>153973289010.0957</v>
      </c>
      <c r="E348" s="5">
        <v>153973289010.0957</v>
      </c>
      <c r="F348" s="5">
        <v>0.36693317738670622</v>
      </c>
      <c r="G348" s="5">
        <v>0</v>
      </c>
      <c r="H348" s="5">
        <v>56312500000</v>
      </c>
      <c r="I348" s="5">
        <v>52190625000</v>
      </c>
      <c r="J348" s="5">
        <v>52190625000</v>
      </c>
      <c r="K348" s="5">
        <v>-1.2474678265014296E-12</v>
      </c>
      <c r="L348" s="5">
        <v>-1.2474678265014296E-12</v>
      </c>
      <c r="M348" s="5">
        <v>0</v>
      </c>
      <c r="N348" s="5">
        <v>2.0000000000000001E-4</v>
      </c>
      <c r="O348" s="5">
        <v>136.27840909090907</v>
      </c>
      <c r="P348" s="5">
        <v>136.27840909090907</v>
      </c>
      <c r="Q348" s="5">
        <v>3.2178993055555557E-10</v>
      </c>
      <c r="R348" s="5">
        <v>0</v>
      </c>
      <c r="S348" s="5">
        <v>1.54703125E-4</v>
      </c>
      <c r="T348" s="5">
        <v>1.00890625E-5</v>
      </c>
      <c r="U348" s="5">
        <v>1.00890625E-5</v>
      </c>
      <c r="V348" s="5">
        <v>0</v>
      </c>
      <c r="W348" s="5">
        <v>0</v>
      </c>
      <c r="X348" s="5">
        <v>2.5109374999999998</v>
      </c>
      <c r="Y348" s="5">
        <v>5307.8125</v>
      </c>
      <c r="Z348" s="5">
        <f t="shared" ref="Z348:AA348" si="156">Z347+0.0002</f>
        <v>-9.999999999999998E-4</v>
      </c>
      <c r="AA348" s="5">
        <f t="shared" si="156"/>
        <v>-8.0000000000000004E-4</v>
      </c>
      <c r="AB348" s="4">
        <v>2</v>
      </c>
    </row>
    <row r="349" spans="1:28" x14ac:dyDescent="0.25">
      <c r="C349" s="4">
        <v>3</v>
      </c>
      <c r="D349" s="5">
        <v>152911081627.20462</v>
      </c>
      <c r="E349" s="5">
        <v>152911081627.20462</v>
      </c>
      <c r="F349" s="5">
        <v>0.36524457768917762</v>
      </c>
      <c r="G349" s="5">
        <v>0</v>
      </c>
      <c r="H349" s="5">
        <v>55979166666.666664</v>
      </c>
      <c r="I349" s="5">
        <v>52173958333.333336</v>
      </c>
      <c r="J349" s="5">
        <v>52173958333.333336</v>
      </c>
      <c r="K349" s="5">
        <v>-3.4651884069484149E-12</v>
      </c>
      <c r="L349" s="5">
        <v>-3.4651884069484149E-12</v>
      </c>
      <c r="M349" s="5">
        <v>0</v>
      </c>
      <c r="N349" s="5">
        <v>2.0000000000000001E-4</v>
      </c>
      <c r="O349" s="5">
        <v>132.43281024531021</v>
      </c>
      <c r="P349" s="5">
        <v>132.43281024531021</v>
      </c>
      <c r="Q349" s="5">
        <v>7.2852758487654315E-10</v>
      </c>
      <c r="R349" s="5">
        <v>0</v>
      </c>
      <c r="S349" s="5">
        <v>1.5061979166666666E-4</v>
      </c>
      <c r="T349" s="5">
        <v>1.0247395833333334E-5</v>
      </c>
      <c r="U349" s="5">
        <v>1.0247395833333334E-5</v>
      </c>
      <c r="V349" s="5">
        <v>0</v>
      </c>
      <c r="W349" s="5">
        <v>0</v>
      </c>
      <c r="X349" s="5">
        <v>2.5303819444444446</v>
      </c>
      <c r="Y349" s="5">
        <v>5321.7013888888887</v>
      </c>
      <c r="Z349" s="5">
        <f t="shared" ref="Z349:AA349" si="157">Z348+0.0002</f>
        <v>-7.9999999999999982E-4</v>
      </c>
      <c r="AA349" s="5">
        <f t="shared" si="157"/>
        <v>-6.0000000000000006E-4</v>
      </c>
      <c r="AB349" s="4">
        <v>2</v>
      </c>
    </row>
    <row r="350" spans="1:28" x14ac:dyDescent="0.25">
      <c r="C350" s="4">
        <v>4</v>
      </c>
      <c r="D350" s="5">
        <v>151317770552.86798</v>
      </c>
      <c r="E350" s="5">
        <v>151317770552.86798</v>
      </c>
      <c r="F350" s="5">
        <v>0.36271167814288469</v>
      </c>
      <c r="G350" s="5">
        <v>0</v>
      </c>
      <c r="H350" s="5">
        <v>55479166666.666664</v>
      </c>
      <c r="I350" s="5">
        <v>52148958333.333336</v>
      </c>
      <c r="J350" s="5">
        <v>52148958333.333336</v>
      </c>
      <c r="K350" s="5">
        <v>-6.7917692776188928E-12</v>
      </c>
      <c r="L350" s="5">
        <v>-6.7917692776188928E-12</v>
      </c>
      <c r="M350" s="5">
        <v>0</v>
      </c>
      <c r="N350" s="5">
        <v>2.0000000000000001E-4</v>
      </c>
      <c r="O350" s="5">
        <v>126.66441197691195</v>
      </c>
      <c r="P350" s="5">
        <v>126.66441197691195</v>
      </c>
      <c r="Q350" s="5">
        <v>1.3386340663580246E-9</v>
      </c>
      <c r="R350" s="5">
        <v>0</v>
      </c>
      <c r="S350" s="5">
        <v>1.4449479166666666E-4</v>
      </c>
      <c r="T350" s="5">
        <v>1.0484895833333334E-5</v>
      </c>
      <c r="U350" s="5">
        <v>1.0484895833333334E-5</v>
      </c>
      <c r="V350" s="5">
        <v>0</v>
      </c>
      <c r="W350" s="5">
        <v>0</v>
      </c>
      <c r="X350" s="5">
        <v>2.559548611111111</v>
      </c>
      <c r="Y350" s="5">
        <v>5342.5347222222226</v>
      </c>
      <c r="Z350" s="5">
        <f t="shared" ref="Z350:AA350" si="158">Z349+0.0002</f>
        <v>-5.9999999999999984E-4</v>
      </c>
      <c r="AA350" s="5">
        <f t="shared" si="158"/>
        <v>-4.0000000000000007E-4</v>
      </c>
      <c r="AB350" s="4">
        <v>2</v>
      </c>
    </row>
    <row r="351" spans="1:28" x14ac:dyDescent="0.25">
      <c r="C351" s="4">
        <v>5</v>
      </c>
      <c r="D351" s="5">
        <v>149193355787.08582</v>
      </c>
      <c r="E351" s="5">
        <v>149193355787.08582</v>
      </c>
      <c r="F351" s="5">
        <v>0.35933447874782748</v>
      </c>
      <c r="G351" s="5">
        <v>0</v>
      </c>
      <c r="H351" s="5">
        <v>54812500000</v>
      </c>
      <c r="I351" s="5">
        <v>52115625000</v>
      </c>
      <c r="J351" s="5">
        <v>52115625000</v>
      </c>
      <c r="K351" s="5">
        <v>-1.1227210438512867E-11</v>
      </c>
      <c r="L351" s="5">
        <v>-1.1227210438512867E-11</v>
      </c>
      <c r="M351" s="5">
        <v>0</v>
      </c>
      <c r="N351" s="5">
        <v>2.0000000000000001E-4</v>
      </c>
      <c r="O351" s="5">
        <v>118.97321428571426</v>
      </c>
      <c r="P351" s="5">
        <v>118.97321428571426</v>
      </c>
      <c r="Q351" s="5">
        <v>2.1521093750000001E-9</v>
      </c>
      <c r="R351" s="5">
        <v>0</v>
      </c>
      <c r="S351" s="5">
        <v>1.36328125E-4</v>
      </c>
      <c r="T351" s="5">
        <v>1.0801562500000001E-5</v>
      </c>
      <c r="U351" s="5">
        <v>1.0801562500000001E-5</v>
      </c>
      <c r="V351" s="5">
        <v>0</v>
      </c>
      <c r="W351" s="5">
        <v>0</v>
      </c>
      <c r="X351" s="5">
        <v>2.5984375000000002</v>
      </c>
      <c r="Y351" s="5">
        <v>5370.3125</v>
      </c>
      <c r="Z351" s="5">
        <f t="shared" ref="Z351:AA351" si="159">Z350+0.0002</f>
        <v>-3.9999999999999986E-4</v>
      </c>
      <c r="AA351" s="5">
        <f t="shared" si="159"/>
        <v>-2.0000000000000006E-4</v>
      </c>
      <c r="AB351" s="4">
        <v>2</v>
      </c>
    </row>
    <row r="352" spans="1:28" x14ac:dyDescent="0.25">
      <c r="C352" s="4">
        <v>6</v>
      </c>
      <c r="D352" s="5">
        <v>146537837329.85809</v>
      </c>
      <c r="E352" s="5">
        <v>146537837329.85809</v>
      </c>
      <c r="F352" s="5">
        <v>0.355112979504006</v>
      </c>
      <c r="G352" s="5">
        <v>0</v>
      </c>
      <c r="H352" s="5">
        <v>53979166666.666664</v>
      </c>
      <c r="I352" s="5">
        <v>52073958333.333336</v>
      </c>
      <c r="J352" s="5">
        <v>52073958333.333336</v>
      </c>
      <c r="K352" s="5">
        <v>-1.6771511889630329E-11</v>
      </c>
      <c r="L352" s="5">
        <v>-1.6771511889630329E-11</v>
      </c>
      <c r="M352" s="5">
        <v>0</v>
      </c>
      <c r="N352" s="5">
        <v>2.0000000000000001E-4</v>
      </c>
      <c r="O352" s="5">
        <v>109.35921717171715</v>
      </c>
      <c r="P352" s="5">
        <v>109.35921717171715</v>
      </c>
      <c r="Q352" s="5">
        <v>3.168953510802469E-9</v>
      </c>
      <c r="R352" s="5">
        <v>0</v>
      </c>
      <c r="S352" s="5">
        <v>1.2611979166666666E-4</v>
      </c>
      <c r="T352" s="5">
        <v>1.1197395833333333E-5</v>
      </c>
      <c r="U352" s="5">
        <v>1.1197395833333333E-5</v>
      </c>
      <c r="V352" s="5">
        <v>0</v>
      </c>
      <c r="W352" s="5">
        <v>0</v>
      </c>
      <c r="X352" s="5">
        <v>2.6470486111111113</v>
      </c>
      <c r="Y352" s="5">
        <v>5405.0347222222226</v>
      </c>
      <c r="Z352" s="5">
        <f t="shared" ref="Z352:AA352" si="160">Z351+0.0002</f>
        <v>-1.9999999999999985E-4</v>
      </c>
      <c r="AA352" s="5">
        <f t="shared" si="160"/>
        <v>0</v>
      </c>
      <c r="AB352" s="4">
        <v>2</v>
      </c>
    </row>
    <row r="353" spans="1:28" x14ac:dyDescent="0.25">
      <c r="C353" s="4">
        <v>7</v>
      </c>
      <c r="D353" s="5">
        <v>143351215181.18481</v>
      </c>
      <c r="E353" s="5">
        <v>143351215181.18481</v>
      </c>
      <c r="F353" s="5">
        <v>0.35004718041142019</v>
      </c>
      <c r="G353" s="5">
        <v>0</v>
      </c>
      <c r="H353" s="5">
        <v>52979166666.666664</v>
      </c>
      <c r="I353" s="5">
        <v>52023958333.333336</v>
      </c>
      <c r="J353" s="5">
        <v>52023958333.333336</v>
      </c>
      <c r="K353" s="5">
        <v>-2.3424673630971285E-11</v>
      </c>
      <c r="L353" s="5">
        <v>-2.3424673630971285E-11</v>
      </c>
      <c r="M353" s="5">
        <v>0</v>
      </c>
      <c r="N353" s="5">
        <v>2.0000000000000001E-4</v>
      </c>
      <c r="O353" s="5">
        <v>97.822420634920618</v>
      </c>
      <c r="P353" s="5">
        <v>97.822420634920618</v>
      </c>
      <c r="Q353" s="5">
        <v>4.3891664737654323E-9</v>
      </c>
      <c r="R353" s="5">
        <v>0</v>
      </c>
      <c r="S353" s="5">
        <v>1.1386979166666666E-4</v>
      </c>
      <c r="T353" s="5">
        <v>1.1672395833333333E-5</v>
      </c>
      <c r="U353" s="5">
        <v>1.1672395833333333E-5</v>
      </c>
      <c r="V353" s="5">
        <v>0</v>
      </c>
      <c r="W353" s="5">
        <v>0</v>
      </c>
      <c r="X353" s="5">
        <v>2.7053819444444445</v>
      </c>
      <c r="Y353" s="5">
        <v>5446.7013888888887</v>
      </c>
      <c r="Z353" s="5">
        <f t="shared" ref="Z353:AA353" si="161">Z352+0.0002</f>
        <v>0</v>
      </c>
      <c r="AA353" s="5">
        <f t="shared" si="161"/>
        <v>2.0000000000000001E-4</v>
      </c>
      <c r="AB353" s="4">
        <v>2</v>
      </c>
    </row>
    <row r="354" spans="1:28" x14ac:dyDescent="0.25">
      <c r="C354" s="4">
        <v>8</v>
      </c>
      <c r="D354" s="5">
        <v>139633489341.06601</v>
      </c>
      <c r="E354" s="5">
        <v>139633489341.06601</v>
      </c>
      <c r="F354" s="5">
        <v>0.34413708147007005</v>
      </c>
      <c r="G354" s="5">
        <v>0</v>
      </c>
      <c r="H354" s="5">
        <v>51812500000</v>
      </c>
      <c r="I354" s="5">
        <v>51965625000</v>
      </c>
      <c r="J354" s="5">
        <v>51965625000</v>
      </c>
      <c r="K354" s="5">
        <v>-3.1186695662535743E-11</v>
      </c>
      <c r="L354" s="5">
        <v>-3.1186695662535743E-11</v>
      </c>
      <c r="M354" s="5">
        <v>0</v>
      </c>
      <c r="N354" s="5">
        <v>2.0000000000000001E-4</v>
      </c>
      <c r="O354" s="5">
        <v>84.36282467532466</v>
      </c>
      <c r="P354" s="5">
        <v>84.36282467532466</v>
      </c>
      <c r="Q354" s="5">
        <v>5.8127482638888899E-9</v>
      </c>
      <c r="R354" s="5">
        <v>0</v>
      </c>
      <c r="S354" s="5">
        <v>9.9578125000000003E-5</v>
      </c>
      <c r="T354" s="5">
        <v>1.22265625E-5</v>
      </c>
      <c r="U354" s="5">
        <v>1.22265625E-5</v>
      </c>
      <c r="V354" s="5">
        <v>0</v>
      </c>
      <c r="W354" s="5">
        <v>0</v>
      </c>
      <c r="X354" s="5">
        <v>2.7734375</v>
      </c>
      <c r="Y354" s="5">
        <v>5495.3125</v>
      </c>
      <c r="Z354" s="5">
        <f t="shared" ref="Z354:AA354" si="162">Z353+0.0002</f>
        <v>2.0000000000000001E-4</v>
      </c>
      <c r="AA354" s="5">
        <f t="shared" si="162"/>
        <v>4.0000000000000002E-4</v>
      </c>
      <c r="AB354" s="4">
        <v>2</v>
      </c>
    </row>
    <row r="355" spans="1:28" x14ac:dyDescent="0.25">
      <c r="C355" s="4">
        <v>9</v>
      </c>
      <c r="D355" s="5">
        <v>135384659809.50165</v>
      </c>
      <c r="E355" s="5">
        <v>135384659809.50165</v>
      </c>
      <c r="F355" s="5">
        <v>0.33738268267995564</v>
      </c>
      <c r="G355" s="5">
        <v>0</v>
      </c>
      <c r="H355" s="5">
        <v>50479166666.666664</v>
      </c>
      <c r="I355" s="5">
        <v>51898958333.333336</v>
      </c>
      <c r="J355" s="5">
        <v>51898958333.333336</v>
      </c>
      <c r="K355" s="5">
        <v>-4.0057577984323686E-11</v>
      </c>
      <c r="L355" s="5">
        <v>-4.0057577984323686E-11</v>
      </c>
      <c r="M355" s="5">
        <v>0</v>
      </c>
      <c r="N355" s="5">
        <v>2.0000000000000001E-4</v>
      </c>
      <c r="O355" s="5">
        <v>68.980429292929273</v>
      </c>
      <c r="P355" s="5">
        <v>68.980429292929273</v>
      </c>
      <c r="Q355" s="5">
        <v>7.4396988811728414E-9</v>
      </c>
      <c r="R355" s="5">
        <v>0</v>
      </c>
      <c r="S355" s="5">
        <v>8.3244791666666661E-5</v>
      </c>
      <c r="T355" s="5">
        <v>1.2859895833333333E-5</v>
      </c>
      <c r="U355" s="5">
        <v>1.2859895833333333E-5</v>
      </c>
      <c r="V355" s="5">
        <v>0</v>
      </c>
      <c r="W355" s="5">
        <v>0</v>
      </c>
      <c r="X355" s="5">
        <v>2.8512152777777779</v>
      </c>
      <c r="Y355" s="5">
        <v>5550.8680555555557</v>
      </c>
      <c r="Z355" s="5">
        <f t="shared" ref="Z355:AA355" si="163">Z354+0.0002</f>
        <v>4.0000000000000002E-4</v>
      </c>
      <c r="AA355" s="5">
        <f t="shared" si="163"/>
        <v>6.0000000000000006E-4</v>
      </c>
      <c r="AB355" s="4">
        <v>2</v>
      </c>
    </row>
    <row r="356" spans="1:28" x14ac:dyDescent="0.25">
      <c r="C356" s="4">
        <v>10</v>
      </c>
      <c r="D356" s="5">
        <v>130604726586.49174</v>
      </c>
      <c r="E356" s="5">
        <v>130604726586.49174</v>
      </c>
      <c r="F356" s="5">
        <v>0.32978398404107689</v>
      </c>
      <c r="G356" s="5">
        <v>0</v>
      </c>
      <c r="H356" s="5">
        <v>48979166666.666664</v>
      </c>
      <c r="I356" s="5">
        <v>51823958333.333336</v>
      </c>
      <c r="J356" s="5">
        <v>51823958333.333336</v>
      </c>
      <c r="K356" s="5">
        <v>-5.0037320596335138E-11</v>
      </c>
      <c r="L356" s="5">
        <v>-5.0037320596335138E-11</v>
      </c>
      <c r="M356" s="5">
        <v>0</v>
      </c>
      <c r="N356" s="5">
        <v>2.0000000000000001E-4</v>
      </c>
      <c r="O356" s="5">
        <v>51.675234487734457</v>
      </c>
      <c r="P356" s="5">
        <v>51.675234487734457</v>
      </c>
      <c r="Q356" s="5">
        <v>9.2700183256172878E-9</v>
      </c>
      <c r="R356" s="5">
        <v>0</v>
      </c>
      <c r="S356" s="5">
        <v>6.4869791666666635E-5</v>
      </c>
      <c r="T356" s="5">
        <v>1.3572395833333333E-5</v>
      </c>
      <c r="U356" s="5">
        <v>1.3572395833333333E-5</v>
      </c>
      <c r="V356" s="5">
        <v>0</v>
      </c>
      <c r="W356" s="5">
        <v>0</v>
      </c>
      <c r="X356" s="5">
        <v>2.9387152777777779</v>
      </c>
      <c r="Y356" s="5">
        <v>5613.3680555555557</v>
      </c>
      <c r="Z356" s="5">
        <f t="shared" ref="Z356:AA356" si="164">Z355+0.0002</f>
        <v>6.0000000000000006E-4</v>
      </c>
      <c r="AA356" s="5">
        <f t="shared" si="164"/>
        <v>8.0000000000000004E-4</v>
      </c>
      <c r="AB356" s="4">
        <v>2</v>
      </c>
    </row>
    <row r="357" spans="1:28" x14ac:dyDescent="0.25">
      <c r="C357" s="4">
        <v>11</v>
      </c>
      <c r="D357" s="5">
        <v>125293689672.03632</v>
      </c>
      <c r="E357" s="5">
        <v>125293689672.03632</v>
      </c>
      <c r="F357" s="5">
        <v>0.32134098555343393</v>
      </c>
      <c r="G357" s="5">
        <v>0</v>
      </c>
      <c r="H357" s="5">
        <v>47312500000</v>
      </c>
      <c r="I357" s="5">
        <v>51740625000</v>
      </c>
      <c r="J357" s="5">
        <v>51740625000</v>
      </c>
      <c r="K357" s="5">
        <v>-6.1125923498570052E-11</v>
      </c>
      <c r="L357" s="5">
        <v>-6.1125923498570052E-11</v>
      </c>
      <c r="M357" s="5">
        <v>0</v>
      </c>
      <c r="N357" s="5">
        <v>2.0000000000000001E-4</v>
      </c>
      <c r="O357" s="5">
        <v>32.447240259740255</v>
      </c>
      <c r="P357" s="5">
        <v>32.447240259740255</v>
      </c>
      <c r="Q357" s="5">
        <v>1.1303706597222224E-8</v>
      </c>
      <c r="R357" s="5">
        <v>0</v>
      </c>
      <c r="S357" s="5">
        <v>4.4453125000000005E-5</v>
      </c>
      <c r="T357" s="5">
        <v>1.4364062499999999E-5</v>
      </c>
      <c r="U357" s="5">
        <v>1.4364062499999999E-5</v>
      </c>
      <c r="V357" s="5">
        <v>0</v>
      </c>
      <c r="W357" s="5">
        <v>0</v>
      </c>
      <c r="X357" s="5">
        <v>3.0359375000000002</v>
      </c>
      <c r="Y357" s="5">
        <v>5682.8125</v>
      </c>
      <c r="Z357" s="5">
        <f t="shared" ref="Z357:AA357" si="165">Z356+0.0002</f>
        <v>8.0000000000000004E-4</v>
      </c>
      <c r="AA357" s="5">
        <f t="shared" si="165"/>
        <v>1E-3</v>
      </c>
      <c r="AB357" s="4">
        <v>2</v>
      </c>
    </row>
    <row r="358" spans="1:28" x14ac:dyDescent="0.25">
      <c r="B358" t="s">
        <v>190</v>
      </c>
      <c r="C358" s="11">
        <v>12</v>
      </c>
      <c r="D358" s="5">
        <v>119451549066.13531</v>
      </c>
      <c r="E358" s="5">
        <v>119451549066.13531</v>
      </c>
      <c r="F358" s="5">
        <v>0.31205368721702659</v>
      </c>
      <c r="G358" s="5">
        <v>0</v>
      </c>
      <c r="H358" s="5">
        <v>45479166666.666664</v>
      </c>
      <c r="I358" s="5">
        <v>51648958333.333336</v>
      </c>
      <c r="J358" s="5">
        <v>51648958333.333336</v>
      </c>
      <c r="K358" s="5">
        <v>-7.3323386691028495E-11</v>
      </c>
      <c r="L358" s="5">
        <v>-7.3323386691028495E-11</v>
      </c>
      <c r="M358" s="5">
        <v>0</v>
      </c>
      <c r="N358" s="5">
        <v>2.0000000000000001E-4</v>
      </c>
      <c r="O358" s="5">
        <v>11.296446608946567</v>
      </c>
      <c r="P358" s="5">
        <v>11.296446608946567</v>
      </c>
      <c r="Q358" s="5">
        <v>1.3540763695987659E-8</v>
      </c>
      <c r="R358" s="5">
        <v>0</v>
      </c>
      <c r="S358" s="5">
        <v>2.1994791666666636E-5</v>
      </c>
      <c r="T358" s="5">
        <v>1.5234895833333333E-5</v>
      </c>
      <c r="U358" s="5">
        <v>1.5234895833333333E-5</v>
      </c>
      <c r="V358" s="5">
        <v>0</v>
      </c>
      <c r="W358" s="5">
        <v>0</v>
      </c>
      <c r="X358" s="5">
        <v>3.1428819444444449</v>
      </c>
      <c r="Y358" s="5">
        <v>5759.2013888888887</v>
      </c>
      <c r="Z358" s="5">
        <f t="shared" ref="Z358:AA358" si="166">Z357+0.0002</f>
        <v>1E-3</v>
      </c>
      <c r="AA358" s="5">
        <f t="shared" si="166"/>
        <v>1.2000000000000001E-3</v>
      </c>
      <c r="AB358" s="4">
        <v>2</v>
      </c>
    </row>
    <row r="359" spans="1:28" x14ac:dyDescent="0.25"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4"/>
    </row>
    <row r="360" spans="1:28" x14ac:dyDescent="0.25">
      <c r="A360" s="15" t="s">
        <v>202</v>
      </c>
      <c r="C360" s="10" t="s">
        <v>27</v>
      </c>
      <c r="D360" s="10" t="s">
        <v>28</v>
      </c>
      <c r="E360" s="10" t="s">
        <v>29</v>
      </c>
      <c r="F360" s="10" t="s">
        <v>30</v>
      </c>
      <c r="G360" s="10" t="s">
        <v>31</v>
      </c>
      <c r="H360" s="10" t="s">
        <v>47</v>
      </c>
      <c r="I360" s="10" t="s">
        <v>32</v>
      </c>
      <c r="J360" s="10" t="s">
        <v>33</v>
      </c>
      <c r="K360" s="10" t="s">
        <v>34</v>
      </c>
      <c r="L360" s="10" t="s">
        <v>35</v>
      </c>
      <c r="M360" s="10" t="s">
        <v>36</v>
      </c>
      <c r="N360" s="10" t="s">
        <v>37</v>
      </c>
      <c r="O360" s="10" t="s">
        <v>38</v>
      </c>
      <c r="P360" s="10" t="s">
        <v>39</v>
      </c>
      <c r="Q360" s="10" t="s">
        <v>40</v>
      </c>
      <c r="R360" s="10" t="s">
        <v>41</v>
      </c>
      <c r="S360" s="10" t="s">
        <v>42</v>
      </c>
      <c r="T360" s="10" t="s">
        <v>48</v>
      </c>
      <c r="U360" s="10" t="s">
        <v>77</v>
      </c>
      <c r="V360" s="10" t="s">
        <v>78</v>
      </c>
      <c r="W360" s="10" t="s">
        <v>79</v>
      </c>
      <c r="X360" s="10" t="s">
        <v>80</v>
      </c>
      <c r="Y360" s="10" t="s">
        <v>43</v>
      </c>
      <c r="Z360" s="10" t="s">
        <v>44</v>
      </c>
      <c r="AA360" s="10" t="s">
        <v>45</v>
      </c>
      <c r="AB360" s="10" t="s">
        <v>46</v>
      </c>
    </row>
    <row r="361" spans="1:28" x14ac:dyDescent="0.25">
      <c r="A361" s="12" t="s">
        <v>201</v>
      </c>
      <c r="B361" t="s">
        <v>183</v>
      </c>
      <c r="C361" s="11">
        <v>1</v>
      </c>
      <c r="D361" s="5">
        <v>129671700610.20366</v>
      </c>
      <c r="E361" s="5">
        <v>129671700610.20366</v>
      </c>
      <c r="F361" s="5">
        <v>0.3059046368726111</v>
      </c>
      <c r="G361" s="5">
        <v>0</v>
      </c>
      <c r="H361" s="5">
        <v>47220833333.333328</v>
      </c>
      <c r="I361" s="5">
        <v>42683958333.333336</v>
      </c>
      <c r="J361" s="5">
        <v>42683958333.333336</v>
      </c>
      <c r="K361" s="5">
        <v>7.1798703791971193E-12</v>
      </c>
      <c r="L361" s="5">
        <v>7.1798703791971193E-12</v>
      </c>
      <c r="M361" s="5">
        <v>0</v>
      </c>
      <c r="N361" s="5">
        <v>2.0000000000000001E-4</v>
      </c>
      <c r="O361" s="5">
        <v>125.51073232323229</v>
      </c>
      <c r="P361" s="5">
        <v>125.51073232323229</v>
      </c>
      <c r="Q361" s="5">
        <v>-1.2408631558641981E-9</v>
      </c>
      <c r="R361" s="5">
        <v>0</v>
      </c>
      <c r="S361" s="5">
        <v>1.4143645833333333E-4</v>
      </c>
      <c r="T361" s="5">
        <v>7.6540625000000009E-6</v>
      </c>
      <c r="U361" s="5">
        <v>7.6540625000000009E-6</v>
      </c>
      <c r="V361" s="5">
        <v>0</v>
      </c>
      <c r="W361" s="5">
        <v>0</v>
      </c>
      <c r="X361" s="5">
        <v>1.9787152777777777</v>
      </c>
      <c r="Y361" s="5">
        <v>4283.3680555555557</v>
      </c>
      <c r="Z361" s="5">
        <v>-1.1999999999999999E-3</v>
      </c>
      <c r="AA361" s="5">
        <v>-1E-3</v>
      </c>
      <c r="AB361" s="4">
        <v>2</v>
      </c>
    </row>
    <row r="362" spans="1:28" x14ac:dyDescent="0.25">
      <c r="C362" s="4">
        <v>2</v>
      </c>
      <c r="D362" s="5">
        <v>133655631844.45584</v>
      </c>
      <c r="E362" s="5">
        <v>133655631844.45584</v>
      </c>
      <c r="F362" s="5">
        <v>0.31630994436254856</v>
      </c>
      <c r="G362" s="5">
        <v>0</v>
      </c>
      <c r="H362" s="5">
        <v>48737500000</v>
      </c>
      <c r="I362" s="5">
        <v>44405625000</v>
      </c>
      <c r="J362" s="5">
        <v>44405625000</v>
      </c>
      <c r="K362" s="5">
        <v>4.7403777407054331E-12</v>
      </c>
      <c r="L362" s="5">
        <v>4.7403777407054331E-12</v>
      </c>
      <c r="M362" s="5">
        <v>0</v>
      </c>
      <c r="N362" s="5">
        <v>2.0000000000000001E-4</v>
      </c>
      <c r="O362" s="5">
        <v>125.89529220779218</v>
      </c>
      <c r="P362" s="5">
        <v>125.89529220779218</v>
      </c>
      <c r="Q362" s="5">
        <v>-7.9035173611111133E-10</v>
      </c>
      <c r="R362" s="5">
        <v>0</v>
      </c>
      <c r="S362" s="5">
        <v>1.4217812500000001E-4</v>
      </c>
      <c r="T362" s="5">
        <v>8.1615625000000007E-6</v>
      </c>
      <c r="U362" s="5">
        <v>8.1615625000000007E-6</v>
      </c>
      <c r="V362" s="5">
        <v>0</v>
      </c>
      <c r="W362" s="5">
        <v>0</v>
      </c>
      <c r="X362" s="5">
        <v>2.0834374999999996</v>
      </c>
      <c r="Y362" s="5">
        <v>4475.3125</v>
      </c>
      <c r="Z362" s="5">
        <f t="shared" ref="Z362:AA362" si="167">Z361+0.0002</f>
        <v>-9.999999999999998E-4</v>
      </c>
      <c r="AA362" s="5">
        <f t="shared" si="167"/>
        <v>-8.0000000000000004E-4</v>
      </c>
      <c r="AB362" s="4">
        <v>2</v>
      </c>
    </row>
    <row r="363" spans="1:28" x14ac:dyDescent="0.25">
      <c r="C363" s="4">
        <v>3</v>
      </c>
      <c r="D363" s="5">
        <v>137108459387.26251</v>
      </c>
      <c r="E363" s="5">
        <v>137108459387.26251</v>
      </c>
      <c r="F363" s="5">
        <v>0.32587095200372163</v>
      </c>
      <c r="G363" s="5">
        <v>0</v>
      </c>
      <c r="H363" s="5">
        <v>50087500000</v>
      </c>
      <c r="I363" s="5">
        <v>46118958333.333336</v>
      </c>
      <c r="J363" s="5">
        <v>46118958333.333336</v>
      </c>
      <c r="K363" s="5">
        <v>1.1920248119902564E-12</v>
      </c>
      <c r="L363" s="5">
        <v>1.1920248119902564E-12</v>
      </c>
      <c r="M363" s="5">
        <v>0</v>
      </c>
      <c r="N363" s="5">
        <v>2.0000000000000001E-4</v>
      </c>
      <c r="O363" s="5">
        <v>124.35705266955263</v>
      </c>
      <c r="P363" s="5">
        <v>124.35705266955263</v>
      </c>
      <c r="Q363" s="5">
        <v>-1.3647148919753106E-10</v>
      </c>
      <c r="R363" s="5">
        <v>0</v>
      </c>
      <c r="S363" s="5">
        <v>1.40878125E-4</v>
      </c>
      <c r="T363" s="5">
        <v>8.7482291666666663E-6</v>
      </c>
      <c r="U363" s="5">
        <v>8.7482291666666663E-6</v>
      </c>
      <c r="V363" s="5">
        <v>0</v>
      </c>
      <c r="W363" s="5">
        <v>0</v>
      </c>
      <c r="X363" s="5">
        <v>2.1978819444444446</v>
      </c>
      <c r="Y363" s="5">
        <v>4674.2013888888887</v>
      </c>
      <c r="Z363" s="5">
        <f t="shared" ref="Z363:AA363" si="168">Z362+0.0002</f>
        <v>-7.9999999999999982E-4</v>
      </c>
      <c r="AA363" s="5">
        <f t="shared" si="168"/>
        <v>-6.0000000000000006E-4</v>
      </c>
      <c r="AB363" s="4">
        <v>2</v>
      </c>
    </row>
    <row r="364" spans="1:28" x14ac:dyDescent="0.25">
      <c r="C364" s="4">
        <v>4</v>
      </c>
      <c r="D364" s="5">
        <v>140030183238.62363</v>
      </c>
      <c r="E364" s="5">
        <v>140030183238.62363</v>
      </c>
      <c r="F364" s="5">
        <v>0.33458765979613042</v>
      </c>
      <c r="G364" s="5">
        <v>0</v>
      </c>
      <c r="H364" s="5">
        <v>51270833333.333328</v>
      </c>
      <c r="I364" s="5">
        <v>47823958333.333336</v>
      </c>
      <c r="J364" s="5">
        <v>47823958333.333336</v>
      </c>
      <c r="K364" s="5">
        <v>-3.4651884069484137E-12</v>
      </c>
      <c r="L364" s="5">
        <v>-3.4651884069484137E-12</v>
      </c>
      <c r="M364" s="5">
        <v>0</v>
      </c>
      <c r="N364" s="5">
        <v>2.0000000000000001E-4</v>
      </c>
      <c r="O364" s="5">
        <v>120.89601370851368</v>
      </c>
      <c r="P364" s="5">
        <v>120.89601370851368</v>
      </c>
      <c r="Q364" s="5">
        <v>7.2077758487654294E-10</v>
      </c>
      <c r="R364" s="5">
        <v>0</v>
      </c>
      <c r="S364" s="5">
        <v>1.3753645833333331E-4</v>
      </c>
      <c r="T364" s="5">
        <v>9.414062500000001E-6</v>
      </c>
      <c r="U364" s="5">
        <v>9.414062500000001E-6</v>
      </c>
      <c r="V364" s="5">
        <v>0</v>
      </c>
      <c r="W364" s="5">
        <v>0</v>
      </c>
      <c r="X364" s="5">
        <v>2.3220486111111107</v>
      </c>
      <c r="Y364" s="5">
        <v>4880.0347222222226</v>
      </c>
      <c r="Z364" s="5">
        <f t="shared" ref="Z364:AA364" si="169">Z363+0.0002</f>
        <v>-5.9999999999999984E-4</v>
      </c>
      <c r="AA364" s="5">
        <f t="shared" si="169"/>
        <v>-4.0000000000000007E-4</v>
      </c>
      <c r="AB364" s="4">
        <v>2</v>
      </c>
    </row>
    <row r="365" spans="1:28" x14ac:dyDescent="0.25">
      <c r="C365" s="4">
        <v>5</v>
      </c>
      <c r="D365" s="5">
        <v>142420803398.53918</v>
      </c>
      <c r="E365" s="5">
        <v>142420803398.53918</v>
      </c>
      <c r="F365" s="5">
        <v>0.34246006773977489</v>
      </c>
      <c r="G365" s="5">
        <v>0</v>
      </c>
      <c r="H365" s="5">
        <v>52287500000</v>
      </c>
      <c r="I365" s="5">
        <v>49520625000</v>
      </c>
      <c r="J365" s="5">
        <v>49520625000</v>
      </c>
      <c r="K365" s="5">
        <v>-9.2312619161105782E-12</v>
      </c>
      <c r="L365" s="5">
        <v>-9.2312619161105782E-12</v>
      </c>
      <c r="M365" s="5">
        <v>0</v>
      </c>
      <c r="N365" s="5">
        <v>2.0000000000000001E-4</v>
      </c>
      <c r="O365" s="5">
        <v>115.5121753246753</v>
      </c>
      <c r="P365" s="5">
        <v>115.5121753246753</v>
      </c>
      <c r="Q365" s="5">
        <v>1.7813954861111111E-9</v>
      </c>
      <c r="R365" s="5">
        <v>0</v>
      </c>
      <c r="S365" s="5">
        <v>1.32153125E-4</v>
      </c>
      <c r="T365" s="5">
        <v>1.01590625E-5</v>
      </c>
      <c r="U365" s="5">
        <v>1.01590625E-5</v>
      </c>
      <c r="V365" s="5">
        <v>0</v>
      </c>
      <c r="W365" s="5">
        <v>0</v>
      </c>
      <c r="X365" s="5">
        <v>2.4559375000000001</v>
      </c>
      <c r="Y365" s="5">
        <v>5092.8125</v>
      </c>
      <c r="Z365" s="5">
        <f t="shared" ref="Z365:AA365" si="170">Z364+0.0002</f>
        <v>-3.9999999999999986E-4</v>
      </c>
      <c r="AA365" s="5">
        <f t="shared" si="170"/>
        <v>-2.0000000000000006E-4</v>
      </c>
      <c r="AB365" s="4">
        <v>2</v>
      </c>
    </row>
    <row r="366" spans="1:28" x14ac:dyDescent="0.25">
      <c r="C366" s="4">
        <v>6</v>
      </c>
      <c r="D366" s="5">
        <v>144280319867.00922</v>
      </c>
      <c r="E366" s="5">
        <v>144280319867.00922</v>
      </c>
      <c r="F366" s="5">
        <v>0.34948817583465513</v>
      </c>
      <c r="G366" s="5">
        <v>0</v>
      </c>
      <c r="H366" s="5">
        <v>53137500000</v>
      </c>
      <c r="I366" s="5">
        <v>51208958333.333336</v>
      </c>
      <c r="J366" s="5">
        <v>51208958333.333336</v>
      </c>
      <c r="K366" s="5">
        <v>-1.6106195715496234E-11</v>
      </c>
      <c r="L366" s="5">
        <v>-1.6106195715496234E-11</v>
      </c>
      <c r="M366" s="5">
        <v>0</v>
      </c>
      <c r="N366" s="5">
        <v>2.0000000000000001E-4</v>
      </c>
      <c r="O366" s="5">
        <v>108.20553751803749</v>
      </c>
      <c r="P366" s="5">
        <v>108.20553751803749</v>
      </c>
      <c r="Q366" s="5">
        <v>3.0453822145061725E-9</v>
      </c>
      <c r="R366" s="5">
        <v>0</v>
      </c>
      <c r="S366" s="5">
        <v>1.2472812499999999E-4</v>
      </c>
      <c r="T366" s="5">
        <v>1.0983229166666666E-5</v>
      </c>
      <c r="U366" s="5">
        <v>1.0983229166666666E-5</v>
      </c>
      <c r="V366" s="5">
        <v>0</v>
      </c>
      <c r="W366" s="5">
        <v>0</v>
      </c>
      <c r="X366" s="5">
        <v>2.5995486111111115</v>
      </c>
      <c r="Y366" s="5">
        <v>5312.5347222222226</v>
      </c>
      <c r="Z366" s="5">
        <f t="shared" ref="Z366:AA366" si="171">Z365+0.0002</f>
        <v>-1.9999999999999985E-4</v>
      </c>
      <c r="AA366" s="5">
        <f t="shared" si="171"/>
        <v>0</v>
      </c>
      <c r="AB366" s="4">
        <v>2</v>
      </c>
    </row>
    <row r="367" spans="1:28" x14ac:dyDescent="0.25">
      <c r="C367" s="4">
        <v>7</v>
      </c>
      <c r="D367" s="5">
        <v>141093697718.33594</v>
      </c>
      <c r="E367" s="5">
        <v>141093697718.33594</v>
      </c>
      <c r="F367" s="5">
        <v>0.34442237674206932</v>
      </c>
      <c r="G367" s="5">
        <v>0</v>
      </c>
      <c r="H367" s="5">
        <v>52137500000</v>
      </c>
      <c r="I367" s="5">
        <v>51158958333.333336</v>
      </c>
      <c r="J367" s="5">
        <v>51158958333.333336</v>
      </c>
      <c r="K367" s="5">
        <v>-2.275935745683719E-11</v>
      </c>
      <c r="L367" s="5">
        <v>-2.275935745683719E-11</v>
      </c>
      <c r="M367" s="5">
        <v>0</v>
      </c>
      <c r="N367" s="5">
        <v>2.0000000000000001E-4</v>
      </c>
      <c r="O367" s="5">
        <v>96.668740981240958</v>
      </c>
      <c r="P367" s="5">
        <v>96.668740981240958</v>
      </c>
      <c r="Q367" s="5">
        <v>4.2655951774691361E-9</v>
      </c>
      <c r="R367" s="5">
        <v>0</v>
      </c>
      <c r="S367" s="5">
        <v>1.1247812499999999E-4</v>
      </c>
      <c r="T367" s="5">
        <v>1.1458229166666666E-5</v>
      </c>
      <c r="U367" s="5">
        <v>1.1458229166666666E-5</v>
      </c>
      <c r="V367" s="5">
        <v>0</v>
      </c>
      <c r="W367" s="5">
        <v>0</v>
      </c>
      <c r="X367" s="5">
        <v>2.6578819444444446</v>
      </c>
      <c r="Y367" s="5">
        <v>5354.2013888888887</v>
      </c>
      <c r="Z367" s="5">
        <f t="shared" ref="Z367:AA367" si="172">Z366+0.0002</f>
        <v>0</v>
      </c>
      <c r="AA367" s="5">
        <f t="shared" si="172"/>
        <v>2.0000000000000001E-4</v>
      </c>
      <c r="AB367" s="4">
        <v>2</v>
      </c>
    </row>
    <row r="368" spans="1:28" x14ac:dyDescent="0.25">
      <c r="C368" s="4">
        <v>8</v>
      </c>
      <c r="D368" s="5">
        <v>132860936952.51939</v>
      </c>
      <c r="E368" s="5">
        <v>132860936952.51939</v>
      </c>
      <c r="F368" s="5">
        <v>0.32726267046201751</v>
      </c>
      <c r="G368" s="5">
        <v>0</v>
      </c>
      <c r="H368" s="5">
        <v>49287500000</v>
      </c>
      <c r="I368" s="5">
        <v>49370625000</v>
      </c>
      <c r="J368" s="5">
        <v>49370625000</v>
      </c>
      <c r="K368" s="5">
        <v>-2.9190747140133452E-11</v>
      </c>
      <c r="L368" s="5">
        <v>-2.9190747140133452E-11</v>
      </c>
      <c r="M368" s="5">
        <v>0</v>
      </c>
      <c r="N368" s="5">
        <v>2.0000000000000001E-4</v>
      </c>
      <c r="O368" s="5">
        <v>80.901785714285694</v>
      </c>
      <c r="P368" s="5">
        <v>80.901785714285694</v>
      </c>
      <c r="Q368" s="5">
        <v>5.4420343750000006E-9</v>
      </c>
      <c r="R368" s="5">
        <v>0</v>
      </c>
      <c r="S368" s="5">
        <v>9.5403124999999996E-5</v>
      </c>
      <c r="T368" s="5">
        <v>1.1584062500000001E-5</v>
      </c>
      <c r="U368" s="5">
        <v>1.1584062500000001E-5</v>
      </c>
      <c r="V368" s="5">
        <v>0</v>
      </c>
      <c r="W368" s="5">
        <v>0</v>
      </c>
      <c r="X368" s="5">
        <v>2.6309374999999999</v>
      </c>
      <c r="Y368" s="5">
        <v>5217.8125</v>
      </c>
      <c r="Z368" s="5">
        <f t="shared" ref="Z368:AA368" si="173">Z367+0.0002</f>
        <v>2.0000000000000001E-4</v>
      </c>
      <c r="AA368" s="5">
        <f t="shared" si="173"/>
        <v>4.0000000000000002E-4</v>
      </c>
      <c r="AB368" s="4">
        <v>2</v>
      </c>
    </row>
    <row r="369" spans="1:28" x14ac:dyDescent="0.25">
      <c r="C369" s="4">
        <v>9</v>
      </c>
      <c r="D369" s="5">
        <v>124097072495.25728</v>
      </c>
      <c r="E369" s="5">
        <v>124097072495.25728</v>
      </c>
      <c r="F369" s="5">
        <v>0.30925866433320137</v>
      </c>
      <c r="G369" s="5">
        <v>0</v>
      </c>
      <c r="H369" s="5">
        <v>46270833333.333328</v>
      </c>
      <c r="I369" s="5">
        <v>47573958333.333336</v>
      </c>
      <c r="J369" s="5">
        <v>47573958333.333336</v>
      </c>
      <c r="K369" s="5">
        <v>-3.6730997113653207E-11</v>
      </c>
      <c r="L369" s="5">
        <v>-3.6730997113653207E-11</v>
      </c>
      <c r="M369" s="5">
        <v>0</v>
      </c>
      <c r="N369" s="5">
        <v>2.0000000000000001E-4</v>
      </c>
      <c r="O369" s="5">
        <v>63.212031024531001</v>
      </c>
      <c r="P369" s="5">
        <v>63.212031024531001</v>
      </c>
      <c r="Q369" s="5">
        <v>6.8218423996913599E-9</v>
      </c>
      <c r="R369" s="5">
        <v>0</v>
      </c>
      <c r="S369" s="5">
        <v>7.628645833333333E-5</v>
      </c>
      <c r="T369" s="5">
        <v>1.1789062499999999E-5</v>
      </c>
      <c r="U369" s="5">
        <v>1.1789062499999999E-5</v>
      </c>
      <c r="V369" s="5">
        <v>0</v>
      </c>
      <c r="W369" s="5">
        <v>0</v>
      </c>
      <c r="X369" s="5">
        <v>2.6137152777777777</v>
      </c>
      <c r="Y369" s="5">
        <v>5088.3680555555557</v>
      </c>
      <c r="Z369" s="5">
        <f t="shared" ref="Z369:AA369" si="174">Z368+0.0002</f>
        <v>4.0000000000000002E-4</v>
      </c>
      <c r="AA369" s="5">
        <f t="shared" si="174"/>
        <v>6.0000000000000006E-4</v>
      </c>
      <c r="AB369" s="4">
        <v>2</v>
      </c>
    </row>
    <row r="370" spans="1:28" x14ac:dyDescent="0.25">
      <c r="C370" s="4">
        <v>10</v>
      </c>
      <c r="D370" s="5">
        <v>114802104346.54964</v>
      </c>
      <c r="E370" s="5">
        <v>114802104346.54964</v>
      </c>
      <c r="F370" s="5">
        <v>0.2904103583556209</v>
      </c>
      <c r="G370" s="5">
        <v>0</v>
      </c>
      <c r="H370" s="5">
        <v>43087500000</v>
      </c>
      <c r="I370" s="5">
        <v>45768958333.333336</v>
      </c>
      <c r="J370" s="5">
        <v>45768958333.333336</v>
      </c>
      <c r="K370" s="5">
        <v>-4.5380107377396469E-11</v>
      </c>
      <c r="L370" s="5">
        <v>-4.5380107377396469E-11</v>
      </c>
      <c r="M370" s="5">
        <v>0</v>
      </c>
      <c r="N370" s="5">
        <v>2.0000000000000001E-4</v>
      </c>
      <c r="O370" s="5">
        <v>43.599476911976879</v>
      </c>
      <c r="P370" s="5">
        <v>43.599476911976879</v>
      </c>
      <c r="Q370" s="5">
        <v>8.4050192515432131E-9</v>
      </c>
      <c r="R370" s="5">
        <v>0</v>
      </c>
      <c r="S370" s="5">
        <v>5.5128124999999966E-5</v>
      </c>
      <c r="T370" s="5">
        <v>1.2073229166666666E-5</v>
      </c>
      <c r="U370" s="5">
        <v>1.2073229166666666E-5</v>
      </c>
      <c r="V370" s="5">
        <v>0</v>
      </c>
      <c r="W370" s="5">
        <v>0</v>
      </c>
      <c r="X370" s="5">
        <v>2.6062152777777778</v>
      </c>
      <c r="Y370" s="5">
        <v>4965.8680555555557</v>
      </c>
      <c r="Z370" s="5">
        <f t="shared" ref="Z370:AA370" si="175">Z369+0.0002</f>
        <v>6.0000000000000006E-4</v>
      </c>
      <c r="AA370" s="5">
        <f t="shared" si="175"/>
        <v>8.0000000000000004E-4</v>
      </c>
      <c r="AB370" s="4">
        <v>2</v>
      </c>
    </row>
    <row r="371" spans="1:28" x14ac:dyDescent="0.25">
      <c r="C371" s="4">
        <v>11</v>
      </c>
      <c r="D371" s="5">
        <v>104976032506.39645</v>
      </c>
      <c r="E371" s="5">
        <v>104976032506.39645</v>
      </c>
      <c r="F371" s="5">
        <v>0.27071775252927627</v>
      </c>
      <c r="G371" s="5">
        <v>0</v>
      </c>
      <c r="H371" s="5">
        <v>39737500000</v>
      </c>
      <c r="I371" s="5">
        <v>43955625000</v>
      </c>
      <c r="J371" s="5">
        <v>43955625000</v>
      </c>
      <c r="K371" s="5">
        <v>-5.5138077931363188E-11</v>
      </c>
      <c r="L371" s="5">
        <v>-5.5138077931363188E-11</v>
      </c>
      <c r="M371" s="5">
        <v>0</v>
      </c>
      <c r="N371" s="5">
        <v>2.0000000000000001E-4</v>
      </c>
      <c r="O371" s="5">
        <v>22.064123376623371</v>
      </c>
      <c r="P371" s="5">
        <v>22.064123376623371</v>
      </c>
      <c r="Q371" s="5">
        <v>1.0191564930555557E-8</v>
      </c>
      <c r="R371" s="5">
        <v>0</v>
      </c>
      <c r="S371" s="5">
        <v>3.1928125000000005E-5</v>
      </c>
      <c r="T371" s="5">
        <v>1.24365625E-5</v>
      </c>
      <c r="U371" s="5">
        <v>1.24365625E-5</v>
      </c>
      <c r="V371" s="5">
        <v>0</v>
      </c>
      <c r="W371" s="5">
        <v>0</v>
      </c>
      <c r="X371" s="5">
        <v>2.6084375</v>
      </c>
      <c r="Y371" s="5">
        <v>4850.3125</v>
      </c>
      <c r="Z371" s="5">
        <f t="shared" ref="Z371:AA371" si="176">Z370+0.0002</f>
        <v>8.0000000000000004E-4</v>
      </c>
      <c r="AA371" s="5">
        <f t="shared" si="176"/>
        <v>1E-3</v>
      </c>
      <c r="AB371" s="4">
        <v>2</v>
      </c>
    </row>
    <row r="372" spans="1:28" x14ac:dyDescent="0.25">
      <c r="B372" t="s">
        <v>14</v>
      </c>
      <c r="C372" s="11">
        <v>12</v>
      </c>
      <c r="D372" s="5">
        <v>94618856974.797699</v>
      </c>
      <c r="E372" s="5">
        <v>94618856974.797699</v>
      </c>
      <c r="F372" s="5">
        <v>0.25018084685416719</v>
      </c>
      <c r="G372" s="5">
        <v>0</v>
      </c>
      <c r="H372" s="5">
        <v>36220833333.333328</v>
      </c>
      <c r="I372" s="5">
        <v>42133958333.333336</v>
      </c>
      <c r="J372" s="5">
        <v>42133958333.333336</v>
      </c>
      <c r="K372" s="5">
        <v>-6.6004908775553435E-11</v>
      </c>
      <c r="L372" s="5">
        <v>-6.6004908775553435E-11</v>
      </c>
      <c r="M372" s="5">
        <v>0</v>
      </c>
      <c r="N372" s="5">
        <v>2.0000000000000001E-4</v>
      </c>
      <c r="O372" s="5">
        <v>-1.3940295815296242</v>
      </c>
      <c r="P372" s="5">
        <v>-1.3940295815296242</v>
      </c>
      <c r="Q372" s="5">
        <v>1.21814794367284E-8</v>
      </c>
      <c r="R372" s="5">
        <v>0</v>
      </c>
      <c r="S372" s="5">
        <v>6.6864583333332988E-6</v>
      </c>
      <c r="T372" s="5">
        <v>1.2879062499999999E-5</v>
      </c>
      <c r="U372" s="5">
        <v>1.2879062499999999E-5</v>
      </c>
      <c r="V372" s="5">
        <v>0</v>
      </c>
      <c r="W372" s="5">
        <v>0</v>
      </c>
      <c r="X372" s="5">
        <v>2.6203819444444445</v>
      </c>
      <c r="Y372" s="5">
        <v>4741.7013888888887</v>
      </c>
      <c r="Z372" s="5">
        <f t="shared" ref="Z372:AA372" si="177">Z371+0.0002</f>
        <v>1E-3</v>
      </c>
      <c r="AA372" s="5">
        <f t="shared" si="177"/>
        <v>1.2000000000000001E-3</v>
      </c>
      <c r="AB372" s="4">
        <v>2</v>
      </c>
    </row>
    <row r="376" spans="1:28" x14ac:dyDescent="0.25">
      <c r="A376" s="15" t="s">
        <v>82</v>
      </c>
      <c r="C376" s="10" t="s">
        <v>27</v>
      </c>
      <c r="D376" s="10" t="s">
        <v>28</v>
      </c>
      <c r="E376" s="10" t="s">
        <v>29</v>
      </c>
      <c r="F376" s="10" t="s">
        <v>30</v>
      </c>
      <c r="G376" s="10" t="s">
        <v>31</v>
      </c>
      <c r="H376" s="10" t="s">
        <v>47</v>
      </c>
      <c r="I376" s="10" t="s">
        <v>32</v>
      </c>
      <c r="J376" s="10" t="s">
        <v>33</v>
      </c>
      <c r="K376" s="10" t="s">
        <v>34</v>
      </c>
      <c r="L376" s="10" t="s">
        <v>35</v>
      </c>
      <c r="M376" s="10" t="s">
        <v>36</v>
      </c>
      <c r="N376" s="10" t="s">
        <v>37</v>
      </c>
      <c r="O376" s="10" t="s">
        <v>38</v>
      </c>
      <c r="P376" s="10" t="s">
        <v>39</v>
      </c>
      <c r="Q376" s="10" t="s">
        <v>40</v>
      </c>
      <c r="R376" s="10" t="s">
        <v>41</v>
      </c>
      <c r="S376" s="10" t="s">
        <v>42</v>
      </c>
      <c r="T376" s="10" t="s">
        <v>48</v>
      </c>
      <c r="U376" s="10" t="s">
        <v>77</v>
      </c>
      <c r="V376" s="10" t="s">
        <v>78</v>
      </c>
      <c r="W376" s="10" t="s">
        <v>79</v>
      </c>
      <c r="X376" s="10" t="s">
        <v>49</v>
      </c>
      <c r="Y376" s="10" t="s">
        <v>43</v>
      </c>
      <c r="Z376" s="10" t="s">
        <v>44</v>
      </c>
      <c r="AA376" s="10" t="s">
        <v>45</v>
      </c>
      <c r="AB376" s="10" t="s">
        <v>46</v>
      </c>
    </row>
    <row r="377" spans="1:28" x14ac:dyDescent="0.25">
      <c r="A377" s="12" t="s">
        <v>85</v>
      </c>
      <c r="B377" t="s">
        <v>14</v>
      </c>
      <c r="C377" s="11">
        <v>1</v>
      </c>
      <c r="D377" s="5">
        <v>104839008518.86606</v>
      </c>
      <c r="E377" s="5">
        <v>104839008518.86606</v>
      </c>
      <c r="F377" s="5">
        <v>0.24403179650975171</v>
      </c>
      <c r="G377" s="5">
        <v>0</v>
      </c>
      <c r="H377" s="5">
        <v>37962499999.999992</v>
      </c>
      <c r="I377" s="5">
        <v>33168958333.333332</v>
      </c>
      <c r="J377" s="5">
        <v>33168958333.333332</v>
      </c>
      <c r="K377" s="5">
        <v>1.4498348294672175E-11</v>
      </c>
      <c r="L377" s="5">
        <v>1.4498348294672175E-11</v>
      </c>
      <c r="M377" s="5">
        <v>0</v>
      </c>
      <c r="N377" s="5">
        <v>2.0000000000000001E-4</v>
      </c>
      <c r="O377" s="5">
        <v>112.8202561327561</v>
      </c>
      <c r="P377" s="5">
        <v>112.8202561327561</v>
      </c>
      <c r="Q377" s="5">
        <v>-2.6001474151234577E-9</v>
      </c>
      <c r="R377" s="5">
        <v>0</v>
      </c>
      <c r="S377" s="5">
        <v>1.2612812499999997E-4</v>
      </c>
      <c r="T377" s="5">
        <v>5.2982291666666662E-6</v>
      </c>
      <c r="U377" s="5">
        <v>5.2982291666666662E-6</v>
      </c>
      <c r="V377" s="5">
        <v>0</v>
      </c>
      <c r="W377" s="5">
        <v>0</v>
      </c>
      <c r="X377" s="5">
        <v>1.4562152777777775</v>
      </c>
      <c r="Y377" s="5">
        <v>3265.8680555555552</v>
      </c>
      <c r="Z377" s="5">
        <v>-1.1999999999999999E-3</v>
      </c>
      <c r="AA377" s="5">
        <v>-1E-3</v>
      </c>
      <c r="AB377" s="4">
        <v>2</v>
      </c>
    </row>
    <row r="378" spans="1:28" x14ac:dyDescent="0.25">
      <c r="C378" s="4">
        <v>2</v>
      </c>
      <c r="D378" s="5">
        <v>113337974678.81599</v>
      </c>
      <c r="E378" s="5">
        <v>113337974678.81599</v>
      </c>
      <c r="F378" s="5">
        <v>0.26568671133839084</v>
      </c>
      <c r="G378" s="5">
        <v>0</v>
      </c>
      <c r="H378" s="5">
        <v>41162500000</v>
      </c>
      <c r="I378" s="5">
        <v>36620625000</v>
      </c>
      <c r="J378" s="5">
        <v>36620625000</v>
      </c>
      <c r="K378" s="5">
        <v>1.0728223307912296E-11</v>
      </c>
      <c r="L378" s="5">
        <v>1.0728223307912296E-11</v>
      </c>
      <c r="M378" s="5">
        <v>0</v>
      </c>
      <c r="N378" s="5">
        <v>2.0000000000000001E-4</v>
      </c>
      <c r="O378" s="5">
        <v>115.5121753246753</v>
      </c>
      <c r="P378" s="5">
        <v>115.5121753246753</v>
      </c>
      <c r="Q378" s="5">
        <v>-1.9024934027777783E-9</v>
      </c>
      <c r="R378" s="5">
        <v>0</v>
      </c>
      <c r="S378" s="5">
        <v>1.2965312500000002E-4</v>
      </c>
      <c r="T378" s="5">
        <v>6.2340625000000001E-6</v>
      </c>
      <c r="U378" s="5">
        <v>6.2340625000000001E-6</v>
      </c>
      <c r="V378" s="5">
        <v>0</v>
      </c>
      <c r="W378" s="5">
        <v>0</v>
      </c>
      <c r="X378" s="5">
        <v>1.6559374999999998</v>
      </c>
      <c r="Y378" s="5">
        <v>3642.8125</v>
      </c>
      <c r="Z378" s="5">
        <f t="shared" ref="Z378:AA378" si="178">Z377+0.0002</f>
        <v>-9.999999999999998E-4</v>
      </c>
      <c r="AA378" s="5">
        <f t="shared" si="178"/>
        <v>-8.0000000000000004E-4</v>
      </c>
      <c r="AB378" s="4">
        <v>2</v>
      </c>
    </row>
    <row r="379" spans="1:28" x14ac:dyDescent="0.25">
      <c r="C379" s="4">
        <v>3</v>
      </c>
      <c r="D379" s="5">
        <v>121305837147.3204</v>
      </c>
      <c r="E379" s="5">
        <v>121305837147.3204</v>
      </c>
      <c r="F379" s="5">
        <v>0.28649732631826563</v>
      </c>
      <c r="G379" s="5">
        <v>0</v>
      </c>
      <c r="H379" s="5">
        <v>44195833333.333328</v>
      </c>
      <c r="I379" s="5">
        <v>40063958333.333336</v>
      </c>
      <c r="J379" s="5">
        <v>40063958333.333336</v>
      </c>
      <c r="K379" s="5">
        <v>5.8492380309289276E-12</v>
      </c>
      <c r="L379" s="5">
        <v>5.8492380309289276E-12</v>
      </c>
      <c r="M379" s="5">
        <v>0</v>
      </c>
      <c r="N379" s="5">
        <v>2.0000000000000001E-4</v>
      </c>
      <c r="O379" s="5">
        <v>116.28129509379505</v>
      </c>
      <c r="P379" s="5">
        <v>116.28129509379505</v>
      </c>
      <c r="Q379" s="5">
        <v>-1.0014705632716053E-9</v>
      </c>
      <c r="R379" s="5">
        <v>0</v>
      </c>
      <c r="S379" s="5">
        <v>1.3113645833333332E-4</v>
      </c>
      <c r="T379" s="5">
        <v>7.2490624999999997E-6</v>
      </c>
      <c r="U379" s="5">
        <v>7.2490624999999997E-6</v>
      </c>
      <c r="V379" s="5">
        <v>0</v>
      </c>
      <c r="W379" s="5">
        <v>0</v>
      </c>
      <c r="X379" s="5">
        <v>1.8653819444444446</v>
      </c>
      <c r="Y379" s="5">
        <v>4026.7013888888887</v>
      </c>
      <c r="Z379" s="5">
        <f t="shared" ref="Z379:AA379" si="179">Z378+0.0002</f>
        <v>-7.9999999999999982E-4</v>
      </c>
      <c r="AA379" s="5">
        <f t="shared" si="179"/>
        <v>-6.0000000000000006E-4</v>
      </c>
      <c r="AB379" s="4">
        <v>2</v>
      </c>
    </row>
    <row r="380" spans="1:28" x14ac:dyDescent="0.25">
      <c r="C380" s="4">
        <v>4</v>
      </c>
      <c r="D380" s="5">
        <v>128742595924.37926</v>
      </c>
      <c r="E380" s="5">
        <v>128742595924.37926</v>
      </c>
      <c r="F380" s="5">
        <v>0.30646364144937616</v>
      </c>
      <c r="G380" s="5">
        <v>0</v>
      </c>
      <c r="H380" s="5">
        <v>47062500000</v>
      </c>
      <c r="I380" s="5">
        <v>43498958333.333336</v>
      </c>
      <c r="J380" s="5">
        <v>43498958333.333336</v>
      </c>
      <c r="K380" s="5">
        <v>-1.3860753627793449E-13</v>
      </c>
      <c r="L380" s="5">
        <v>-1.3860753627793449E-13</v>
      </c>
      <c r="M380" s="5">
        <v>0</v>
      </c>
      <c r="N380" s="5">
        <v>2.0000000000000001E-4</v>
      </c>
      <c r="O380" s="5">
        <v>115.12761544011542</v>
      </c>
      <c r="P380" s="5">
        <v>115.12761544011542</v>
      </c>
      <c r="Q380" s="5">
        <v>1.0292110339506132E-10</v>
      </c>
      <c r="R380" s="5">
        <v>0</v>
      </c>
      <c r="S380" s="5">
        <v>1.30578125E-4</v>
      </c>
      <c r="T380" s="5">
        <v>8.3432291666666676E-6</v>
      </c>
      <c r="U380" s="5">
        <v>8.3432291666666676E-6</v>
      </c>
      <c r="V380" s="5">
        <v>0</v>
      </c>
      <c r="W380" s="5">
        <v>0</v>
      </c>
      <c r="X380" s="5">
        <v>2.0845486111111109</v>
      </c>
      <c r="Y380" s="5">
        <v>4417.5347222222226</v>
      </c>
      <c r="Z380" s="5">
        <f t="shared" ref="Z380:AA380" si="180">Z379+0.0002</f>
        <v>-5.9999999999999984E-4</v>
      </c>
      <c r="AA380" s="5">
        <f t="shared" si="180"/>
        <v>-4.0000000000000007E-4</v>
      </c>
      <c r="AB380" s="4">
        <v>2</v>
      </c>
    </row>
    <row r="381" spans="1:28" x14ac:dyDescent="0.25">
      <c r="C381" s="4">
        <v>5</v>
      </c>
      <c r="D381" s="5">
        <v>135648251009.99258</v>
      </c>
      <c r="E381" s="5">
        <v>135648251009.99258</v>
      </c>
      <c r="F381" s="5">
        <v>0.32558565673172235</v>
      </c>
      <c r="G381" s="5">
        <v>0</v>
      </c>
      <c r="H381" s="5">
        <v>49762500000</v>
      </c>
      <c r="I381" s="5">
        <v>46925625000</v>
      </c>
      <c r="J381" s="5">
        <v>46925625000</v>
      </c>
      <c r="K381" s="5">
        <v>-7.2353133937082911E-12</v>
      </c>
      <c r="L381" s="5">
        <v>-7.2353133937082911E-12</v>
      </c>
      <c r="M381" s="5">
        <v>0</v>
      </c>
      <c r="N381" s="5">
        <v>2.0000000000000001E-4</v>
      </c>
      <c r="O381" s="5">
        <v>112.05113636363635</v>
      </c>
      <c r="P381" s="5">
        <v>112.05113636363635</v>
      </c>
      <c r="Q381" s="5">
        <v>1.4106815972222221E-9</v>
      </c>
      <c r="R381" s="5">
        <v>0</v>
      </c>
      <c r="S381" s="5">
        <v>1.2797812499999999E-4</v>
      </c>
      <c r="T381" s="5">
        <v>9.5165625000000004E-6</v>
      </c>
      <c r="U381" s="5">
        <v>9.5165625000000004E-6</v>
      </c>
      <c r="V381" s="5">
        <v>0</v>
      </c>
      <c r="W381" s="5">
        <v>0</v>
      </c>
      <c r="X381" s="5">
        <v>2.3134375</v>
      </c>
      <c r="Y381" s="5">
        <v>4815.3125</v>
      </c>
      <c r="Z381" s="5">
        <f t="shared" ref="Z381:AA381" si="181">Z380+0.0002</f>
        <v>-3.9999999999999986E-4</v>
      </c>
      <c r="AA381" s="5">
        <f t="shared" si="181"/>
        <v>-2.0000000000000006E-4</v>
      </c>
      <c r="AB381" s="4">
        <v>2</v>
      </c>
    </row>
    <row r="382" spans="1:28" x14ac:dyDescent="0.25">
      <c r="C382" s="4">
        <v>6</v>
      </c>
      <c r="D382" s="5">
        <v>142022802404.16034</v>
      </c>
      <c r="E382" s="5">
        <v>142022802404.16034</v>
      </c>
      <c r="F382" s="5">
        <v>0.34386337216530427</v>
      </c>
      <c r="G382" s="5">
        <v>0</v>
      </c>
      <c r="H382" s="5">
        <v>52295833333.333328</v>
      </c>
      <c r="I382" s="5">
        <v>50343958333.333336</v>
      </c>
      <c r="J382" s="5">
        <v>50343958333.333336</v>
      </c>
      <c r="K382" s="5">
        <v>-1.5440879541362137E-11</v>
      </c>
      <c r="L382" s="5">
        <v>-1.5440879541362137E-11</v>
      </c>
      <c r="M382" s="5">
        <v>0</v>
      </c>
      <c r="N382" s="5">
        <v>2.0000000000000001E-4</v>
      </c>
      <c r="O382" s="5">
        <v>107.05185786435784</v>
      </c>
      <c r="P382" s="5">
        <v>107.05185786435784</v>
      </c>
      <c r="Q382" s="5">
        <v>2.9218109182098763E-9</v>
      </c>
      <c r="R382" s="5">
        <v>0</v>
      </c>
      <c r="S382" s="5">
        <v>1.2333645833333332E-4</v>
      </c>
      <c r="T382" s="5">
        <v>1.0769062499999999E-5</v>
      </c>
      <c r="U382" s="5">
        <v>1.0769062499999999E-5</v>
      </c>
      <c r="V382" s="5">
        <v>0</v>
      </c>
      <c r="W382" s="5">
        <v>0</v>
      </c>
      <c r="X382" s="5">
        <v>2.5520486111111111</v>
      </c>
      <c r="Y382" s="5">
        <v>5220.0347222222226</v>
      </c>
      <c r="Z382" s="5">
        <f t="shared" ref="Z382:AA382" si="182">Z381+0.0002</f>
        <v>-1.9999999999999985E-4</v>
      </c>
      <c r="AA382" s="5">
        <f t="shared" si="182"/>
        <v>0</v>
      </c>
      <c r="AB382" s="4">
        <v>2</v>
      </c>
    </row>
    <row r="383" spans="1:28" x14ac:dyDescent="0.25">
      <c r="C383" s="4">
        <v>7</v>
      </c>
      <c r="D383" s="5">
        <v>138836180255.48706</v>
      </c>
      <c r="E383" s="5">
        <v>138836180255.48706</v>
      </c>
      <c r="F383" s="5">
        <v>0.33879757307271846</v>
      </c>
      <c r="G383" s="5">
        <v>0</v>
      </c>
      <c r="H383" s="5">
        <v>51295833333.333328</v>
      </c>
      <c r="I383" s="5">
        <v>50293958333.333336</v>
      </c>
      <c r="J383" s="5">
        <v>50293958333.333336</v>
      </c>
      <c r="K383" s="5">
        <v>-2.2094041282703093E-11</v>
      </c>
      <c r="L383" s="5">
        <v>-2.2094041282703093E-11</v>
      </c>
      <c r="M383" s="5">
        <v>0</v>
      </c>
      <c r="N383" s="5">
        <v>2.0000000000000001E-4</v>
      </c>
      <c r="O383" s="5">
        <v>95.515061327561313</v>
      </c>
      <c r="P383" s="5">
        <v>95.515061327561313</v>
      </c>
      <c r="Q383" s="5">
        <v>4.14202388117284E-9</v>
      </c>
      <c r="R383" s="5">
        <v>0</v>
      </c>
      <c r="S383" s="5">
        <v>1.1108645833333332E-4</v>
      </c>
      <c r="T383" s="5">
        <v>1.1244062499999999E-5</v>
      </c>
      <c r="U383" s="5">
        <v>1.1244062499999999E-5</v>
      </c>
      <c r="V383" s="5">
        <v>0</v>
      </c>
      <c r="W383" s="5">
        <v>0</v>
      </c>
      <c r="X383" s="5">
        <v>2.6103819444444443</v>
      </c>
      <c r="Y383" s="5">
        <v>5261.7013888888887</v>
      </c>
      <c r="Z383" s="5">
        <f t="shared" ref="Z383:AA383" si="183">Z382+0.0002</f>
        <v>0</v>
      </c>
      <c r="AA383" s="5">
        <f t="shared" si="183"/>
        <v>2.0000000000000001E-4</v>
      </c>
      <c r="AB383" s="4">
        <v>2</v>
      </c>
    </row>
    <row r="384" spans="1:28" x14ac:dyDescent="0.25">
      <c r="C384" s="4">
        <v>8</v>
      </c>
      <c r="D384" s="5">
        <v>126088384563.97278</v>
      </c>
      <c r="E384" s="5">
        <v>126088384563.97278</v>
      </c>
      <c r="F384" s="5">
        <v>0.31038825945396492</v>
      </c>
      <c r="G384" s="5">
        <v>0</v>
      </c>
      <c r="H384" s="5">
        <v>46762500000</v>
      </c>
      <c r="I384" s="5">
        <v>46775625000</v>
      </c>
      <c r="J384" s="5">
        <v>46775625000</v>
      </c>
      <c r="K384" s="5">
        <v>-2.7194798617731169E-11</v>
      </c>
      <c r="L384" s="5">
        <v>-2.7194798617731169E-11</v>
      </c>
      <c r="M384" s="5">
        <v>0</v>
      </c>
      <c r="N384" s="5">
        <v>2.0000000000000001E-4</v>
      </c>
      <c r="O384" s="5">
        <v>77.440746753246742</v>
      </c>
      <c r="P384" s="5">
        <v>77.440746753246742</v>
      </c>
      <c r="Q384" s="5">
        <v>5.0713204861111122E-9</v>
      </c>
      <c r="R384" s="5">
        <v>0</v>
      </c>
      <c r="S384" s="5">
        <v>9.1228125000000003E-5</v>
      </c>
      <c r="T384" s="5">
        <v>1.0941562499999999E-5</v>
      </c>
      <c r="U384" s="5">
        <v>1.0941562499999999E-5</v>
      </c>
      <c r="V384" s="5">
        <v>0</v>
      </c>
      <c r="W384" s="5">
        <v>0</v>
      </c>
      <c r="X384" s="5">
        <v>2.4884374999999999</v>
      </c>
      <c r="Y384" s="5">
        <v>4940.3125</v>
      </c>
      <c r="Z384" s="5">
        <f t="shared" ref="Z384:AA384" si="184">Z383+0.0002</f>
        <v>2.0000000000000001E-4</v>
      </c>
      <c r="AA384" s="5">
        <f t="shared" si="184"/>
        <v>4.0000000000000002E-4</v>
      </c>
      <c r="AB384" s="4">
        <v>2</v>
      </c>
    </row>
    <row r="385" spans="1:28" x14ac:dyDescent="0.25">
      <c r="C385" s="4">
        <v>9</v>
      </c>
      <c r="D385" s="5">
        <v>112809485181.01292</v>
      </c>
      <c r="E385" s="5">
        <v>112809485181.01292</v>
      </c>
      <c r="F385" s="5">
        <v>0.28113464598644711</v>
      </c>
      <c r="G385" s="5">
        <v>0</v>
      </c>
      <c r="H385" s="5">
        <v>42062500000</v>
      </c>
      <c r="I385" s="5">
        <v>43248958333.333336</v>
      </c>
      <c r="J385" s="5">
        <v>43248958333.333336</v>
      </c>
      <c r="K385" s="5">
        <v>-3.3404416242982727E-11</v>
      </c>
      <c r="L385" s="5">
        <v>-3.3404416242982727E-11</v>
      </c>
      <c r="M385" s="5">
        <v>0</v>
      </c>
      <c r="N385" s="5">
        <v>2.0000000000000001E-4</v>
      </c>
      <c r="O385" s="5">
        <v>57.443632756132736</v>
      </c>
      <c r="P385" s="5">
        <v>57.443632756132736</v>
      </c>
      <c r="Q385" s="5">
        <v>6.2039859182098784E-9</v>
      </c>
      <c r="R385" s="5">
        <v>0</v>
      </c>
      <c r="S385" s="5">
        <v>6.9328125E-5</v>
      </c>
      <c r="T385" s="5">
        <v>1.0718229166666666E-5</v>
      </c>
      <c r="U385" s="5">
        <v>1.0718229166666666E-5</v>
      </c>
      <c r="V385" s="5">
        <v>0</v>
      </c>
      <c r="W385" s="5">
        <v>0</v>
      </c>
      <c r="X385" s="5">
        <v>2.3762152777777779</v>
      </c>
      <c r="Y385" s="5">
        <v>4625.8680555555557</v>
      </c>
      <c r="Z385" s="5">
        <f t="shared" ref="Z385:AA385" si="185">Z384+0.0002</f>
        <v>4.0000000000000002E-4</v>
      </c>
      <c r="AA385" s="5">
        <f t="shared" si="185"/>
        <v>6.0000000000000006E-4</v>
      </c>
      <c r="AB385" s="4">
        <v>2</v>
      </c>
    </row>
    <row r="386" spans="1:28" x14ac:dyDescent="0.25">
      <c r="C386" s="4">
        <v>10</v>
      </c>
      <c r="D386" s="5">
        <v>98999482106.607529</v>
      </c>
      <c r="E386" s="5">
        <v>98999482106.607529</v>
      </c>
      <c r="F386" s="5">
        <v>0.25103673267016491</v>
      </c>
      <c r="G386" s="5">
        <v>0</v>
      </c>
      <c r="H386" s="5">
        <v>37195833333.333328</v>
      </c>
      <c r="I386" s="5">
        <v>39713958333.333336</v>
      </c>
      <c r="J386" s="5">
        <v>39713958333.333336</v>
      </c>
      <c r="K386" s="5">
        <v>-4.0722894158457794E-11</v>
      </c>
      <c r="L386" s="5">
        <v>-4.0722894158457794E-11</v>
      </c>
      <c r="M386" s="5">
        <v>0</v>
      </c>
      <c r="N386" s="5">
        <v>2.0000000000000001E-4</v>
      </c>
      <c r="O386" s="5">
        <v>35.523719336219301</v>
      </c>
      <c r="P386" s="5">
        <v>35.523719336219301</v>
      </c>
      <c r="Q386" s="5">
        <v>7.5400201774691385E-9</v>
      </c>
      <c r="R386" s="5">
        <v>0</v>
      </c>
      <c r="S386" s="5">
        <v>4.5386458333333298E-5</v>
      </c>
      <c r="T386" s="5">
        <v>1.0574062499999998E-5</v>
      </c>
      <c r="U386" s="5">
        <v>1.0574062499999998E-5</v>
      </c>
      <c r="V386" s="5">
        <v>0</v>
      </c>
      <c r="W386" s="5">
        <v>0</v>
      </c>
      <c r="X386" s="5">
        <v>2.2737152777777778</v>
      </c>
      <c r="Y386" s="5">
        <v>4318.3680555555557</v>
      </c>
      <c r="Z386" s="5">
        <f t="shared" ref="Z386:AA386" si="186">Z385+0.0002</f>
        <v>6.0000000000000006E-4</v>
      </c>
      <c r="AA386" s="5">
        <f t="shared" si="186"/>
        <v>8.0000000000000004E-4</v>
      </c>
      <c r="AB386" s="4">
        <v>2</v>
      </c>
    </row>
    <row r="387" spans="1:28" x14ac:dyDescent="0.25">
      <c r="C387" s="4">
        <v>11</v>
      </c>
      <c r="D387" s="5">
        <v>84658375340.756607</v>
      </c>
      <c r="E387" s="5">
        <v>84658375340.756607</v>
      </c>
      <c r="F387" s="5">
        <v>0.22009451950511857</v>
      </c>
      <c r="G387" s="5">
        <v>0</v>
      </c>
      <c r="H387" s="5">
        <v>32162500000</v>
      </c>
      <c r="I387" s="5">
        <v>36170625000</v>
      </c>
      <c r="J387" s="5">
        <v>36170625000</v>
      </c>
      <c r="K387" s="5">
        <v>-4.9150232364156323E-11</v>
      </c>
      <c r="L387" s="5">
        <v>-4.9150232364156323E-11</v>
      </c>
      <c r="M387" s="5">
        <v>0</v>
      </c>
      <c r="N387" s="5">
        <v>2.0000000000000001E-4</v>
      </c>
      <c r="O387" s="5">
        <v>11.681006493506491</v>
      </c>
      <c r="P387" s="5">
        <v>11.681006493506491</v>
      </c>
      <c r="Q387" s="5">
        <v>9.0794232638888901E-9</v>
      </c>
      <c r="R387" s="5">
        <v>0</v>
      </c>
      <c r="S387" s="5">
        <v>1.9403125000000006E-5</v>
      </c>
      <c r="T387" s="5">
        <v>1.0509062499999998E-5</v>
      </c>
      <c r="U387" s="5">
        <v>1.0509062499999998E-5</v>
      </c>
      <c r="V387" s="5">
        <v>0</v>
      </c>
      <c r="W387" s="5">
        <v>0</v>
      </c>
      <c r="X387" s="5">
        <v>2.1809375000000002</v>
      </c>
      <c r="Y387" s="5">
        <v>4017.8125</v>
      </c>
      <c r="Z387" s="5">
        <f t="shared" ref="Z387:AA387" si="187">Z386+0.0002</f>
        <v>8.0000000000000004E-4</v>
      </c>
      <c r="AA387" s="5">
        <f t="shared" si="187"/>
        <v>1E-3</v>
      </c>
      <c r="AB387" s="4">
        <v>2</v>
      </c>
    </row>
    <row r="388" spans="1:28" x14ac:dyDescent="0.25">
      <c r="B388" t="s">
        <v>190</v>
      </c>
      <c r="C388" s="11">
        <v>12</v>
      </c>
      <c r="D388" s="5">
        <v>69786164883.460098</v>
      </c>
      <c r="E388" s="5">
        <v>69786164883.460098</v>
      </c>
      <c r="F388" s="5">
        <v>0.1883080064913078</v>
      </c>
      <c r="G388" s="5">
        <v>0</v>
      </c>
      <c r="H388" s="5">
        <v>26962499999.999992</v>
      </c>
      <c r="I388" s="5">
        <v>32618958333.333332</v>
      </c>
      <c r="J388" s="5">
        <v>32618958333.333332</v>
      </c>
      <c r="K388" s="5">
        <v>-5.8686430860078387E-11</v>
      </c>
      <c r="L388" s="5">
        <v>-5.8686430860078387E-11</v>
      </c>
      <c r="M388" s="5">
        <v>0</v>
      </c>
      <c r="N388" s="5">
        <v>2.0000000000000001E-4</v>
      </c>
      <c r="O388" s="5">
        <v>-14.084505772005816</v>
      </c>
      <c r="P388" s="5">
        <v>-14.084505772005816</v>
      </c>
      <c r="Q388" s="5">
        <v>1.0822195177469141E-8</v>
      </c>
      <c r="R388" s="5">
        <v>0</v>
      </c>
      <c r="S388" s="5">
        <v>-8.6218750000000385E-6</v>
      </c>
      <c r="T388" s="5">
        <v>1.0523229166666665E-5</v>
      </c>
      <c r="U388" s="5">
        <v>1.0523229166666665E-5</v>
      </c>
      <c r="V388" s="5">
        <v>0</v>
      </c>
      <c r="W388" s="5">
        <v>0</v>
      </c>
      <c r="X388" s="5">
        <v>2.0978819444444445</v>
      </c>
      <c r="Y388" s="5">
        <v>3724.2013888888882</v>
      </c>
      <c r="Z388" s="5">
        <f t="shared" ref="Z388:AA388" si="188">Z387+0.0002</f>
        <v>1E-3</v>
      </c>
      <c r="AA388" s="5">
        <f t="shared" si="188"/>
        <v>1.2000000000000001E-3</v>
      </c>
      <c r="AB388" s="4">
        <v>2</v>
      </c>
    </row>
    <row r="392" spans="1:28" x14ac:dyDescent="0.25">
      <c r="A392" s="15" t="s">
        <v>255</v>
      </c>
      <c r="C392" s="10" t="s">
        <v>27</v>
      </c>
      <c r="D392" s="10" t="s">
        <v>28</v>
      </c>
      <c r="E392" s="10" t="s">
        <v>29</v>
      </c>
      <c r="F392" s="10" t="s">
        <v>30</v>
      </c>
      <c r="G392" s="10" t="s">
        <v>31</v>
      </c>
      <c r="H392" s="10" t="s">
        <v>47</v>
      </c>
      <c r="I392" s="10" t="s">
        <v>32</v>
      </c>
      <c r="J392" s="10" t="s">
        <v>33</v>
      </c>
      <c r="K392" s="10" t="s">
        <v>34</v>
      </c>
      <c r="L392" s="10" t="s">
        <v>35</v>
      </c>
      <c r="M392" s="10" t="s">
        <v>36</v>
      </c>
      <c r="N392" s="10" t="s">
        <v>37</v>
      </c>
      <c r="O392" s="10" t="s">
        <v>38</v>
      </c>
      <c r="P392" s="10" t="s">
        <v>39</v>
      </c>
      <c r="Q392" s="10" t="s">
        <v>40</v>
      </c>
      <c r="R392" s="10" t="s">
        <v>41</v>
      </c>
      <c r="S392" s="10" t="s">
        <v>42</v>
      </c>
      <c r="T392" s="10" t="s">
        <v>48</v>
      </c>
      <c r="U392" s="10" t="s">
        <v>77</v>
      </c>
      <c r="V392" s="10" t="s">
        <v>78</v>
      </c>
      <c r="W392" s="10" t="s">
        <v>79</v>
      </c>
      <c r="X392" s="10" t="s">
        <v>49</v>
      </c>
      <c r="Y392" s="10" t="s">
        <v>43</v>
      </c>
      <c r="Z392" s="10" t="s">
        <v>44</v>
      </c>
      <c r="AA392" s="10" t="s">
        <v>45</v>
      </c>
      <c r="AB392" s="10" t="s">
        <v>46</v>
      </c>
    </row>
    <row r="393" spans="1:28" x14ac:dyDescent="0.25">
      <c r="A393" s="12" t="s">
        <v>85</v>
      </c>
      <c r="B393" t="s">
        <v>14</v>
      </c>
      <c r="C393" s="11">
        <v>1</v>
      </c>
      <c r="D393" s="5">
        <v>80006316427.528458</v>
      </c>
      <c r="E393" s="5">
        <v>80006316427.528458</v>
      </c>
      <c r="F393" s="5">
        <v>0.18215895614689231</v>
      </c>
      <c r="G393" s="5">
        <v>0</v>
      </c>
      <c r="H393" s="5">
        <v>28704166666.66666</v>
      </c>
      <c r="I393" s="5">
        <v>23653958333.333328</v>
      </c>
      <c r="J393" s="5">
        <v>23653958333.333328</v>
      </c>
      <c r="K393" s="5">
        <v>2.181682621014723E-11</v>
      </c>
      <c r="L393" s="5">
        <v>2.181682621014723E-11</v>
      </c>
      <c r="M393" s="5">
        <v>0</v>
      </c>
      <c r="N393" s="5">
        <v>2.0000000000000001E-4</v>
      </c>
      <c r="O393" s="5">
        <v>100.12977994227991</v>
      </c>
      <c r="P393" s="5">
        <v>100.12977994227991</v>
      </c>
      <c r="Q393" s="5">
        <v>-3.9594316743827164E-9</v>
      </c>
      <c r="R393" s="5">
        <v>0</v>
      </c>
      <c r="S393" s="5">
        <v>1.1081979166666665E-4</v>
      </c>
      <c r="T393" s="5">
        <v>2.9423958333333325E-6</v>
      </c>
      <c r="U393" s="5">
        <v>2.9423958333333325E-6</v>
      </c>
      <c r="V393" s="5">
        <v>0</v>
      </c>
      <c r="W393" s="5">
        <v>0</v>
      </c>
      <c r="X393" s="5">
        <v>0.93371527777777752</v>
      </c>
      <c r="Y393" s="5">
        <v>2248.3680555555552</v>
      </c>
      <c r="Z393" s="5">
        <v>-1.1999999999999999E-3</v>
      </c>
      <c r="AA393" s="5">
        <v>-1E-3</v>
      </c>
      <c r="AB393" s="4">
        <v>2</v>
      </c>
    </row>
    <row r="394" spans="1:28" x14ac:dyDescent="0.25">
      <c r="C394" s="4">
        <v>2</v>
      </c>
      <c r="D394" s="5">
        <v>93020317513.176147</v>
      </c>
      <c r="E394" s="5">
        <v>93020317513.176147</v>
      </c>
      <c r="F394" s="5">
        <v>0.2150634783142332</v>
      </c>
      <c r="G394" s="5">
        <v>0</v>
      </c>
      <c r="H394" s="5">
        <v>33587500000</v>
      </c>
      <c r="I394" s="5">
        <v>28835625000</v>
      </c>
      <c r="J394" s="5">
        <v>28835625000</v>
      </c>
      <c r="K394" s="5">
        <v>1.6716068875119157E-11</v>
      </c>
      <c r="L394" s="5">
        <v>1.6716068875119157E-11</v>
      </c>
      <c r="M394" s="5">
        <v>0</v>
      </c>
      <c r="N394" s="5">
        <v>2.0000000000000001E-4</v>
      </c>
      <c r="O394" s="5">
        <v>105.12905844155843</v>
      </c>
      <c r="P394" s="5">
        <v>105.12905844155843</v>
      </c>
      <c r="Q394" s="5">
        <v>-3.0146350694444444E-9</v>
      </c>
      <c r="R394" s="5">
        <v>0</v>
      </c>
      <c r="S394" s="5">
        <v>1.17128125E-4</v>
      </c>
      <c r="T394" s="5">
        <v>4.3065624999999995E-6</v>
      </c>
      <c r="U394" s="5">
        <v>4.3065624999999995E-6</v>
      </c>
      <c r="V394" s="5">
        <v>0</v>
      </c>
      <c r="W394" s="5">
        <v>0</v>
      </c>
      <c r="X394" s="5">
        <v>1.2284374999999998</v>
      </c>
      <c r="Y394" s="5">
        <v>2810.3125</v>
      </c>
      <c r="Z394" s="5">
        <f t="shared" ref="Z394:AA394" si="189">Z393+0.0002</f>
        <v>-9.999999999999998E-4</v>
      </c>
      <c r="AA394" s="5">
        <f t="shared" si="189"/>
        <v>-8.0000000000000004E-4</v>
      </c>
      <c r="AB394" s="4">
        <v>2</v>
      </c>
    </row>
    <row r="395" spans="1:28" x14ac:dyDescent="0.25">
      <c r="C395" s="4">
        <v>3</v>
      </c>
      <c r="D395" s="5">
        <v>105503214907.3783</v>
      </c>
      <c r="E395" s="5">
        <v>105503214907.3783</v>
      </c>
      <c r="F395" s="5">
        <v>0.2471237006328097</v>
      </c>
      <c r="G395" s="5">
        <v>0</v>
      </c>
      <c r="H395" s="5">
        <v>38304166666.666664</v>
      </c>
      <c r="I395" s="5">
        <v>34008958333.333336</v>
      </c>
      <c r="J395" s="5">
        <v>34008958333.333336</v>
      </c>
      <c r="K395" s="5">
        <v>1.0506451249867599E-11</v>
      </c>
      <c r="L395" s="5">
        <v>1.0506451249867599E-11</v>
      </c>
      <c r="M395" s="5">
        <v>0</v>
      </c>
      <c r="N395" s="5">
        <v>2.0000000000000001E-4</v>
      </c>
      <c r="O395" s="5">
        <v>108.20553751803749</v>
      </c>
      <c r="P395" s="5">
        <v>108.20553751803749</v>
      </c>
      <c r="Q395" s="5">
        <v>-1.8664696373456793E-9</v>
      </c>
      <c r="R395" s="5">
        <v>0</v>
      </c>
      <c r="S395" s="5">
        <v>1.2139479166666665E-4</v>
      </c>
      <c r="T395" s="5">
        <v>5.7498958333333331E-6</v>
      </c>
      <c r="U395" s="5">
        <v>5.7498958333333331E-6</v>
      </c>
      <c r="V395" s="5">
        <v>0</v>
      </c>
      <c r="W395" s="5">
        <v>0</v>
      </c>
      <c r="X395" s="5">
        <v>1.5328819444444446</v>
      </c>
      <c r="Y395" s="5">
        <v>3379.2013888888887</v>
      </c>
      <c r="Z395" s="5">
        <f t="shared" ref="Z395:AA395" si="190">Z394+0.0002</f>
        <v>-7.9999999999999982E-4</v>
      </c>
      <c r="AA395" s="5">
        <f t="shared" si="190"/>
        <v>-6.0000000000000006E-4</v>
      </c>
      <c r="AB395" s="4">
        <v>2</v>
      </c>
    </row>
    <row r="396" spans="1:28" x14ac:dyDescent="0.25">
      <c r="C396" s="4">
        <v>4</v>
      </c>
      <c r="D396" s="5">
        <v>117455008610.13489</v>
      </c>
      <c r="E396" s="5">
        <v>117455008610.13489</v>
      </c>
      <c r="F396" s="5">
        <v>0.27833962310262189</v>
      </c>
      <c r="G396" s="5">
        <v>0</v>
      </c>
      <c r="H396" s="5">
        <v>42854166666.666664</v>
      </c>
      <c r="I396" s="5">
        <v>39173958333.333336</v>
      </c>
      <c r="J396" s="5">
        <v>39173958333.333336</v>
      </c>
      <c r="K396" s="5">
        <v>3.1879733343925443E-12</v>
      </c>
      <c r="L396" s="5">
        <v>3.1879733343925443E-12</v>
      </c>
      <c r="M396" s="5">
        <v>0</v>
      </c>
      <c r="N396" s="5">
        <v>2.0000000000000001E-4</v>
      </c>
      <c r="O396" s="5">
        <v>109.35921717171715</v>
      </c>
      <c r="P396" s="5">
        <v>109.35921717171715</v>
      </c>
      <c r="Q396" s="5">
        <v>-5.1493537808641999E-10</v>
      </c>
      <c r="R396" s="5">
        <v>0</v>
      </c>
      <c r="S396" s="5">
        <v>1.2361979166666665E-4</v>
      </c>
      <c r="T396" s="5">
        <v>7.2723958333333342E-6</v>
      </c>
      <c r="U396" s="5">
        <v>7.2723958333333342E-6</v>
      </c>
      <c r="V396" s="5">
        <v>0</v>
      </c>
      <c r="W396" s="5">
        <v>0</v>
      </c>
      <c r="X396" s="5">
        <v>1.8470486111111111</v>
      </c>
      <c r="Y396" s="5">
        <v>3955.0347222222226</v>
      </c>
      <c r="Z396" s="5">
        <f t="shared" ref="Z396:AA396" si="191">Z395+0.0002</f>
        <v>-5.9999999999999984E-4</v>
      </c>
      <c r="AA396" s="5">
        <f t="shared" si="191"/>
        <v>-4.0000000000000007E-4</v>
      </c>
      <c r="AB396" s="4">
        <v>2</v>
      </c>
    </row>
    <row r="397" spans="1:28" x14ac:dyDescent="0.25">
      <c r="C397" s="4">
        <v>5</v>
      </c>
      <c r="D397" s="5">
        <v>128875698621.44595</v>
      </c>
      <c r="E397" s="5">
        <v>128875698621.44595</v>
      </c>
      <c r="F397" s="5">
        <v>0.30871124572366981</v>
      </c>
      <c r="G397" s="5">
        <v>0</v>
      </c>
      <c r="H397" s="5">
        <v>47237500000</v>
      </c>
      <c r="I397" s="5">
        <v>44330625000</v>
      </c>
      <c r="J397" s="5">
        <v>44330625000</v>
      </c>
      <c r="K397" s="5">
        <v>-5.2393648713060032E-12</v>
      </c>
      <c r="L397" s="5">
        <v>-5.2393648713060032E-12</v>
      </c>
      <c r="M397" s="5">
        <v>0</v>
      </c>
      <c r="N397" s="5">
        <v>2.0000000000000001E-4</v>
      </c>
      <c r="O397" s="5">
        <v>108.59009740259738</v>
      </c>
      <c r="P397" s="5">
        <v>108.59009740259738</v>
      </c>
      <c r="Q397" s="5">
        <v>1.0399677083333332E-9</v>
      </c>
      <c r="R397" s="5">
        <v>0</v>
      </c>
      <c r="S397" s="5">
        <v>1.2380312500000001E-4</v>
      </c>
      <c r="T397" s="5">
        <v>8.8740625000000011E-6</v>
      </c>
      <c r="U397" s="5">
        <v>8.8740625000000011E-6</v>
      </c>
      <c r="V397" s="5">
        <v>0</v>
      </c>
      <c r="W397" s="5">
        <v>0</v>
      </c>
      <c r="X397" s="5">
        <v>2.1709375</v>
      </c>
      <c r="Y397" s="5">
        <v>4537.8125</v>
      </c>
      <c r="Z397" s="5">
        <f t="shared" ref="Z397:AA397" si="192">Z396+0.0002</f>
        <v>-3.9999999999999986E-4</v>
      </c>
      <c r="AA397" s="5">
        <f t="shared" si="192"/>
        <v>-2.0000000000000006E-4</v>
      </c>
      <c r="AB397" s="4">
        <v>2</v>
      </c>
    </row>
    <row r="398" spans="1:28" x14ac:dyDescent="0.25">
      <c r="C398" s="4">
        <v>6</v>
      </c>
      <c r="D398" s="5">
        <v>139765284941.31146</v>
      </c>
      <c r="E398" s="5">
        <v>139765284941.31146</v>
      </c>
      <c r="F398" s="5">
        <v>0.33823856849595346</v>
      </c>
      <c r="G398" s="5">
        <v>0</v>
      </c>
      <c r="H398" s="5">
        <v>51454166666.666664</v>
      </c>
      <c r="I398" s="5">
        <v>49478958333.333336</v>
      </c>
      <c r="J398" s="5">
        <v>49478958333.333336</v>
      </c>
      <c r="K398" s="5">
        <v>-1.4775563367228042E-11</v>
      </c>
      <c r="L398" s="5">
        <v>-1.4775563367228042E-11</v>
      </c>
      <c r="M398" s="5">
        <v>0</v>
      </c>
      <c r="N398" s="5">
        <v>2.0000000000000001E-4</v>
      </c>
      <c r="O398" s="5">
        <v>105.89817821067818</v>
      </c>
      <c r="P398" s="5">
        <v>105.89817821067818</v>
      </c>
      <c r="Q398" s="5">
        <v>2.7982396219135802E-9</v>
      </c>
      <c r="R398" s="5">
        <v>0</v>
      </c>
      <c r="S398" s="5">
        <v>1.2194479166666665E-4</v>
      </c>
      <c r="T398" s="5">
        <v>1.0554895833333334E-5</v>
      </c>
      <c r="U398" s="5">
        <v>1.0554895833333334E-5</v>
      </c>
      <c r="V398" s="5">
        <v>0</v>
      </c>
      <c r="W398" s="5">
        <v>0</v>
      </c>
      <c r="X398" s="5">
        <v>2.5045486111111113</v>
      </c>
      <c r="Y398" s="5">
        <v>5127.5347222222226</v>
      </c>
      <c r="Z398" s="5">
        <f t="shared" ref="Z398:AA398" si="193">Z397+0.0002</f>
        <v>-1.9999999999999985E-4</v>
      </c>
      <c r="AA398" s="5">
        <f t="shared" si="193"/>
        <v>0</v>
      </c>
      <c r="AB398" s="4">
        <v>2</v>
      </c>
    </row>
    <row r="399" spans="1:28" x14ac:dyDescent="0.25">
      <c r="C399" s="4">
        <v>7</v>
      </c>
      <c r="D399" s="5">
        <v>136578662792.6382</v>
      </c>
      <c r="E399" s="5">
        <v>136578662792.6382</v>
      </c>
      <c r="F399" s="5">
        <v>0.33317276940336765</v>
      </c>
      <c r="G399" s="5">
        <v>0</v>
      </c>
      <c r="H399" s="5">
        <v>50454166666.666664</v>
      </c>
      <c r="I399" s="5">
        <v>49428958333.333336</v>
      </c>
      <c r="J399" s="5">
        <v>49428958333.333336</v>
      </c>
      <c r="K399" s="5">
        <v>-2.1428725108568998E-11</v>
      </c>
      <c r="L399" s="5">
        <v>-2.1428725108568998E-11</v>
      </c>
      <c r="M399" s="5">
        <v>0</v>
      </c>
      <c r="N399" s="5">
        <v>2.0000000000000001E-4</v>
      </c>
      <c r="O399" s="5">
        <v>94.361381673881652</v>
      </c>
      <c r="P399" s="5">
        <v>94.361381673881652</v>
      </c>
      <c r="Q399" s="5">
        <v>4.018452584876543E-9</v>
      </c>
      <c r="R399" s="5">
        <v>0</v>
      </c>
      <c r="S399" s="5">
        <v>1.0969479166666665E-4</v>
      </c>
      <c r="T399" s="5">
        <v>1.1029895833333333E-5</v>
      </c>
      <c r="U399" s="5">
        <v>1.1029895833333333E-5</v>
      </c>
      <c r="V399" s="5">
        <v>0</v>
      </c>
      <c r="W399" s="5">
        <v>0</v>
      </c>
      <c r="X399" s="5">
        <v>2.5628819444444444</v>
      </c>
      <c r="Y399" s="5">
        <v>5169.2013888888887</v>
      </c>
      <c r="Z399" s="5">
        <f t="shared" ref="Z399:AA399" si="194">Z398+0.0002</f>
        <v>0</v>
      </c>
      <c r="AA399" s="5">
        <f t="shared" si="194"/>
        <v>2.0000000000000001E-4</v>
      </c>
      <c r="AB399" s="4">
        <v>2</v>
      </c>
    </row>
    <row r="400" spans="1:28" x14ac:dyDescent="0.25">
      <c r="C400" s="4">
        <v>8</v>
      </c>
      <c r="D400" s="5">
        <v>119315832175.42615</v>
      </c>
      <c r="E400" s="5">
        <v>119315832175.42615</v>
      </c>
      <c r="F400" s="5">
        <v>0.29351384844591238</v>
      </c>
      <c r="G400" s="5">
        <v>0</v>
      </c>
      <c r="H400" s="5">
        <v>44237500000</v>
      </c>
      <c r="I400" s="5">
        <v>44180625000</v>
      </c>
      <c r="J400" s="5">
        <v>44180625000</v>
      </c>
      <c r="K400" s="5">
        <v>-2.5198850095328878E-11</v>
      </c>
      <c r="L400" s="5">
        <v>-2.5198850095328878E-11</v>
      </c>
      <c r="M400" s="5">
        <v>0</v>
      </c>
      <c r="N400" s="5">
        <v>2.0000000000000001E-4</v>
      </c>
      <c r="O400" s="5">
        <v>73.979707792207776</v>
      </c>
      <c r="P400" s="5">
        <v>73.979707792207776</v>
      </c>
      <c r="Q400" s="5">
        <v>4.700606597222223E-9</v>
      </c>
      <c r="R400" s="5">
        <v>0</v>
      </c>
      <c r="S400" s="5">
        <v>8.7053124999999997E-5</v>
      </c>
      <c r="T400" s="5">
        <v>1.0299062499999998E-5</v>
      </c>
      <c r="U400" s="5">
        <v>1.0299062499999998E-5</v>
      </c>
      <c r="V400" s="5">
        <v>0</v>
      </c>
      <c r="W400" s="5">
        <v>0</v>
      </c>
      <c r="X400" s="5">
        <v>2.3459374999999998</v>
      </c>
      <c r="Y400" s="5">
        <v>4662.8125</v>
      </c>
      <c r="Z400" s="5">
        <f t="shared" ref="Z400:AA400" si="195">Z399+0.0002</f>
        <v>2.0000000000000001E-4</v>
      </c>
      <c r="AA400" s="5">
        <f t="shared" si="195"/>
        <v>4.0000000000000002E-4</v>
      </c>
      <c r="AB400" s="4">
        <v>2</v>
      </c>
    </row>
    <row r="401" spans="1:28" x14ac:dyDescent="0.25">
      <c r="C401" s="4">
        <v>9</v>
      </c>
      <c r="D401" s="5">
        <v>101521897866.76855</v>
      </c>
      <c r="E401" s="5">
        <v>101521897866.76855</v>
      </c>
      <c r="F401" s="5">
        <v>0.25301062763969284</v>
      </c>
      <c r="G401" s="5">
        <v>0</v>
      </c>
      <c r="H401" s="5">
        <v>37854166666.666664</v>
      </c>
      <c r="I401" s="5">
        <v>38923958333.333336</v>
      </c>
      <c r="J401" s="5">
        <v>38923958333.333336</v>
      </c>
      <c r="K401" s="5">
        <v>-3.0077835372312247E-11</v>
      </c>
      <c r="L401" s="5">
        <v>-3.0077835372312247E-11</v>
      </c>
      <c r="M401" s="5">
        <v>0</v>
      </c>
      <c r="N401" s="5">
        <v>2.0000000000000001E-4</v>
      </c>
      <c r="O401" s="5">
        <v>51.675234487734471</v>
      </c>
      <c r="P401" s="5">
        <v>51.675234487734471</v>
      </c>
      <c r="Q401" s="5">
        <v>5.5861294367283969E-9</v>
      </c>
      <c r="R401" s="5">
        <v>0</v>
      </c>
      <c r="S401" s="5">
        <v>6.2369791666666655E-5</v>
      </c>
      <c r="T401" s="5">
        <v>9.6473958333333326E-6</v>
      </c>
      <c r="U401" s="5">
        <v>9.6473958333333326E-6</v>
      </c>
      <c r="V401" s="5">
        <v>0</v>
      </c>
      <c r="W401" s="5">
        <v>0</v>
      </c>
      <c r="X401" s="5">
        <v>2.138715277777778</v>
      </c>
      <c r="Y401" s="5">
        <v>4163.3680555555557</v>
      </c>
      <c r="Z401" s="5">
        <f t="shared" ref="Z401:AA401" si="196">Z400+0.0002</f>
        <v>4.0000000000000002E-4</v>
      </c>
      <c r="AA401" s="5">
        <f t="shared" si="196"/>
        <v>6.0000000000000006E-4</v>
      </c>
      <c r="AB401" s="4">
        <v>2</v>
      </c>
    </row>
    <row r="402" spans="1:28" x14ac:dyDescent="0.25">
      <c r="C402" s="4">
        <v>10</v>
      </c>
      <c r="D402" s="5">
        <v>83196859866.665421</v>
      </c>
      <c r="E402" s="5">
        <v>83196859866.665421</v>
      </c>
      <c r="F402" s="5">
        <v>0.21166310698470897</v>
      </c>
      <c r="G402" s="5">
        <v>0</v>
      </c>
      <c r="H402" s="5">
        <v>31304166666.666664</v>
      </c>
      <c r="I402" s="5">
        <v>33658958333.333336</v>
      </c>
      <c r="J402" s="5">
        <v>33658958333.333336</v>
      </c>
      <c r="K402" s="5">
        <v>-3.6065680939519125E-11</v>
      </c>
      <c r="L402" s="5">
        <v>-3.6065680939519125E-11</v>
      </c>
      <c r="M402" s="5">
        <v>0</v>
      </c>
      <c r="N402" s="5">
        <v>2.0000000000000001E-4</v>
      </c>
      <c r="O402" s="5">
        <v>27.447961760461734</v>
      </c>
      <c r="P402" s="5">
        <v>27.447961760461734</v>
      </c>
      <c r="Q402" s="5">
        <v>6.6750211033950655E-9</v>
      </c>
      <c r="R402" s="5">
        <v>0</v>
      </c>
      <c r="S402" s="5">
        <v>3.5644791666666629E-5</v>
      </c>
      <c r="T402" s="5">
        <v>9.0748958333333326E-6</v>
      </c>
      <c r="U402" s="5">
        <v>9.0748958333333326E-6</v>
      </c>
      <c r="V402" s="5">
        <v>0</v>
      </c>
      <c r="W402" s="5">
        <v>0</v>
      </c>
      <c r="X402" s="5">
        <v>1.9412152777777778</v>
      </c>
      <c r="Y402" s="5">
        <v>3670.8680555555557</v>
      </c>
      <c r="Z402" s="5">
        <f t="shared" ref="Z402:AA402" si="197">Z401+0.0002</f>
        <v>6.0000000000000006E-4</v>
      </c>
      <c r="AA402" s="5">
        <f t="shared" si="197"/>
        <v>8.0000000000000004E-4</v>
      </c>
      <c r="AB402" s="4">
        <v>2</v>
      </c>
    </row>
    <row r="403" spans="1:28" x14ac:dyDescent="0.25">
      <c r="C403" s="4">
        <v>11</v>
      </c>
      <c r="D403" s="5">
        <v>64340718175.11676</v>
      </c>
      <c r="E403" s="5">
        <v>64340718175.11676</v>
      </c>
      <c r="F403" s="5">
        <v>0.16947128648096091</v>
      </c>
      <c r="G403" s="5">
        <v>0</v>
      </c>
      <c r="H403" s="5">
        <v>24587500000</v>
      </c>
      <c r="I403" s="5">
        <v>28385625000</v>
      </c>
      <c r="J403" s="5">
        <v>28385625000</v>
      </c>
      <c r="K403" s="5">
        <v>-4.3162386796949465E-11</v>
      </c>
      <c r="L403" s="5">
        <v>-4.3162386796949465E-11</v>
      </c>
      <c r="M403" s="5">
        <v>0</v>
      </c>
      <c r="N403" s="5">
        <v>2.0000000000000001E-4</v>
      </c>
      <c r="O403" s="5">
        <v>1.297889610389614</v>
      </c>
      <c r="P403" s="5">
        <v>1.297889610389614</v>
      </c>
      <c r="Q403" s="5">
        <v>7.9672815972222232E-9</v>
      </c>
      <c r="R403" s="5">
        <v>0</v>
      </c>
      <c r="S403" s="5">
        <v>6.8781250000000062E-6</v>
      </c>
      <c r="T403" s="5">
        <v>8.5815624999999984E-6</v>
      </c>
      <c r="U403" s="5">
        <v>8.5815624999999984E-6</v>
      </c>
      <c r="V403" s="5">
        <v>0</v>
      </c>
      <c r="W403" s="5">
        <v>0</v>
      </c>
      <c r="X403" s="5">
        <v>1.7534375000000002</v>
      </c>
      <c r="Y403" s="5">
        <v>3185.3125</v>
      </c>
      <c r="Z403" s="5">
        <f t="shared" ref="Z403:AA403" si="198">Z402+0.0002</f>
        <v>8.0000000000000004E-4</v>
      </c>
      <c r="AA403" s="5">
        <f t="shared" si="198"/>
        <v>1E-3</v>
      </c>
      <c r="AB403" s="4">
        <v>2</v>
      </c>
    </row>
    <row r="404" spans="1:28" x14ac:dyDescent="0.25">
      <c r="B404" t="s">
        <v>190</v>
      </c>
      <c r="C404" s="11">
        <v>12</v>
      </c>
      <c r="D404" s="5">
        <v>44953472792.122498</v>
      </c>
      <c r="E404" s="5">
        <v>44953472792.122498</v>
      </c>
      <c r="F404" s="5">
        <v>0.12643516612844841</v>
      </c>
      <c r="G404" s="5">
        <v>0</v>
      </c>
      <c r="H404" s="5">
        <v>17704166666.66666</v>
      </c>
      <c r="I404" s="5">
        <v>23103958333.333328</v>
      </c>
      <c r="J404" s="5">
        <v>23103958333.333328</v>
      </c>
      <c r="K404" s="5">
        <v>-5.1367952944603327E-11</v>
      </c>
      <c r="L404" s="5">
        <v>-5.1367952944603327E-11</v>
      </c>
      <c r="M404" s="5">
        <v>0</v>
      </c>
      <c r="N404" s="5">
        <v>2.0000000000000001E-4</v>
      </c>
      <c r="O404" s="5">
        <v>-26.774981962482002</v>
      </c>
      <c r="P404" s="5">
        <v>-26.774981962482002</v>
      </c>
      <c r="Q404" s="5">
        <v>9.4629109182098814E-9</v>
      </c>
      <c r="R404" s="5">
        <v>0</v>
      </c>
      <c r="S404" s="5">
        <v>-2.3930208333333369E-5</v>
      </c>
      <c r="T404" s="5">
        <v>8.1673958333333299E-6</v>
      </c>
      <c r="U404" s="5">
        <v>8.1673958333333299E-6</v>
      </c>
      <c r="V404" s="5">
        <v>0</v>
      </c>
      <c r="W404" s="5">
        <v>0</v>
      </c>
      <c r="X404" s="5">
        <v>1.5753819444444446</v>
      </c>
      <c r="Y404" s="5">
        <v>2706.7013888888882</v>
      </c>
      <c r="Z404" s="5">
        <f t="shared" ref="Z404:AA404" si="199">Z403+0.0002</f>
        <v>1E-3</v>
      </c>
      <c r="AA404" s="5">
        <f t="shared" si="199"/>
        <v>1.2000000000000001E-3</v>
      </c>
      <c r="AB404" s="4">
        <v>2</v>
      </c>
    </row>
    <row r="407" spans="1:28" x14ac:dyDescent="0.25">
      <c r="A407" s="15" t="s">
        <v>256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x14ac:dyDescent="0.25">
      <c r="A408" s="12" t="s">
        <v>85</v>
      </c>
      <c r="C408" s="10" t="s">
        <v>27</v>
      </c>
      <c r="D408" s="10" t="s">
        <v>28</v>
      </c>
      <c r="E408" s="10" t="s">
        <v>29</v>
      </c>
      <c r="F408" s="10" t="s">
        <v>30</v>
      </c>
      <c r="G408" s="10" t="s">
        <v>31</v>
      </c>
      <c r="H408" s="10" t="s">
        <v>47</v>
      </c>
      <c r="I408" s="10" t="s">
        <v>32</v>
      </c>
      <c r="J408" s="10" t="s">
        <v>33</v>
      </c>
      <c r="K408" s="10" t="s">
        <v>34</v>
      </c>
      <c r="L408" s="10" t="s">
        <v>35</v>
      </c>
      <c r="M408" s="10" t="s">
        <v>36</v>
      </c>
      <c r="N408" s="10" t="s">
        <v>37</v>
      </c>
      <c r="O408" s="10" t="s">
        <v>38</v>
      </c>
      <c r="P408" s="10" t="s">
        <v>39</v>
      </c>
      <c r="Q408" s="10" t="s">
        <v>40</v>
      </c>
      <c r="R408" s="10" t="s">
        <v>41</v>
      </c>
      <c r="S408" s="10" t="s">
        <v>42</v>
      </c>
      <c r="T408" s="10" t="s">
        <v>48</v>
      </c>
      <c r="U408" s="10" t="s">
        <v>77</v>
      </c>
      <c r="V408" s="10" t="s">
        <v>78</v>
      </c>
      <c r="W408" s="10" t="s">
        <v>79</v>
      </c>
      <c r="X408" s="10" t="s">
        <v>49</v>
      </c>
      <c r="Y408" s="10" t="s">
        <v>43</v>
      </c>
      <c r="Z408" s="10" t="s">
        <v>44</v>
      </c>
      <c r="AA408" s="10" t="s">
        <v>45</v>
      </c>
      <c r="AB408" s="10" t="s">
        <v>46</v>
      </c>
    </row>
    <row r="409" spans="1:28" x14ac:dyDescent="0.25">
      <c r="B409" t="s">
        <v>14</v>
      </c>
      <c r="C409" s="11">
        <v>1</v>
      </c>
      <c r="D409" s="5">
        <v>55173624336.190857</v>
      </c>
      <c r="E409" s="5">
        <v>55173624336.190857</v>
      </c>
      <c r="F409" s="5">
        <v>0.12028611578403289</v>
      </c>
      <c r="G409" s="5">
        <v>0</v>
      </c>
      <c r="H409" s="5">
        <v>19445833333.333321</v>
      </c>
      <c r="I409" s="5">
        <v>14138958333.333328</v>
      </c>
      <c r="J409" s="5">
        <v>14138958333.333328</v>
      </c>
      <c r="K409" s="5">
        <v>2.9135304125622284E-11</v>
      </c>
      <c r="L409" s="5">
        <v>2.9135304125622284E-11</v>
      </c>
      <c r="M409" s="5">
        <v>0</v>
      </c>
      <c r="N409" s="5">
        <v>2.0000000000000001E-4</v>
      </c>
      <c r="O409" s="5">
        <v>87.43930375180372</v>
      </c>
      <c r="P409" s="5">
        <v>87.43930375180372</v>
      </c>
      <c r="Q409" s="5">
        <v>-5.3187159336419764E-9</v>
      </c>
      <c r="R409" s="5">
        <v>0</v>
      </c>
      <c r="S409" s="5">
        <v>9.551145833333331E-5</v>
      </c>
      <c r="T409" s="5">
        <v>5.8656249999999783E-7</v>
      </c>
      <c r="U409" s="5">
        <v>5.8656249999999783E-7</v>
      </c>
      <c r="V409" s="5">
        <v>0</v>
      </c>
      <c r="W409" s="5">
        <v>0</v>
      </c>
      <c r="X409" s="5">
        <v>0.41121527777777711</v>
      </c>
      <c r="Y409" s="5">
        <v>1230.8680555555547</v>
      </c>
      <c r="Z409" s="5">
        <v>-1.1999999999999999E-3</v>
      </c>
      <c r="AA409" s="5">
        <v>-1E-3</v>
      </c>
      <c r="AB409" s="4">
        <v>2</v>
      </c>
    </row>
    <row r="410" spans="1:28" x14ac:dyDescent="0.25">
      <c r="C410" s="4">
        <v>2</v>
      </c>
      <c r="D410" s="5">
        <v>72702660347.536285</v>
      </c>
      <c r="E410" s="5">
        <v>72702660347.536285</v>
      </c>
      <c r="F410" s="5">
        <v>0.1644402452900755</v>
      </c>
      <c r="G410" s="5">
        <v>0</v>
      </c>
      <c r="H410" s="5">
        <v>26012500000</v>
      </c>
      <c r="I410" s="5">
        <v>21050625000</v>
      </c>
      <c r="J410" s="5">
        <v>21050625000</v>
      </c>
      <c r="K410" s="5">
        <v>2.2703914442326022E-11</v>
      </c>
      <c r="L410" s="5">
        <v>2.2703914442326022E-11</v>
      </c>
      <c r="M410" s="5">
        <v>0</v>
      </c>
      <c r="N410" s="5">
        <v>2.0000000000000001E-4</v>
      </c>
      <c r="O410" s="5">
        <v>94.74594155844153</v>
      </c>
      <c r="P410" s="5">
        <v>94.74594155844153</v>
      </c>
      <c r="Q410" s="5">
        <v>-4.1267767361111117E-9</v>
      </c>
      <c r="R410" s="5">
        <v>0</v>
      </c>
      <c r="S410" s="5">
        <v>1.04603125E-4</v>
      </c>
      <c r="T410" s="5">
        <v>2.3790624999999997E-6</v>
      </c>
      <c r="U410" s="5">
        <v>2.3790624999999997E-6</v>
      </c>
      <c r="V410" s="5">
        <v>0</v>
      </c>
      <c r="W410" s="5">
        <v>0</v>
      </c>
      <c r="X410" s="5">
        <v>0.80093749999999964</v>
      </c>
      <c r="Y410" s="5">
        <v>1977.8125</v>
      </c>
      <c r="Z410" s="5">
        <f t="shared" ref="Z410:AA410" si="200">Z409+0.0002</f>
        <v>-9.999999999999998E-4</v>
      </c>
      <c r="AA410" s="5">
        <f t="shared" si="200"/>
        <v>-8.0000000000000004E-4</v>
      </c>
      <c r="AB410" s="4">
        <v>2</v>
      </c>
    </row>
    <row r="411" spans="1:28" x14ac:dyDescent="0.25">
      <c r="C411" s="4">
        <v>3</v>
      </c>
      <c r="D411" s="5">
        <v>89700592667.436188</v>
      </c>
      <c r="E411" s="5">
        <v>89700592667.436188</v>
      </c>
      <c r="F411" s="5">
        <v>0.2077500749473537</v>
      </c>
      <c r="G411" s="5">
        <v>0</v>
      </c>
      <c r="H411" s="5">
        <v>32412499999.999996</v>
      </c>
      <c r="I411" s="5">
        <v>27953958333.333336</v>
      </c>
      <c r="J411" s="5">
        <v>27953958333.333336</v>
      </c>
      <c r="K411" s="5">
        <v>1.5163664468806271E-11</v>
      </c>
      <c r="L411" s="5">
        <v>1.5163664468806271E-11</v>
      </c>
      <c r="M411" s="5">
        <v>0</v>
      </c>
      <c r="N411" s="5">
        <v>2.0000000000000001E-4</v>
      </c>
      <c r="O411" s="5">
        <v>100.1297799422799</v>
      </c>
      <c r="P411" s="5">
        <v>100.1297799422799</v>
      </c>
      <c r="Q411" s="5">
        <v>-2.7314687114197539E-9</v>
      </c>
      <c r="R411" s="5">
        <v>0</v>
      </c>
      <c r="S411" s="5">
        <v>1.1165312499999998E-4</v>
      </c>
      <c r="T411" s="5">
        <v>4.2507291666666657E-6</v>
      </c>
      <c r="U411" s="5">
        <v>4.2507291666666657E-6</v>
      </c>
      <c r="V411" s="5">
        <v>0</v>
      </c>
      <c r="W411" s="5">
        <v>0</v>
      </c>
      <c r="X411" s="5">
        <v>1.2003819444444443</v>
      </c>
      <c r="Y411" s="5">
        <v>2731.7013888888887</v>
      </c>
      <c r="Z411" s="5">
        <f t="shared" ref="Z411:AA411" si="201">Z410+0.0002</f>
        <v>-7.9999999999999982E-4</v>
      </c>
      <c r="AA411" s="5">
        <f t="shared" si="201"/>
        <v>-6.0000000000000006E-4</v>
      </c>
      <c r="AB411" s="4">
        <v>2</v>
      </c>
    </row>
    <row r="412" spans="1:28" x14ac:dyDescent="0.25">
      <c r="C412" s="4">
        <v>4</v>
      </c>
      <c r="D412" s="5">
        <v>106167421295.89053</v>
      </c>
      <c r="E412" s="5">
        <v>106167421295.89053</v>
      </c>
      <c r="F412" s="5">
        <v>0.25021560475586763</v>
      </c>
      <c r="G412" s="5">
        <v>0</v>
      </c>
      <c r="H412" s="5">
        <v>38645833333.333328</v>
      </c>
      <c r="I412" s="5">
        <v>34848958333.333336</v>
      </c>
      <c r="J412" s="5">
        <v>34848958333.333336</v>
      </c>
      <c r="K412" s="5">
        <v>6.5145542050630238E-12</v>
      </c>
      <c r="L412" s="5">
        <v>6.5145542050630238E-12</v>
      </c>
      <c r="M412" s="5">
        <v>0</v>
      </c>
      <c r="N412" s="5">
        <v>2.0000000000000001E-4</v>
      </c>
      <c r="O412" s="5">
        <v>103.59081890331888</v>
      </c>
      <c r="P412" s="5">
        <v>103.59081890331888</v>
      </c>
      <c r="Q412" s="5">
        <v>-1.1327918595679019E-9</v>
      </c>
      <c r="R412" s="5">
        <v>0</v>
      </c>
      <c r="S412" s="5">
        <v>1.1666145833333332E-4</v>
      </c>
      <c r="T412" s="5">
        <v>6.2015625E-6</v>
      </c>
      <c r="U412" s="5">
        <v>6.2015625E-6</v>
      </c>
      <c r="V412" s="5">
        <v>0</v>
      </c>
      <c r="W412" s="5">
        <v>0</v>
      </c>
      <c r="X412" s="5">
        <v>1.6095486111111108</v>
      </c>
      <c r="Y412" s="5">
        <v>3492.5347222222226</v>
      </c>
      <c r="Z412" s="5">
        <f t="shared" ref="Z412:AA412" si="202">Z411+0.0002</f>
        <v>-5.9999999999999984E-4</v>
      </c>
      <c r="AA412" s="5">
        <f t="shared" si="202"/>
        <v>-4.0000000000000007E-4</v>
      </c>
      <c r="AB412" s="4">
        <v>2</v>
      </c>
    </row>
    <row r="413" spans="1:28" x14ac:dyDescent="0.25">
      <c r="C413" s="4">
        <v>5</v>
      </c>
      <c r="D413" s="5">
        <v>122103146232.89934</v>
      </c>
      <c r="E413" s="5">
        <v>122103146232.89934</v>
      </c>
      <c r="F413" s="5">
        <v>0.29183683471561722</v>
      </c>
      <c r="G413" s="5">
        <v>0</v>
      </c>
      <c r="H413" s="5">
        <v>44712500000</v>
      </c>
      <c r="I413" s="5">
        <v>41735625000</v>
      </c>
      <c r="J413" s="5">
        <v>41735625000</v>
      </c>
      <c r="K413" s="5">
        <v>-3.2434163489037153E-12</v>
      </c>
      <c r="L413" s="5">
        <v>-3.2434163489037153E-12</v>
      </c>
      <c r="M413" s="5">
        <v>0</v>
      </c>
      <c r="N413" s="5">
        <v>2.0000000000000001E-4</v>
      </c>
      <c r="O413" s="5">
        <v>105.12905844155841</v>
      </c>
      <c r="P413" s="5">
        <v>105.12905844155841</v>
      </c>
      <c r="Q413" s="5">
        <v>6.6925381944444399E-10</v>
      </c>
      <c r="R413" s="5">
        <v>0</v>
      </c>
      <c r="S413" s="5">
        <v>1.19628125E-4</v>
      </c>
      <c r="T413" s="5">
        <v>8.2315625E-6</v>
      </c>
      <c r="U413" s="5">
        <v>8.2315625E-6</v>
      </c>
      <c r="V413" s="5">
        <v>0</v>
      </c>
      <c r="W413" s="5">
        <v>0</v>
      </c>
      <c r="X413" s="5">
        <v>2.0284374999999999</v>
      </c>
      <c r="Y413" s="5">
        <v>4260.3125</v>
      </c>
      <c r="Z413" s="5">
        <f t="shared" ref="Z413:AA413" si="203">Z412+0.0002</f>
        <v>-3.9999999999999986E-4</v>
      </c>
      <c r="AA413" s="5">
        <f t="shared" si="203"/>
        <v>-2.0000000000000006E-4</v>
      </c>
      <c r="AB413" s="4">
        <v>2</v>
      </c>
    </row>
    <row r="414" spans="1:28" x14ac:dyDescent="0.25">
      <c r="C414" s="4">
        <v>6</v>
      </c>
      <c r="D414" s="5">
        <v>137507767478.46259</v>
      </c>
      <c r="E414" s="5">
        <v>137507767478.46259</v>
      </c>
      <c r="F414" s="5">
        <v>0.3326137648266026</v>
      </c>
      <c r="G414" s="5">
        <v>0</v>
      </c>
      <c r="H414" s="5">
        <v>50612500000</v>
      </c>
      <c r="I414" s="5">
        <v>48613958333.333336</v>
      </c>
      <c r="J414" s="5">
        <v>48613958333.333336</v>
      </c>
      <c r="K414" s="5">
        <v>-1.4110247193093944E-11</v>
      </c>
      <c r="L414" s="5">
        <v>-1.4110247193093944E-11</v>
      </c>
      <c r="M414" s="5">
        <v>0</v>
      </c>
      <c r="N414" s="5">
        <v>2.0000000000000001E-4</v>
      </c>
      <c r="O414" s="5">
        <v>104.74449855699854</v>
      </c>
      <c r="P414" s="5">
        <v>104.74449855699854</v>
      </c>
      <c r="Q414" s="5">
        <v>2.6746683256172836E-9</v>
      </c>
      <c r="R414" s="5">
        <v>0</v>
      </c>
      <c r="S414" s="5">
        <v>1.20553125E-4</v>
      </c>
      <c r="T414" s="5">
        <v>1.0340729166666667E-5</v>
      </c>
      <c r="U414" s="5">
        <v>1.0340729166666667E-5</v>
      </c>
      <c r="V414" s="5">
        <v>0</v>
      </c>
      <c r="W414" s="5">
        <v>0</v>
      </c>
      <c r="X414" s="5">
        <v>2.4570486111111114</v>
      </c>
      <c r="Y414" s="5">
        <v>5035.0347222222226</v>
      </c>
      <c r="Z414" s="5">
        <f t="shared" ref="Z414:AA414" si="204">Z413+0.0002</f>
        <v>-1.9999999999999985E-4</v>
      </c>
      <c r="AA414" s="5">
        <f t="shared" si="204"/>
        <v>0</v>
      </c>
      <c r="AB414" s="4">
        <v>2</v>
      </c>
    </row>
    <row r="415" spans="1:28" x14ac:dyDescent="0.25">
      <c r="C415" s="4">
        <v>7</v>
      </c>
      <c r="D415" s="5">
        <v>134321145329.78932</v>
      </c>
      <c r="E415" s="5">
        <v>134321145329.78932</v>
      </c>
      <c r="F415" s="5">
        <v>0.32754796573401679</v>
      </c>
      <c r="G415" s="5">
        <v>0</v>
      </c>
      <c r="H415" s="5">
        <v>49612500000</v>
      </c>
      <c r="I415" s="5">
        <v>48563958333.333336</v>
      </c>
      <c r="J415" s="5">
        <v>48563958333.333336</v>
      </c>
      <c r="K415" s="5">
        <v>-2.0763408934434903E-11</v>
      </c>
      <c r="L415" s="5">
        <v>-2.0763408934434903E-11</v>
      </c>
      <c r="M415" s="5">
        <v>0</v>
      </c>
      <c r="N415" s="5">
        <v>2.0000000000000001E-4</v>
      </c>
      <c r="O415" s="5">
        <v>93.207702020202007</v>
      </c>
      <c r="P415" s="5">
        <v>93.207702020202007</v>
      </c>
      <c r="Q415" s="5">
        <v>3.8948812885802469E-9</v>
      </c>
      <c r="R415" s="5">
        <v>0</v>
      </c>
      <c r="S415" s="5">
        <v>1.08303125E-4</v>
      </c>
      <c r="T415" s="5">
        <v>1.0815729166666666E-5</v>
      </c>
      <c r="U415" s="5">
        <v>1.0815729166666666E-5</v>
      </c>
      <c r="V415" s="5">
        <v>0</v>
      </c>
      <c r="W415" s="5">
        <v>0</v>
      </c>
      <c r="X415" s="5">
        <v>2.5153819444444445</v>
      </c>
      <c r="Y415" s="5">
        <v>5076.7013888888887</v>
      </c>
      <c r="Z415" s="5">
        <f t="shared" ref="Z415:AA415" si="205">Z414+0.0002</f>
        <v>0</v>
      </c>
      <c r="AA415" s="5">
        <f t="shared" si="205"/>
        <v>2.0000000000000001E-4</v>
      </c>
      <c r="AB415" s="4">
        <v>2</v>
      </c>
    </row>
    <row r="416" spans="1:28" x14ac:dyDescent="0.25">
      <c r="C416" s="4">
        <v>8</v>
      </c>
      <c r="D416" s="5">
        <v>112543279786.87953</v>
      </c>
      <c r="E416" s="5">
        <v>112543279786.87953</v>
      </c>
      <c r="F416" s="5">
        <v>0.27663943743785979</v>
      </c>
      <c r="G416" s="5">
        <v>0</v>
      </c>
      <c r="H416" s="5">
        <v>41712500000</v>
      </c>
      <c r="I416" s="5">
        <v>41585625000</v>
      </c>
      <c r="J416" s="5">
        <v>41585625000</v>
      </c>
      <c r="K416" s="5">
        <v>-2.3202901572926591E-11</v>
      </c>
      <c r="L416" s="5">
        <v>-2.3202901572926591E-11</v>
      </c>
      <c r="M416" s="5">
        <v>0</v>
      </c>
      <c r="N416" s="5">
        <v>2.0000000000000001E-4</v>
      </c>
      <c r="O416" s="5">
        <v>70.51866883116881</v>
      </c>
      <c r="P416" s="5">
        <v>70.51866883116881</v>
      </c>
      <c r="Q416" s="5">
        <v>4.3298927083333337E-9</v>
      </c>
      <c r="R416" s="5">
        <v>0</v>
      </c>
      <c r="S416" s="5">
        <v>8.2878125000000004E-5</v>
      </c>
      <c r="T416" s="5">
        <v>9.6565624999999991E-6</v>
      </c>
      <c r="U416" s="5">
        <v>9.6565624999999991E-6</v>
      </c>
      <c r="V416" s="5">
        <v>0</v>
      </c>
      <c r="W416" s="5">
        <v>0</v>
      </c>
      <c r="X416" s="5">
        <v>2.2034374999999997</v>
      </c>
      <c r="Y416" s="5">
        <v>4385.3125</v>
      </c>
      <c r="Z416" s="5">
        <f t="shared" ref="Z416:AA416" si="206">Z415+0.0002</f>
        <v>2.0000000000000001E-4</v>
      </c>
      <c r="AA416" s="5">
        <f t="shared" si="206"/>
        <v>4.0000000000000002E-4</v>
      </c>
      <c r="AB416" s="4">
        <v>2</v>
      </c>
    </row>
    <row r="417" spans="1:28" x14ac:dyDescent="0.25">
      <c r="C417" s="4">
        <v>9</v>
      </c>
      <c r="D417" s="5">
        <v>90234310552.5242</v>
      </c>
      <c r="E417" s="5">
        <v>90234310552.5242</v>
      </c>
      <c r="F417" s="5">
        <v>0.22488660929293858</v>
      </c>
      <c r="G417" s="5">
        <v>0</v>
      </c>
      <c r="H417" s="5">
        <v>33645833333.333328</v>
      </c>
      <c r="I417" s="5">
        <v>34598958333.333336</v>
      </c>
      <c r="J417" s="5">
        <v>34598958333.333336</v>
      </c>
      <c r="K417" s="5">
        <v>-2.6751254501641768E-11</v>
      </c>
      <c r="L417" s="5">
        <v>-2.6751254501641768E-11</v>
      </c>
      <c r="M417" s="5">
        <v>0</v>
      </c>
      <c r="N417" s="5">
        <v>2.0000000000000001E-4</v>
      </c>
      <c r="O417" s="5">
        <v>45.906836219336199</v>
      </c>
      <c r="P417" s="5">
        <v>45.906836219336199</v>
      </c>
      <c r="Q417" s="5">
        <v>4.9682729552469145E-9</v>
      </c>
      <c r="R417" s="5">
        <v>0</v>
      </c>
      <c r="S417" s="5">
        <v>5.5411458333333324E-5</v>
      </c>
      <c r="T417" s="5">
        <v>8.5765624999999993E-6</v>
      </c>
      <c r="U417" s="5">
        <v>8.5765624999999993E-6</v>
      </c>
      <c r="V417" s="5">
        <v>0</v>
      </c>
      <c r="W417" s="5">
        <v>0</v>
      </c>
      <c r="X417" s="5">
        <v>1.9012152777777778</v>
      </c>
      <c r="Y417" s="5">
        <v>3700.8680555555557</v>
      </c>
      <c r="Z417" s="5">
        <f t="shared" ref="Z417:AA417" si="207">Z416+0.0002</f>
        <v>4.0000000000000002E-4</v>
      </c>
      <c r="AA417" s="5">
        <f t="shared" si="207"/>
        <v>6.0000000000000006E-4</v>
      </c>
      <c r="AB417" s="4">
        <v>2</v>
      </c>
    </row>
    <row r="418" spans="1:28" x14ac:dyDescent="0.25">
      <c r="C418" s="4">
        <v>10</v>
      </c>
      <c r="D418" s="5">
        <v>67394237626.723312</v>
      </c>
      <c r="E418" s="5">
        <v>67394237626.723312</v>
      </c>
      <c r="F418" s="5">
        <v>0.17228948129925298</v>
      </c>
      <c r="G418" s="5">
        <v>0</v>
      </c>
      <c r="H418" s="5">
        <v>25412499999.999996</v>
      </c>
      <c r="I418" s="5">
        <v>27603958333.333336</v>
      </c>
      <c r="J418" s="5">
        <v>27603958333.333336</v>
      </c>
      <c r="K418" s="5">
        <v>-3.140846772058045E-11</v>
      </c>
      <c r="L418" s="5">
        <v>-3.140846772058045E-11</v>
      </c>
      <c r="M418" s="5">
        <v>0</v>
      </c>
      <c r="N418" s="5">
        <v>2.0000000000000001E-4</v>
      </c>
      <c r="O418" s="5">
        <v>19.372204184704152</v>
      </c>
      <c r="P418" s="5">
        <v>19.372204184704152</v>
      </c>
      <c r="Q418" s="5">
        <v>5.8100220293209909E-9</v>
      </c>
      <c r="R418" s="5">
        <v>0</v>
      </c>
      <c r="S418" s="5">
        <v>2.5903124999999967E-5</v>
      </c>
      <c r="T418" s="5">
        <v>7.5757291666666652E-6</v>
      </c>
      <c r="U418" s="5">
        <v>7.5757291666666652E-6</v>
      </c>
      <c r="V418" s="5">
        <v>0</v>
      </c>
      <c r="W418" s="5">
        <v>0</v>
      </c>
      <c r="X418" s="5">
        <v>1.6087152777777776</v>
      </c>
      <c r="Y418" s="5">
        <v>3023.3680555555557</v>
      </c>
      <c r="Z418" s="5">
        <f t="shared" ref="Z418:AA418" si="208">Z417+0.0002</f>
        <v>6.0000000000000006E-4</v>
      </c>
      <c r="AA418" s="5">
        <f t="shared" si="208"/>
        <v>8.0000000000000004E-4</v>
      </c>
      <c r="AB418" s="4">
        <v>2</v>
      </c>
    </row>
    <row r="419" spans="1:28" x14ac:dyDescent="0.25">
      <c r="C419" s="4">
        <v>11</v>
      </c>
      <c r="D419" s="5">
        <v>44023061009.476898</v>
      </c>
      <c r="E419" s="5">
        <v>44023061009.476898</v>
      </c>
      <c r="F419" s="5">
        <v>0.11884805345680322</v>
      </c>
      <c r="G419" s="5">
        <v>0</v>
      </c>
      <c r="H419" s="5">
        <v>17012500000</v>
      </c>
      <c r="I419" s="5">
        <v>20600625000</v>
      </c>
      <c r="J419" s="5">
        <v>20600625000</v>
      </c>
      <c r="K419" s="5">
        <v>-3.7174541229742601E-11</v>
      </c>
      <c r="L419" s="5">
        <v>-3.7174541229742601E-11</v>
      </c>
      <c r="M419" s="5">
        <v>0</v>
      </c>
      <c r="N419" s="5">
        <v>2.0000000000000001E-4</v>
      </c>
      <c r="O419" s="5">
        <v>-9.0852272727272734</v>
      </c>
      <c r="P419" s="5">
        <v>-9.0852272727272734</v>
      </c>
      <c r="Q419" s="5">
        <v>6.8551399305555563E-9</v>
      </c>
      <c r="R419" s="5">
        <v>0</v>
      </c>
      <c r="S419" s="5">
        <v>-5.6468749999999933E-6</v>
      </c>
      <c r="T419" s="5">
        <v>6.6540624999999986E-6</v>
      </c>
      <c r="U419" s="5">
        <v>6.6540624999999986E-6</v>
      </c>
      <c r="V419" s="5">
        <v>0</v>
      </c>
      <c r="W419" s="5">
        <v>0</v>
      </c>
      <c r="X419" s="5">
        <v>1.3259375</v>
      </c>
      <c r="Y419" s="5">
        <v>2352.8125</v>
      </c>
      <c r="Z419" s="5">
        <f t="shared" ref="Z419:AA419" si="209">Z418+0.0002</f>
        <v>8.0000000000000004E-4</v>
      </c>
      <c r="AA419" s="5">
        <f t="shared" si="209"/>
        <v>1E-3</v>
      </c>
      <c r="AB419" s="4">
        <v>2</v>
      </c>
    </row>
    <row r="420" spans="1:28" x14ac:dyDescent="0.25">
      <c r="B420" t="s">
        <v>190</v>
      </c>
      <c r="C420" s="11">
        <v>12</v>
      </c>
      <c r="D420" s="5">
        <v>20120780700.784882</v>
      </c>
      <c r="E420" s="5">
        <v>20120780700.784882</v>
      </c>
      <c r="F420" s="5">
        <v>6.4562325765588985E-2</v>
      </c>
      <c r="G420" s="5">
        <v>0</v>
      </c>
      <c r="H420" s="5">
        <v>8445833333.3333206</v>
      </c>
      <c r="I420" s="5">
        <v>13588958333.333328</v>
      </c>
      <c r="J420" s="5">
        <v>13588958333.333328</v>
      </c>
      <c r="K420" s="5">
        <v>-4.4049475029128273E-11</v>
      </c>
      <c r="L420" s="5">
        <v>-4.4049475029128273E-11</v>
      </c>
      <c r="M420" s="5">
        <v>0</v>
      </c>
      <c r="N420" s="5">
        <v>2.0000000000000001E-4</v>
      </c>
      <c r="O420" s="5">
        <v>-39.465458152958199</v>
      </c>
      <c r="P420" s="5">
        <v>-39.465458152958199</v>
      </c>
      <c r="Q420" s="5">
        <v>8.1036266589506206E-9</v>
      </c>
      <c r="R420" s="5">
        <v>0</v>
      </c>
      <c r="S420" s="5">
        <v>-3.9238541666666713E-5</v>
      </c>
      <c r="T420" s="5">
        <v>5.8115624999999961E-6</v>
      </c>
      <c r="U420" s="5">
        <v>5.8115624999999961E-6</v>
      </c>
      <c r="V420" s="5">
        <v>0</v>
      </c>
      <c r="W420" s="5">
        <v>0</v>
      </c>
      <c r="X420" s="5">
        <v>1.0528819444444442</v>
      </c>
      <c r="Y420" s="5">
        <v>1689.2013888888878</v>
      </c>
      <c r="Z420" s="5">
        <f t="shared" ref="Z420:AA420" si="210">Z419+0.0002</f>
        <v>1E-3</v>
      </c>
      <c r="AA420" s="5">
        <f t="shared" si="210"/>
        <v>1.2000000000000001E-3</v>
      </c>
      <c r="AB420" s="4">
        <v>2</v>
      </c>
    </row>
    <row r="421" spans="1:28" x14ac:dyDescent="0.25">
      <c r="A421" t="s">
        <v>83</v>
      </c>
    </row>
    <row r="422" spans="1:28" x14ac:dyDescent="0.25">
      <c r="A422" t="s">
        <v>83</v>
      </c>
    </row>
    <row r="423" spans="1:28" x14ac:dyDescent="0.25">
      <c r="A423" t="s">
        <v>83</v>
      </c>
    </row>
    <row r="424" spans="1:28" x14ac:dyDescent="0.25">
      <c r="A424" t="s">
        <v>83</v>
      </c>
    </row>
    <row r="425" spans="1:28" x14ac:dyDescent="0.25">
      <c r="A425" s="15" t="s">
        <v>74</v>
      </c>
      <c r="C425" s="10" t="s">
        <v>27</v>
      </c>
      <c r="D425" s="10" t="s">
        <v>28</v>
      </c>
      <c r="E425" s="10" t="s">
        <v>29</v>
      </c>
      <c r="F425" s="10" t="s">
        <v>30</v>
      </c>
      <c r="G425" s="10" t="s">
        <v>31</v>
      </c>
      <c r="H425" s="10" t="s">
        <v>47</v>
      </c>
      <c r="I425" s="10" t="s">
        <v>32</v>
      </c>
      <c r="J425" s="10" t="s">
        <v>33</v>
      </c>
      <c r="K425" s="10" t="s">
        <v>34</v>
      </c>
      <c r="L425" s="10" t="s">
        <v>35</v>
      </c>
      <c r="M425" s="10" t="s">
        <v>36</v>
      </c>
      <c r="N425" s="10" t="s">
        <v>37</v>
      </c>
      <c r="O425" s="10" t="s">
        <v>38</v>
      </c>
      <c r="P425" s="10" t="s">
        <v>39</v>
      </c>
      <c r="Q425" s="10" t="s">
        <v>40</v>
      </c>
      <c r="R425" s="10" t="s">
        <v>41</v>
      </c>
      <c r="S425" s="10" t="s">
        <v>42</v>
      </c>
      <c r="T425" s="10" t="s">
        <v>48</v>
      </c>
      <c r="U425" s="10" t="s">
        <v>77</v>
      </c>
      <c r="V425" s="10" t="s">
        <v>78</v>
      </c>
      <c r="W425" s="10" t="s">
        <v>79</v>
      </c>
      <c r="X425" s="10" t="s">
        <v>49</v>
      </c>
      <c r="Y425" s="10" t="s">
        <v>43</v>
      </c>
      <c r="Z425" s="10" t="s">
        <v>44</v>
      </c>
      <c r="AA425" s="10" t="s">
        <v>45</v>
      </c>
      <c r="AB425" s="10" t="s">
        <v>46</v>
      </c>
    </row>
    <row r="426" spans="1:28" x14ac:dyDescent="0.25">
      <c r="A426" s="12" t="s">
        <v>86</v>
      </c>
      <c r="B426" t="s">
        <v>14</v>
      </c>
      <c r="C426" s="11">
        <v>1</v>
      </c>
      <c r="D426" s="5">
        <v>154570780662.97134</v>
      </c>
      <c r="E426" s="5">
        <v>154570780662.97134</v>
      </c>
      <c r="F426" s="5">
        <v>0.36788301471656509</v>
      </c>
      <c r="G426" s="5">
        <v>0</v>
      </c>
      <c r="H426" s="5">
        <v>56499999999.999809</v>
      </c>
      <c r="I426" s="5">
        <v>52199999999.999992</v>
      </c>
      <c r="J426" s="5">
        <v>52199999999.999992</v>
      </c>
      <c r="K426" s="5">
        <v>-1.2592063653464866E-24</v>
      </c>
      <c r="L426" s="5">
        <v>-1.2592063653464866E-24</v>
      </c>
      <c r="M426" s="5">
        <v>0</v>
      </c>
      <c r="N426" s="5">
        <v>2.0000000000000001E-4</v>
      </c>
      <c r="O426" s="5">
        <v>138.44155844155623</v>
      </c>
      <c r="P426" s="5">
        <v>138.44155844155623</v>
      </c>
      <c r="Q426" s="5">
        <v>9.300000000023094E-11</v>
      </c>
      <c r="R426" s="5">
        <v>0</v>
      </c>
      <c r="S426" s="5">
        <v>1.5699999999999766E-4</v>
      </c>
      <c r="T426" s="5">
        <v>1.0000000000000091E-5</v>
      </c>
      <c r="U426" s="5">
        <v>1.0000000000000091E-5</v>
      </c>
      <c r="V426" s="5">
        <v>0</v>
      </c>
      <c r="W426" s="5">
        <v>0</v>
      </c>
      <c r="X426" s="5">
        <v>2.5000000000000111</v>
      </c>
      <c r="Y426" s="5">
        <v>5300.0000000000082</v>
      </c>
      <c r="Z426" s="5">
        <v>-1.1999999999999999E-3</v>
      </c>
      <c r="AA426" s="5">
        <v>-1E-3</v>
      </c>
      <c r="AB426" s="4">
        <v>2</v>
      </c>
    </row>
    <row r="427" spans="1:28" x14ac:dyDescent="0.25">
      <c r="C427" s="4">
        <v>2</v>
      </c>
      <c r="D427" s="5">
        <v>154570780627.35867</v>
      </c>
      <c r="E427" s="5">
        <v>154570780627.35867</v>
      </c>
      <c r="F427" s="5">
        <v>0.36788301465995132</v>
      </c>
      <c r="G427" s="5">
        <v>0</v>
      </c>
      <c r="H427" s="5">
        <v>56499999988.824127</v>
      </c>
      <c r="I427" s="5">
        <v>52199999999.441208</v>
      </c>
      <c r="J427" s="5">
        <v>52199999999.441208</v>
      </c>
      <c r="K427" s="5">
        <v>-7.4354876667346337E-20</v>
      </c>
      <c r="L427" s="5">
        <v>-7.4354876667346337E-20</v>
      </c>
      <c r="M427" s="5">
        <v>0</v>
      </c>
      <c r="N427" s="5">
        <v>2.0000000000000001E-4</v>
      </c>
      <c r="O427" s="5">
        <v>138.44155831262466</v>
      </c>
      <c r="P427" s="5">
        <v>138.44155831262466</v>
      </c>
      <c r="Q427" s="5">
        <v>9.3000013636942542E-11</v>
      </c>
      <c r="R427" s="5">
        <v>0</v>
      </c>
      <c r="S427" s="5">
        <v>1.5699999986309556E-4</v>
      </c>
      <c r="T427" s="5">
        <v>1.0000000005308539E-5</v>
      </c>
      <c r="U427" s="5">
        <v>1.0000000005308539E-5</v>
      </c>
      <c r="V427" s="5">
        <v>0</v>
      </c>
      <c r="W427" s="5">
        <v>0</v>
      </c>
      <c r="X427" s="5">
        <v>2.5000000006519256</v>
      </c>
      <c r="Y427" s="5">
        <v>5300.0000004656613</v>
      </c>
      <c r="Z427" s="5">
        <f t="shared" ref="Z427:AA427" si="211">Z426+0.0002</f>
        <v>-9.999999999999998E-4</v>
      </c>
      <c r="AA427" s="5">
        <f t="shared" si="211"/>
        <v>-8.0000000000000004E-4</v>
      </c>
      <c r="AB427" s="4">
        <v>2</v>
      </c>
    </row>
    <row r="428" spans="1:28" x14ac:dyDescent="0.25">
      <c r="C428" s="4">
        <v>3</v>
      </c>
      <c r="D428" s="5">
        <v>154570774773.18695</v>
      </c>
      <c r="E428" s="5">
        <v>154570774773.18695</v>
      </c>
      <c r="F428" s="5">
        <v>0.36788300535352697</v>
      </c>
      <c r="G428" s="5">
        <v>0</v>
      </c>
      <c r="H428" s="5">
        <v>56499998151.715286</v>
      </c>
      <c r="I428" s="5">
        <v>52199999907.585762</v>
      </c>
      <c r="J428" s="5">
        <v>52199999907.585762</v>
      </c>
      <c r="K428" s="5">
        <v>-1.2296937161587045E-17</v>
      </c>
      <c r="L428" s="5">
        <v>-1.2296937161587045E-17</v>
      </c>
      <c r="M428" s="5">
        <v>0</v>
      </c>
      <c r="N428" s="5">
        <v>2.0000000000000001E-4</v>
      </c>
      <c r="O428" s="5">
        <v>138.44153711827369</v>
      </c>
      <c r="P428" s="5">
        <v>138.44153711827369</v>
      </c>
      <c r="Q428" s="5">
        <v>9.3002255300970071E-11</v>
      </c>
      <c r="R428" s="5">
        <v>0</v>
      </c>
      <c r="S428" s="5">
        <v>1.5699997735851222E-4</v>
      </c>
      <c r="T428" s="5">
        <v>1.0000000877935241E-5</v>
      </c>
      <c r="U428" s="5">
        <v>1.0000000877935241E-5</v>
      </c>
      <c r="V428" s="5">
        <v>0</v>
      </c>
      <c r="W428" s="5">
        <v>0</v>
      </c>
      <c r="X428" s="5">
        <v>2.5000001078166085</v>
      </c>
      <c r="Y428" s="5">
        <v>5300.0000770118631</v>
      </c>
      <c r="Z428" s="5">
        <f t="shared" ref="Z428:AA428" si="212">Z427+0.0002</f>
        <v>-7.9999999999999982E-4</v>
      </c>
      <c r="AA428" s="5">
        <f t="shared" si="212"/>
        <v>-6.0000000000000006E-4</v>
      </c>
      <c r="AB428" s="4">
        <v>2</v>
      </c>
    </row>
    <row r="429" spans="1:28" x14ac:dyDescent="0.25">
      <c r="C429" s="4">
        <v>4</v>
      </c>
      <c r="D429" s="5">
        <v>154570610298.19873</v>
      </c>
      <c r="E429" s="5">
        <v>154570610298.19873</v>
      </c>
      <c r="F429" s="5">
        <v>0.36788274388630338</v>
      </c>
      <c r="G429" s="5">
        <v>0</v>
      </c>
      <c r="H429" s="5">
        <v>56499946537.504211</v>
      </c>
      <c r="I429" s="5">
        <v>52199997326.875214</v>
      </c>
      <c r="J429" s="5">
        <v>52199997326.875214</v>
      </c>
      <c r="K429" s="5">
        <v>-3.5569463159364114E-16</v>
      </c>
      <c r="L429" s="5">
        <v>-3.5569463159364114E-16</v>
      </c>
      <c r="M429" s="5">
        <v>0</v>
      </c>
      <c r="N429" s="5">
        <v>2.0000000000000001E-4</v>
      </c>
      <c r="O429" s="5">
        <v>138.44094165562211</v>
      </c>
      <c r="P429" s="5">
        <v>138.44094165562211</v>
      </c>
      <c r="Q429" s="5">
        <v>9.3065235630396597E-11</v>
      </c>
      <c r="R429" s="5">
        <v>0</v>
      </c>
      <c r="S429" s="5">
        <v>1.5699934508442656E-4</v>
      </c>
      <c r="T429" s="5">
        <v>1.0000025394685501E-5</v>
      </c>
      <c r="U429" s="5">
        <v>1.0000025394685501E-5</v>
      </c>
      <c r="V429" s="5">
        <v>0</v>
      </c>
      <c r="W429" s="5">
        <v>0</v>
      </c>
      <c r="X429" s="5">
        <v>2.500003118645588</v>
      </c>
      <c r="Y429" s="5">
        <v>5300.0022276039917</v>
      </c>
      <c r="Z429" s="5">
        <f t="shared" ref="Z429:AA429" si="213">Z428+0.0002</f>
        <v>-5.9999999999999984E-4</v>
      </c>
      <c r="AA429" s="5">
        <f t="shared" si="213"/>
        <v>-4.0000000000000007E-4</v>
      </c>
      <c r="AB429" s="4">
        <v>2</v>
      </c>
    </row>
    <row r="430" spans="1:28" x14ac:dyDescent="0.25">
      <c r="C430" s="4">
        <v>5</v>
      </c>
      <c r="D430" s="5">
        <v>154568677734.53552</v>
      </c>
      <c r="E430" s="5">
        <v>154568677734.53552</v>
      </c>
      <c r="F430" s="5">
        <v>0.36787967167416313</v>
      </c>
      <c r="G430" s="5">
        <v>0</v>
      </c>
      <c r="H430" s="5">
        <v>56499340075.999496</v>
      </c>
      <c r="I430" s="5">
        <v>52199967003.799973</v>
      </c>
      <c r="J430" s="5">
        <v>52199967003.799973</v>
      </c>
      <c r="K430" s="5">
        <v>-4.3905811123301336E-15</v>
      </c>
      <c r="L430" s="5">
        <v>-4.3905811123301336E-15</v>
      </c>
      <c r="M430" s="5">
        <v>0</v>
      </c>
      <c r="N430" s="5">
        <v>2.0000000000000001E-4</v>
      </c>
      <c r="O430" s="5">
        <v>138.43394503263488</v>
      </c>
      <c r="P430" s="5">
        <v>138.43394503263488</v>
      </c>
      <c r="Q430" s="5">
        <v>9.3805247819982474E-11</v>
      </c>
      <c r="R430" s="5">
        <v>0</v>
      </c>
      <c r="S430" s="5">
        <v>1.5699191593099385E-4</v>
      </c>
      <c r="T430" s="5">
        <v>1.0000313463900238E-5</v>
      </c>
      <c r="U430" s="5">
        <v>1.0000313463900238E-5</v>
      </c>
      <c r="V430" s="5">
        <v>0</v>
      </c>
      <c r="W430" s="5">
        <v>0</v>
      </c>
      <c r="X430" s="5">
        <v>2.5000384955666961</v>
      </c>
      <c r="Y430" s="5">
        <v>5300.0274968333542</v>
      </c>
      <c r="Z430" s="5">
        <f t="shared" ref="Z430:AA430" si="214">Z429+0.0002</f>
        <v>-3.9999999999999986E-4</v>
      </c>
      <c r="AA430" s="5">
        <f t="shared" si="214"/>
        <v>-2.0000000000000006E-4</v>
      </c>
      <c r="AB430" s="4">
        <v>2</v>
      </c>
    </row>
    <row r="431" spans="1:28" x14ac:dyDescent="0.25">
      <c r="C431" s="4">
        <v>6</v>
      </c>
      <c r="D431" s="5">
        <v>154555137439.44891</v>
      </c>
      <c r="E431" s="5">
        <v>154555137439.44891</v>
      </c>
      <c r="F431" s="5">
        <v>0.36785814655717003</v>
      </c>
      <c r="G431" s="5">
        <v>0</v>
      </c>
      <c r="H431" s="5">
        <v>56495090970.06385</v>
      </c>
      <c r="I431" s="5">
        <v>52199754548.503189</v>
      </c>
      <c r="J431" s="5">
        <v>52199754548.503189</v>
      </c>
      <c r="K431" s="5">
        <v>-3.2660570158274453E-14</v>
      </c>
      <c r="L431" s="5">
        <v>-3.2660570158274453E-14</v>
      </c>
      <c r="M431" s="5">
        <v>0</v>
      </c>
      <c r="N431" s="5">
        <v>2.0000000000000001E-4</v>
      </c>
      <c r="O431" s="5">
        <v>138.38492396199203</v>
      </c>
      <c r="P431" s="5">
        <v>138.38492396199203</v>
      </c>
      <c r="Q431" s="5">
        <v>9.8990061963660517E-11</v>
      </c>
      <c r="R431" s="5">
        <v>0</v>
      </c>
      <c r="S431" s="5">
        <v>1.5693986438328219E-4</v>
      </c>
      <c r="T431" s="5">
        <v>1.0002331789219671E-5</v>
      </c>
      <c r="U431" s="5">
        <v>1.0002331789219671E-5</v>
      </c>
      <c r="V431" s="5">
        <v>0</v>
      </c>
      <c r="W431" s="5">
        <v>0</v>
      </c>
      <c r="X431" s="5">
        <v>2.5002863600796088</v>
      </c>
      <c r="Y431" s="5">
        <v>5300.2045429140062</v>
      </c>
      <c r="Z431" s="5">
        <f t="shared" ref="Z431:AA431" si="215">Z430+0.0002</f>
        <v>-1.9999999999999985E-4</v>
      </c>
      <c r="AA431" s="5">
        <f t="shared" si="215"/>
        <v>0</v>
      </c>
      <c r="AB431" s="4">
        <v>2</v>
      </c>
    </row>
    <row r="432" spans="1:28" x14ac:dyDescent="0.25">
      <c r="C432" s="4">
        <v>7</v>
      </c>
      <c r="D432" s="5">
        <v>154487636278.52686</v>
      </c>
      <c r="E432" s="5">
        <v>154487636278.52686</v>
      </c>
      <c r="F432" s="5">
        <v>0.36775083941380821</v>
      </c>
      <c r="G432" s="5">
        <v>0</v>
      </c>
      <c r="H432" s="5">
        <v>56473908301.46595</v>
      </c>
      <c r="I432" s="5">
        <v>52198695415.073296</v>
      </c>
      <c r="J432" s="5">
        <v>52198695415.073296</v>
      </c>
      <c r="K432" s="5">
        <v>-1.735922904533313E-13</v>
      </c>
      <c r="L432" s="5">
        <v>-1.735922904533313E-13</v>
      </c>
      <c r="M432" s="5">
        <v>0</v>
      </c>
      <c r="N432" s="5">
        <v>2.0000000000000001E-4</v>
      </c>
      <c r="O432" s="5">
        <v>138.14054382427167</v>
      </c>
      <c r="P432" s="5">
        <v>138.14054382427167</v>
      </c>
      <c r="Q432" s="5">
        <v>1.2483742877696733E-10</v>
      </c>
      <c r="R432" s="5">
        <v>0</v>
      </c>
      <c r="S432" s="5">
        <v>1.5668037669295791E-4</v>
      </c>
      <c r="T432" s="5">
        <v>1.0012393556803674E-5</v>
      </c>
      <c r="U432" s="5">
        <v>1.0012393556803674E-5</v>
      </c>
      <c r="V432" s="5">
        <v>0</v>
      </c>
      <c r="W432" s="5">
        <v>0</v>
      </c>
      <c r="X432" s="5">
        <v>2.5015220157478195</v>
      </c>
      <c r="Y432" s="5">
        <v>5301.0871541055849</v>
      </c>
      <c r="Z432" s="5">
        <f t="shared" ref="Z432:AA432" si="216">Z431+0.0002</f>
        <v>0</v>
      </c>
      <c r="AA432" s="5">
        <f t="shared" si="216"/>
        <v>2.0000000000000001E-4</v>
      </c>
      <c r="AB432" s="4">
        <v>2</v>
      </c>
    </row>
    <row r="433" spans="1:28" x14ac:dyDescent="0.25">
      <c r="C433" s="4">
        <v>8</v>
      </c>
      <c r="D433" s="5">
        <v>154222994747.67947</v>
      </c>
      <c r="E433" s="5">
        <v>154222994747.67947</v>
      </c>
      <c r="F433" s="5">
        <v>0.36733013662437169</v>
      </c>
      <c r="G433" s="5">
        <v>0</v>
      </c>
      <c r="H433" s="5">
        <v>56390860635.787247</v>
      </c>
      <c r="I433" s="5">
        <v>52194543031.78936</v>
      </c>
      <c r="J433" s="5">
        <v>52194543031.78936</v>
      </c>
      <c r="K433" s="5">
        <v>-7.2612184245455407E-13</v>
      </c>
      <c r="L433" s="5">
        <v>-7.2612184245455407E-13</v>
      </c>
      <c r="M433" s="5">
        <v>0</v>
      </c>
      <c r="N433" s="5">
        <v>2.0000000000000001E-4</v>
      </c>
      <c r="O433" s="5">
        <v>137.18243980248056</v>
      </c>
      <c r="P433" s="5">
        <v>137.18243980248056</v>
      </c>
      <c r="Q433" s="5">
        <v>2.2617326698193537E-10</v>
      </c>
      <c r="R433" s="5">
        <v>0</v>
      </c>
      <c r="S433" s="5">
        <v>1.5566304278839379E-4</v>
      </c>
      <c r="T433" s="5">
        <v>1.0051841198001058E-5</v>
      </c>
      <c r="U433" s="5">
        <v>1.0051841198001058E-5</v>
      </c>
      <c r="V433" s="5">
        <v>0</v>
      </c>
      <c r="W433" s="5">
        <v>0</v>
      </c>
      <c r="X433" s="5">
        <v>2.5063664629124105</v>
      </c>
      <c r="Y433" s="5">
        <v>5304.5474735088646</v>
      </c>
      <c r="Z433" s="5">
        <f t="shared" ref="Z433:AA433" si="217">Z432+0.0002</f>
        <v>2.0000000000000001E-4</v>
      </c>
      <c r="AA433" s="5">
        <f t="shared" si="217"/>
        <v>4.0000000000000002E-4</v>
      </c>
      <c r="AB433" s="4">
        <v>2</v>
      </c>
    </row>
    <row r="434" spans="1:28" x14ac:dyDescent="0.25">
      <c r="C434" s="4">
        <v>9</v>
      </c>
      <c r="D434" s="5">
        <v>153354906547.05957</v>
      </c>
      <c r="E434" s="5">
        <v>153354906547.05957</v>
      </c>
      <c r="F434" s="5">
        <v>0.36595012976638397</v>
      </c>
      <c r="G434" s="5">
        <v>0</v>
      </c>
      <c r="H434" s="5">
        <v>56118444214.850327</v>
      </c>
      <c r="I434" s="5">
        <v>52180922210.742516</v>
      </c>
      <c r="J434" s="5">
        <v>52180922210.742516</v>
      </c>
      <c r="K434" s="5">
        <v>-2.5385523519451286E-12</v>
      </c>
      <c r="L434" s="5">
        <v>-2.5385523519451286E-12</v>
      </c>
      <c r="M434" s="5">
        <v>0</v>
      </c>
      <c r="N434" s="5">
        <v>2.0000000000000001E-4</v>
      </c>
      <c r="O434" s="5">
        <v>134.03962698084896</v>
      </c>
      <c r="P434" s="5">
        <v>134.03962698084896</v>
      </c>
      <c r="Q434" s="5">
        <v>5.5857931513314485E-10</v>
      </c>
      <c r="R434" s="5">
        <v>0</v>
      </c>
      <c r="S434" s="5">
        <v>1.5232594163191649E-4</v>
      </c>
      <c r="T434" s="5">
        <v>1.0181238997946096E-5</v>
      </c>
      <c r="U434" s="5">
        <v>1.0181238997946096E-5</v>
      </c>
      <c r="V434" s="5">
        <v>0</v>
      </c>
      <c r="W434" s="5">
        <v>0</v>
      </c>
      <c r="X434" s="5">
        <v>2.5222574208003978</v>
      </c>
      <c r="Y434" s="5">
        <v>5315.8981577145696</v>
      </c>
      <c r="Z434" s="5">
        <f t="shared" ref="Z434:AA434" si="218">Z433+0.0002</f>
        <v>4.0000000000000002E-4</v>
      </c>
      <c r="AA434" s="5">
        <f t="shared" si="218"/>
        <v>6.0000000000000006E-4</v>
      </c>
      <c r="AB434" s="4">
        <v>2</v>
      </c>
    </row>
    <row r="435" spans="1:28" x14ac:dyDescent="0.25">
      <c r="C435" s="4">
        <v>10</v>
      </c>
      <c r="D435" s="5">
        <v>150873048857.26376</v>
      </c>
      <c r="E435" s="5">
        <v>150873048857.26376</v>
      </c>
      <c r="F435" s="5">
        <v>0.36200470045399141</v>
      </c>
      <c r="G435" s="5">
        <v>0</v>
      </c>
      <c r="H435" s="5">
        <v>55339607699.567482</v>
      </c>
      <c r="I435" s="5">
        <v>52141980384.978371</v>
      </c>
      <c r="J435" s="5">
        <v>52141980384.978371</v>
      </c>
      <c r="K435" s="5">
        <v>-7.7202776581842645E-12</v>
      </c>
      <c r="L435" s="5">
        <v>-7.7202776581842645E-12</v>
      </c>
      <c r="M435" s="5">
        <v>0</v>
      </c>
      <c r="N435" s="5">
        <v>2.0000000000000001E-4</v>
      </c>
      <c r="O435" s="5">
        <v>125.05434856860316</v>
      </c>
      <c r="P435" s="5">
        <v>125.05434856860316</v>
      </c>
      <c r="Q435" s="5">
        <v>1.5089257271101739E-9</v>
      </c>
      <c r="R435" s="5">
        <v>0</v>
      </c>
      <c r="S435" s="5">
        <v>1.4278519431970162E-4</v>
      </c>
      <c r="T435" s="5">
        <v>1.0551186342705448E-5</v>
      </c>
      <c r="U435" s="5">
        <v>1.0551186342705448E-5</v>
      </c>
      <c r="V435" s="5">
        <v>0</v>
      </c>
      <c r="W435" s="5">
        <v>0</v>
      </c>
      <c r="X435" s="5">
        <v>2.5676895508585638</v>
      </c>
      <c r="Y435" s="5">
        <v>5348.3496791846883</v>
      </c>
      <c r="Z435" s="5">
        <f t="shared" ref="Z435:AA435" si="219">Z434+0.0002</f>
        <v>6.0000000000000006E-4</v>
      </c>
      <c r="AA435" s="5">
        <f t="shared" si="219"/>
        <v>8.0000000000000004E-4</v>
      </c>
      <c r="AB435" s="4">
        <v>2</v>
      </c>
    </row>
    <row r="436" spans="1:28" x14ac:dyDescent="0.25">
      <c r="C436" s="4">
        <v>11</v>
      </c>
      <c r="D436" s="5">
        <v>144510911169.62833</v>
      </c>
      <c r="E436" s="5">
        <v>144510911169.62833</v>
      </c>
      <c r="F436" s="5">
        <v>0.35189075853641949</v>
      </c>
      <c r="G436" s="5">
        <v>0</v>
      </c>
      <c r="H436" s="5">
        <v>53343093086.034058</v>
      </c>
      <c r="I436" s="5">
        <v>52042154654.301704</v>
      </c>
      <c r="J436" s="5">
        <v>52042154654.301704</v>
      </c>
      <c r="K436" s="5">
        <v>-2.1003412300972946E-11</v>
      </c>
      <c r="L436" s="5">
        <v>-2.1003412300972946E-11</v>
      </c>
      <c r="M436" s="5">
        <v>0</v>
      </c>
      <c r="N436" s="5">
        <v>2.0000000000000001E-4</v>
      </c>
      <c r="O436" s="5">
        <v>102.02096568952712</v>
      </c>
      <c r="P436" s="5">
        <v>102.02096568952712</v>
      </c>
      <c r="Q436" s="5">
        <v>3.9450987392886447E-9</v>
      </c>
      <c r="R436" s="5">
        <v>0</v>
      </c>
      <c r="S436" s="5">
        <v>1.1832789030391723E-4</v>
      </c>
      <c r="T436" s="5">
        <v>1.1499530784133822E-5</v>
      </c>
      <c r="U436" s="5">
        <v>1.1499530784133822E-5</v>
      </c>
      <c r="V436" s="5">
        <v>0</v>
      </c>
      <c r="W436" s="5">
        <v>0</v>
      </c>
      <c r="X436" s="5">
        <v>2.68415290331468</v>
      </c>
      <c r="Y436" s="5">
        <v>5431.5377880819142</v>
      </c>
      <c r="Z436" s="5">
        <f t="shared" ref="Z436:AA436" si="220">Z435+0.0002</f>
        <v>8.0000000000000004E-4</v>
      </c>
      <c r="AA436" s="5">
        <f t="shared" si="220"/>
        <v>1E-3</v>
      </c>
      <c r="AB436" s="4">
        <v>2</v>
      </c>
    </row>
    <row r="437" spans="1:28" x14ac:dyDescent="0.25">
      <c r="B437" t="s">
        <v>190</v>
      </c>
      <c r="C437" s="11">
        <v>12</v>
      </c>
      <c r="D437" s="5">
        <v>129585872382.24188</v>
      </c>
      <c r="E437" s="5">
        <v>129585872382.24188</v>
      </c>
      <c r="F437" s="5">
        <v>0.32816430324349155</v>
      </c>
      <c r="G437" s="5">
        <v>0</v>
      </c>
      <c r="H437" s="5">
        <v>48659438077.359627</v>
      </c>
      <c r="I437" s="5">
        <v>51807971903.867981</v>
      </c>
      <c r="J437" s="5">
        <v>51807971903.867981</v>
      </c>
      <c r="K437" s="5">
        <v>-5.216452661432565E-11</v>
      </c>
      <c r="L437" s="5">
        <v>-5.216452661432565E-11</v>
      </c>
      <c r="M437" s="5">
        <v>0</v>
      </c>
      <c r="N437" s="5">
        <v>2.0000000000000001E-4</v>
      </c>
      <c r="O437" s="5">
        <v>47.986590805902154</v>
      </c>
      <c r="P437" s="5">
        <v>47.986590805902154</v>
      </c>
      <c r="Q437" s="5">
        <v>9.660155294919599E-9</v>
      </c>
      <c r="R437" s="5">
        <v>0</v>
      </c>
      <c r="S437" s="5">
        <v>6.0953116447655389E-5</v>
      </c>
      <c r="T437" s="5">
        <v>1.3724266913254178E-5</v>
      </c>
      <c r="U437" s="5">
        <v>1.3724266913254178E-5</v>
      </c>
      <c r="V437" s="5">
        <v>0</v>
      </c>
      <c r="W437" s="5">
        <v>0</v>
      </c>
      <c r="X437" s="5">
        <v>2.957366112154022</v>
      </c>
      <c r="Y437" s="5">
        <v>5626.6900801100155</v>
      </c>
      <c r="Z437" s="5">
        <f t="shared" ref="Z437:AA437" si="221">Z436+0.0002</f>
        <v>1E-3</v>
      </c>
      <c r="AA437" s="5">
        <f t="shared" si="221"/>
        <v>1.2000000000000001E-3</v>
      </c>
      <c r="AB437" s="4">
        <v>2</v>
      </c>
    </row>
    <row r="441" spans="1:28" x14ac:dyDescent="0.25">
      <c r="A441" s="15" t="s">
        <v>82</v>
      </c>
      <c r="C441" s="10" t="s">
        <v>27</v>
      </c>
      <c r="D441" s="10" t="s">
        <v>28</v>
      </c>
      <c r="E441" s="10" t="s">
        <v>29</v>
      </c>
      <c r="F441" s="10" t="s">
        <v>30</v>
      </c>
      <c r="G441" s="10" t="s">
        <v>31</v>
      </c>
      <c r="H441" s="10" t="s">
        <v>47</v>
      </c>
      <c r="I441" s="10" t="s">
        <v>32</v>
      </c>
      <c r="J441" s="10" t="s">
        <v>33</v>
      </c>
      <c r="K441" s="10" t="s">
        <v>34</v>
      </c>
      <c r="L441" s="10" t="s">
        <v>35</v>
      </c>
      <c r="M441" s="10" t="s">
        <v>36</v>
      </c>
      <c r="N441" s="10" t="s">
        <v>37</v>
      </c>
      <c r="O441" s="10" t="s">
        <v>38</v>
      </c>
      <c r="P441" s="10" t="s">
        <v>39</v>
      </c>
      <c r="Q441" s="10" t="s">
        <v>40</v>
      </c>
      <c r="R441" s="10" t="s">
        <v>41</v>
      </c>
      <c r="S441" s="10" t="s">
        <v>42</v>
      </c>
      <c r="T441" s="10" t="s">
        <v>48</v>
      </c>
      <c r="U441" s="10" t="s">
        <v>77</v>
      </c>
      <c r="V441" s="10" t="s">
        <v>78</v>
      </c>
      <c r="W441" s="10" t="s">
        <v>79</v>
      </c>
      <c r="X441" s="10" t="s">
        <v>49</v>
      </c>
      <c r="Y441" s="10" t="s">
        <v>43</v>
      </c>
      <c r="Z441" s="10" t="s">
        <v>44</v>
      </c>
      <c r="AA441" s="10" t="s">
        <v>45</v>
      </c>
      <c r="AB441" s="10" t="s">
        <v>46</v>
      </c>
    </row>
    <row r="442" spans="1:28" x14ac:dyDescent="0.25">
      <c r="A442" s="12" t="s">
        <v>86</v>
      </c>
      <c r="B442" t="s">
        <v>14</v>
      </c>
      <c r="C442" s="11">
        <v>1</v>
      </c>
      <c r="D442" s="5">
        <v>104905396480.29614</v>
      </c>
      <c r="E442" s="5">
        <v>104905396480.29614</v>
      </c>
      <c r="F442" s="5">
        <v>0.24413733399084631</v>
      </c>
      <c r="G442" s="5">
        <v>0</v>
      </c>
      <c r="H442" s="5">
        <v>37983333333.333138</v>
      </c>
      <c r="I442" s="5">
        <v>33169999999.999989</v>
      </c>
      <c r="J442" s="5">
        <v>33169999999.999989</v>
      </c>
      <c r="K442" s="5">
        <v>1.4636955830948851E-11</v>
      </c>
      <c r="L442" s="5">
        <v>1.4636955830948851E-11</v>
      </c>
      <c r="M442" s="5">
        <v>0</v>
      </c>
      <c r="N442" s="5">
        <v>2.0000000000000001E-4</v>
      </c>
      <c r="O442" s="5">
        <v>113.06060606060385</v>
      </c>
      <c r="P442" s="5">
        <v>113.06060606060385</v>
      </c>
      <c r="Q442" s="5">
        <v>-2.6255685185182884E-9</v>
      </c>
      <c r="R442" s="5">
        <v>0</v>
      </c>
      <c r="S442" s="5">
        <v>1.2638333333333098E-4</v>
      </c>
      <c r="T442" s="5">
        <v>5.2883333333334222E-6</v>
      </c>
      <c r="U442" s="5">
        <v>5.2883333333334222E-6</v>
      </c>
      <c r="V442" s="5">
        <v>0</v>
      </c>
      <c r="W442" s="5">
        <v>0</v>
      </c>
      <c r="X442" s="5">
        <v>1.4550000000000107</v>
      </c>
      <c r="Y442" s="5">
        <v>3265.0000000000077</v>
      </c>
      <c r="Z442" s="5">
        <v>-1.1999999999999999E-3</v>
      </c>
      <c r="AA442" s="5">
        <v>-1E-3</v>
      </c>
      <c r="AB442" s="4">
        <v>2</v>
      </c>
    </row>
    <row r="443" spans="1:28" x14ac:dyDescent="0.25">
      <c r="C443" s="4">
        <v>2</v>
      </c>
      <c r="D443" s="5">
        <v>113935466296.07896</v>
      </c>
      <c r="E443" s="5">
        <v>113935466296.07896</v>
      </c>
      <c r="F443" s="5">
        <v>0.26663654861163599</v>
      </c>
      <c r="G443" s="5">
        <v>0</v>
      </c>
      <c r="H443" s="5">
        <v>41349999988.824127</v>
      </c>
      <c r="I443" s="5">
        <v>36629999999.441208</v>
      </c>
      <c r="J443" s="5">
        <v>36629999999.441208</v>
      </c>
      <c r="K443" s="5">
        <v>1.197569106005885E-11</v>
      </c>
      <c r="L443" s="5">
        <v>1.197569106005885E-11</v>
      </c>
      <c r="M443" s="5">
        <v>0</v>
      </c>
      <c r="N443" s="5">
        <v>2.0000000000000001E-4</v>
      </c>
      <c r="O443" s="5">
        <v>117.6753245463909</v>
      </c>
      <c r="P443" s="5">
        <v>117.6753245463909</v>
      </c>
      <c r="Q443" s="5">
        <v>-2.1312833196963912E-9</v>
      </c>
      <c r="R443" s="5">
        <v>0</v>
      </c>
      <c r="S443" s="5">
        <v>1.3194999986309555E-4</v>
      </c>
      <c r="T443" s="5">
        <v>6.1450000053085389E-6</v>
      </c>
      <c r="U443" s="5">
        <v>6.1450000053085389E-6</v>
      </c>
      <c r="V443" s="5">
        <v>0</v>
      </c>
      <c r="W443" s="5">
        <v>0</v>
      </c>
      <c r="X443" s="5">
        <v>1.6450000006519256</v>
      </c>
      <c r="Y443" s="5">
        <v>3635.0000004656613</v>
      </c>
      <c r="Z443" s="5">
        <f t="shared" ref="Z443:AA443" si="222">Z442+0.0002</f>
        <v>-9.999999999999998E-4</v>
      </c>
      <c r="AA443" s="5">
        <f t="shared" si="222"/>
        <v>-8.0000000000000004E-4</v>
      </c>
      <c r="AB443" s="4">
        <v>2</v>
      </c>
    </row>
    <row r="444" spans="1:28" x14ac:dyDescent="0.25">
      <c r="C444" s="4">
        <v>3</v>
      </c>
      <c r="D444" s="5">
        <v>122965530293.30273</v>
      </c>
      <c r="E444" s="5">
        <v>122965530293.30273</v>
      </c>
      <c r="F444" s="5">
        <v>0.28913575398261504</v>
      </c>
      <c r="G444" s="5">
        <v>0</v>
      </c>
      <c r="H444" s="5">
        <v>44716664818.38195</v>
      </c>
      <c r="I444" s="5">
        <v>40089999907.585762</v>
      </c>
      <c r="J444" s="5">
        <v>40089999907.585762</v>
      </c>
      <c r="K444" s="5">
        <v>9.3144141409401816E-12</v>
      </c>
      <c r="L444" s="5">
        <v>9.3144141409401816E-12</v>
      </c>
      <c r="M444" s="5">
        <v>0</v>
      </c>
      <c r="N444" s="5">
        <v>2.0000000000000001E-4</v>
      </c>
      <c r="O444" s="5">
        <v>122.29002196675853</v>
      </c>
      <c r="P444" s="5">
        <v>122.29002196675853</v>
      </c>
      <c r="Q444" s="5">
        <v>-1.6369958928471783E-9</v>
      </c>
      <c r="R444" s="5">
        <v>0</v>
      </c>
      <c r="S444" s="5">
        <v>1.3751664402517888E-4</v>
      </c>
      <c r="T444" s="5">
        <v>7.0016675446019069E-6</v>
      </c>
      <c r="U444" s="5">
        <v>7.0016675446019069E-6</v>
      </c>
      <c r="V444" s="5">
        <v>0</v>
      </c>
      <c r="W444" s="5">
        <v>0</v>
      </c>
      <c r="X444" s="5">
        <v>1.8350001078166085</v>
      </c>
      <c r="Y444" s="5">
        <v>4005.0000770118631</v>
      </c>
      <c r="Z444" s="5">
        <f t="shared" ref="Z444:AA444" si="223">Z443+0.0002</f>
        <v>-7.9999999999999982E-4</v>
      </c>
      <c r="AA444" s="5">
        <f t="shared" si="223"/>
        <v>-6.0000000000000006E-4</v>
      </c>
      <c r="AB444" s="4">
        <v>2</v>
      </c>
    </row>
    <row r="445" spans="1:28" x14ac:dyDescent="0.25">
      <c r="C445" s="4">
        <v>4</v>
      </c>
      <c r="D445" s="5">
        <v>131995435669.71001</v>
      </c>
      <c r="E445" s="5">
        <v>131995435669.71001</v>
      </c>
      <c r="F445" s="5">
        <v>0.31163470719279485</v>
      </c>
      <c r="G445" s="5">
        <v>0</v>
      </c>
      <c r="H445" s="5">
        <v>48083279870.837547</v>
      </c>
      <c r="I445" s="5">
        <v>43549997326.875214</v>
      </c>
      <c r="J445" s="5">
        <v>43549997326.875214</v>
      </c>
      <c r="K445" s="5">
        <v>6.6528060467093644E-12</v>
      </c>
      <c r="L445" s="5">
        <v>6.6528060467093644E-12</v>
      </c>
      <c r="M445" s="5">
        <v>0</v>
      </c>
      <c r="N445" s="5">
        <v>2.0000000000000001E-4</v>
      </c>
      <c r="O445" s="5">
        <v>126.90414511882557</v>
      </c>
      <c r="P445" s="5">
        <v>126.90414511882557</v>
      </c>
      <c r="Q445" s="5">
        <v>-1.1426477273325667E-9</v>
      </c>
      <c r="R445" s="5">
        <v>0</v>
      </c>
      <c r="S445" s="5">
        <v>1.430826784177599E-4</v>
      </c>
      <c r="T445" s="5">
        <v>7.858358728018834E-6</v>
      </c>
      <c r="U445" s="5">
        <v>7.858358728018834E-6</v>
      </c>
      <c r="V445" s="5">
        <v>0</v>
      </c>
      <c r="W445" s="5">
        <v>0</v>
      </c>
      <c r="X445" s="5">
        <v>2.0250031186455879</v>
      </c>
      <c r="Y445" s="5">
        <v>4375.0022276039917</v>
      </c>
      <c r="Z445" s="5">
        <f t="shared" ref="Z445:AA445" si="224">Z444+0.0002</f>
        <v>-5.9999999999999984E-4</v>
      </c>
      <c r="AA445" s="5">
        <f t="shared" si="224"/>
        <v>-4.0000000000000007E-4</v>
      </c>
      <c r="AB445" s="4">
        <v>2</v>
      </c>
    </row>
    <row r="446" spans="1:28" x14ac:dyDescent="0.25">
      <c r="C446" s="4">
        <v>5</v>
      </c>
      <c r="D446" s="5">
        <v>141023572957.44229</v>
      </c>
      <c r="E446" s="5">
        <v>141023572957.44229</v>
      </c>
      <c r="F446" s="5">
        <v>0.334130849658058</v>
      </c>
      <c r="G446" s="5">
        <v>0</v>
      </c>
      <c r="H446" s="5">
        <v>51449340075.999496</v>
      </c>
      <c r="I446" s="5">
        <v>47009967003.799973</v>
      </c>
      <c r="J446" s="5">
        <v>47009967003.799973</v>
      </c>
      <c r="K446" s="5">
        <v>3.9875064636922454E-12</v>
      </c>
      <c r="L446" s="5">
        <v>3.9875064636922454E-12</v>
      </c>
      <c r="M446" s="5">
        <v>0</v>
      </c>
      <c r="N446" s="5">
        <v>2.0000000000000001E-4</v>
      </c>
      <c r="O446" s="5">
        <v>131.51186711055695</v>
      </c>
      <c r="P446" s="5">
        <v>131.51186711055695</v>
      </c>
      <c r="Q446" s="5">
        <v>-6.4762252995779557E-10</v>
      </c>
      <c r="R446" s="5">
        <v>0</v>
      </c>
      <c r="S446" s="5">
        <v>1.4864191593099384E-4</v>
      </c>
      <c r="T446" s="5">
        <v>8.7153134639002381E-6</v>
      </c>
      <c r="U446" s="5">
        <v>8.7153134639002381E-6</v>
      </c>
      <c r="V446" s="5">
        <v>0</v>
      </c>
      <c r="W446" s="5">
        <v>0</v>
      </c>
      <c r="X446" s="5">
        <v>2.215038495566696</v>
      </c>
      <c r="Y446" s="5">
        <v>4745.0274968333542</v>
      </c>
      <c r="Z446" s="5">
        <f t="shared" ref="Z446:AA446" si="225">Z445+0.0002</f>
        <v>-3.9999999999999986E-4</v>
      </c>
      <c r="AA446" s="5">
        <f t="shared" si="225"/>
        <v>-2.0000000000000006E-4</v>
      </c>
      <c r="AB446" s="4">
        <v>2</v>
      </c>
    </row>
    <row r="447" spans="1:28" x14ac:dyDescent="0.25">
      <c r="C447" s="4">
        <v>6</v>
      </c>
      <c r="D447" s="5">
        <v>150040102513.75116</v>
      </c>
      <c r="E447" s="5">
        <v>150040102513.75116</v>
      </c>
      <c r="F447" s="5">
        <v>0.3566085392184683</v>
      </c>
      <c r="G447" s="5">
        <v>0</v>
      </c>
      <c r="H447" s="5">
        <v>54811757636.730515</v>
      </c>
      <c r="I447" s="5">
        <v>50469754548.503189</v>
      </c>
      <c r="J447" s="5">
        <v>50469754548.503189</v>
      </c>
      <c r="K447" s="5">
        <v>1.2979717781099176E-12</v>
      </c>
      <c r="L447" s="5">
        <v>1.2979717781099176E-12</v>
      </c>
      <c r="M447" s="5">
        <v>0</v>
      </c>
      <c r="N447" s="5">
        <v>2.0000000000000001E-4</v>
      </c>
      <c r="O447" s="5">
        <v>136.07756465463271</v>
      </c>
      <c r="P447" s="5">
        <v>136.07756465463271</v>
      </c>
      <c r="Q447" s="5">
        <v>-1.4815253062893217E-10</v>
      </c>
      <c r="R447" s="5">
        <v>0</v>
      </c>
      <c r="S447" s="5">
        <v>1.5415653104994885E-4</v>
      </c>
      <c r="T447" s="5">
        <v>9.5739984558863371E-6</v>
      </c>
      <c r="U447" s="5">
        <v>9.5739984558863371E-6</v>
      </c>
      <c r="V447" s="5">
        <v>0</v>
      </c>
      <c r="W447" s="5">
        <v>0</v>
      </c>
      <c r="X447" s="5">
        <v>2.4052863600796086</v>
      </c>
      <c r="Y447" s="5">
        <v>5115.2045429140062</v>
      </c>
      <c r="Z447" s="5">
        <f t="shared" ref="Z447:AA447" si="226">Z446+0.0002</f>
        <v>-1.9999999999999985E-4</v>
      </c>
      <c r="AA447" s="5">
        <f t="shared" si="226"/>
        <v>0</v>
      </c>
      <c r="AB447" s="4">
        <v>2</v>
      </c>
    </row>
    <row r="448" spans="1:28" x14ac:dyDescent="0.25">
      <c r="C448" s="4">
        <v>7</v>
      </c>
      <c r="D448" s="5">
        <v>149972601352.8291</v>
      </c>
      <c r="E448" s="5">
        <v>149972601352.8291</v>
      </c>
      <c r="F448" s="5">
        <v>0.35650123207510648</v>
      </c>
      <c r="G448" s="5">
        <v>0</v>
      </c>
      <c r="H448" s="5">
        <v>54790574968.132614</v>
      </c>
      <c r="I448" s="5">
        <v>50468695415.073296</v>
      </c>
      <c r="J448" s="5">
        <v>50468695415.073296</v>
      </c>
      <c r="K448" s="5">
        <v>1.1570400578148604E-12</v>
      </c>
      <c r="L448" s="5">
        <v>1.1570400578148604E-12</v>
      </c>
      <c r="M448" s="5">
        <v>0</v>
      </c>
      <c r="N448" s="5">
        <v>2.0000000000000001E-4</v>
      </c>
      <c r="O448" s="5">
        <v>135.83318451691235</v>
      </c>
      <c r="P448" s="5">
        <v>135.83318451691235</v>
      </c>
      <c r="Q448" s="5">
        <v>-1.2230516381562526E-10</v>
      </c>
      <c r="R448" s="5">
        <v>0</v>
      </c>
      <c r="S448" s="5">
        <v>1.5389704335962457E-4</v>
      </c>
      <c r="T448" s="5">
        <v>9.5840602234703401E-6</v>
      </c>
      <c r="U448" s="5">
        <v>9.5840602234703401E-6</v>
      </c>
      <c r="V448" s="5">
        <v>0</v>
      </c>
      <c r="W448" s="5">
        <v>0</v>
      </c>
      <c r="X448" s="5">
        <v>2.4065220157478193</v>
      </c>
      <c r="Y448" s="5">
        <v>5116.0871541055849</v>
      </c>
      <c r="Z448" s="5">
        <f t="shared" ref="Z448:AA448" si="227">Z447+0.0002</f>
        <v>0</v>
      </c>
      <c r="AA448" s="5">
        <f t="shared" si="227"/>
        <v>2.0000000000000001E-4</v>
      </c>
      <c r="AB448" s="4">
        <v>2</v>
      </c>
    </row>
    <row r="449" spans="1:28" x14ac:dyDescent="0.25">
      <c r="C449" s="4">
        <v>8</v>
      </c>
      <c r="D449" s="5">
        <v>140677889970.58624</v>
      </c>
      <c r="E449" s="5">
        <v>140677889970.58624</v>
      </c>
      <c r="F449" s="5">
        <v>0.33358131460826657</v>
      </c>
      <c r="G449" s="5">
        <v>0</v>
      </c>
      <c r="H449" s="5">
        <v>51340860635.787247</v>
      </c>
      <c r="I449" s="5">
        <v>47004543031.78936</v>
      </c>
      <c r="J449" s="5">
        <v>47004543031.78936</v>
      </c>
      <c r="K449" s="5">
        <v>3.2657752023500216E-12</v>
      </c>
      <c r="L449" s="5">
        <v>3.2657752023500216E-12</v>
      </c>
      <c r="M449" s="5">
        <v>0</v>
      </c>
      <c r="N449" s="5">
        <v>2.0000000000000001E-4</v>
      </c>
      <c r="O449" s="5">
        <v>130.26036188040263</v>
      </c>
      <c r="P449" s="5">
        <v>130.26036188040263</v>
      </c>
      <c r="Q449" s="5">
        <v>-5.1525451079584276E-10</v>
      </c>
      <c r="R449" s="5">
        <v>0</v>
      </c>
      <c r="S449" s="5">
        <v>1.4731304278839378E-4</v>
      </c>
      <c r="T449" s="5">
        <v>8.7668411980010573E-6</v>
      </c>
      <c r="U449" s="5">
        <v>8.7668411980010573E-6</v>
      </c>
      <c r="V449" s="5">
        <v>0</v>
      </c>
      <c r="W449" s="5">
        <v>0</v>
      </c>
      <c r="X449" s="5">
        <v>2.2213664629124104</v>
      </c>
      <c r="Y449" s="5">
        <v>4749.5474735088646</v>
      </c>
      <c r="Z449" s="5">
        <f t="shared" ref="Z449:AA449" si="228">Z448+0.0002</f>
        <v>2.0000000000000001E-4</v>
      </c>
      <c r="AA449" s="5">
        <f t="shared" si="228"/>
        <v>4.0000000000000002E-4</v>
      </c>
      <c r="AB449" s="4">
        <v>2</v>
      </c>
    </row>
    <row r="450" spans="1:28" x14ac:dyDescent="0.25">
      <c r="C450" s="4">
        <v>9</v>
      </c>
      <c r="D450" s="5">
        <v>130779731918.57085</v>
      </c>
      <c r="E450" s="5">
        <v>130779731918.57085</v>
      </c>
      <c r="F450" s="5">
        <v>0.30970209307287544</v>
      </c>
      <c r="G450" s="5">
        <v>0</v>
      </c>
      <c r="H450" s="5">
        <v>47701777548.183662</v>
      </c>
      <c r="I450" s="5">
        <v>43530922210.742516</v>
      </c>
      <c r="J450" s="5">
        <v>43530922210.742516</v>
      </c>
      <c r="K450" s="5">
        <v>4.1146093893958297E-12</v>
      </c>
      <c r="L450" s="5">
        <v>4.1146093893958297E-12</v>
      </c>
      <c r="M450" s="5">
        <v>0</v>
      </c>
      <c r="N450" s="5">
        <v>2.0000000000000001E-4</v>
      </c>
      <c r="O450" s="5">
        <v>122.50283044405242</v>
      </c>
      <c r="P450" s="5">
        <v>122.50283044405242</v>
      </c>
      <c r="Q450" s="5">
        <v>-6.771336478298184E-10</v>
      </c>
      <c r="R450" s="5">
        <v>0</v>
      </c>
      <c r="S450" s="5">
        <v>1.3840927496524982E-4</v>
      </c>
      <c r="T450" s="5">
        <v>8.0395723312794292E-6</v>
      </c>
      <c r="U450" s="5">
        <v>8.0395723312794292E-6</v>
      </c>
      <c r="V450" s="5">
        <v>0</v>
      </c>
      <c r="W450" s="5">
        <v>0</v>
      </c>
      <c r="X450" s="5">
        <v>2.0472574208003977</v>
      </c>
      <c r="Y450" s="5">
        <v>4390.8981577145696</v>
      </c>
      <c r="Z450" s="5">
        <f t="shared" ref="Z450:AA450" si="229">Z449+0.0002</f>
        <v>4.0000000000000002E-4</v>
      </c>
      <c r="AA450" s="5">
        <f t="shared" si="229"/>
        <v>6.0000000000000006E-4</v>
      </c>
      <c r="AB450" s="4">
        <v>2</v>
      </c>
    </row>
    <row r="451" spans="1:28" x14ac:dyDescent="0.25">
      <c r="C451" s="4">
        <v>10</v>
      </c>
      <c r="D451" s="5">
        <v>119267804377.37955</v>
      </c>
      <c r="E451" s="5">
        <v>119267804377.37955</v>
      </c>
      <c r="F451" s="5">
        <v>0.28325744908307948</v>
      </c>
      <c r="G451" s="5">
        <v>0</v>
      </c>
      <c r="H451" s="5">
        <v>43556274366.234146</v>
      </c>
      <c r="I451" s="5">
        <v>40031980384.978371</v>
      </c>
      <c r="J451" s="5">
        <v>40031980384.978371</v>
      </c>
      <c r="K451" s="5">
        <v>1.594148779693078E-12</v>
      </c>
      <c r="L451" s="5">
        <v>1.594148779693078E-12</v>
      </c>
      <c r="M451" s="5">
        <v>0</v>
      </c>
      <c r="N451" s="5">
        <v>2.0000000000000001E-4</v>
      </c>
      <c r="O451" s="5">
        <v>108.902833417088</v>
      </c>
      <c r="P451" s="5">
        <v>108.902833417088</v>
      </c>
      <c r="Q451" s="5">
        <v>-2.2107242103797453E-10</v>
      </c>
      <c r="R451" s="5">
        <v>0</v>
      </c>
      <c r="S451" s="5">
        <v>1.2330186098636828E-4</v>
      </c>
      <c r="T451" s="5">
        <v>7.5528530093721137E-6</v>
      </c>
      <c r="U451" s="5">
        <v>7.5528530093721137E-6</v>
      </c>
      <c r="V451" s="5">
        <v>0</v>
      </c>
      <c r="W451" s="5">
        <v>0</v>
      </c>
      <c r="X451" s="5">
        <v>1.9026895508585637</v>
      </c>
      <c r="Y451" s="5">
        <v>4053.3496791846883</v>
      </c>
      <c r="Z451" s="5">
        <f t="shared" ref="Z451:AA451" si="230">Z450+0.0002</f>
        <v>6.0000000000000006E-4</v>
      </c>
      <c r="AA451" s="5">
        <f t="shared" si="230"/>
        <v>8.0000000000000004E-4</v>
      </c>
      <c r="AB451" s="4">
        <v>2</v>
      </c>
    </row>
    <row r="452" spans="1:28" x14ac:dyDescent="0.25">
      <c r="C452" s="4">
        <v>11</v>
      </c>
      <c r="D452" s="5">
        <v>103875596838.34862</v>
      </c>
      <c r="E452" s="5">
        <v>103875596838.34862</v>
      </c>
      <c r="F452" s="5">
        <v>0.25064429248810416</v>
      </c>
      <c r="G452" s="5">
        <v>0</v>
      </c>
      <c r="H452" s="5">
        <v>38193093086.034058</v>
      </c>
      <c r="I452" s="5">
        <v>36472154654.301704</v>
      </c>
      <c r="J452" s="5">
        <v>36472154654.301704</v>
      </c>
      <c r="K452" s="5">
        <v>-9.0277211665592201E-12</v>
      </c>
      <c r="L452" s="5">
        <v>-9.0277211665592201E-12</v>
      </c>
      <c r="M452" s="5">
        <v>0</v>
      </c>
      <c r="N452" s="5">
        <v>2.0000000000000001E-4</v>
      </c>
      <c r="O452" s="5">
        <v>81.254731923293349</v>
      </c>
      <c r="P452" s="5">
        <v>81.254731923293349</v>
      </c>
      <c r="Q452" s="5">
        <v>1.7208154059553109E-9</v>
      </c>
      <c r="R452" s="5">
        <v>0</v>
      </c>
      <c r="S452" s="5">
        <v>9.3277890303917227E-5</v>
      </c>
      <c r="T452" s="5">
        <v>7.644530784133822E-6</v>
      </c>
      <c r="U452" s="5">
        <v>7.644530784133822E-6</v>
      </c>
      <c r="V452" s="5">
        <v>0</v>
      </c>
      <c r="W452" s="5">
        <v>0</v>
      </c>
      <c r="X452" s="5">
        <v>1.8291529033146801</v>
      </c>
      <c r="Y452" s="5">
        <v>3766.5377880819142</v>
      </c>
      <c r="Z452" s="5">
        <f t="shared" ref="Z452:AA452" si="231">Z451+0.0002</f>
        <v>8.0000000000000004E-4</v>
      </c>
      <c r="AA452" s="5">
        <f t="shared" si="231"/>
        <v>1E-3</v>
      </c>
      <c r="AB452" s="4">
        <v>2</v>
      </c>
    </row>
    <row r="453" spans="1:28" x14ac:dyDescent="0.25">
      <c r="B453" t="s">
        <v>190</v>
      </c>
      <c r="C453" s="11">
        <v>12</v>
      </c>
      <c r="D453" s="5">
        <v>79920488199.566666</v>
      </c>
      <c r="E453" s="5">
        <v>79920488199.566666</v>
      </c>
      <c r="F453" s="5">
        <v>0.20441862251777276</v>
      </c>
      <c r="G453" s="5">
        <v>0</v>
      </c>
      <c r="H453" s="5">
        <v>30142771410.692955</v>
      </c>
      <c r="I453" s="5">
        <v>32777971903.867977</v>
      </c>
      <c r="J453" s="5">
        <v>32777971903.867977</v>
      </c>
      <c r="K453" s="5">
        <v>-3.7527570783375536E-11</v>
      </c>
      <c r="L453" s="5">
        <v>-3.7527570783375536E-11</v>
      </c>
      <c r="M453" s="5">
        <v>0</v>
      </c>
      <c r="N453" s="5">
        <v>2.0000000000000001E-4</v>
      </c>
      <c r="O453" s="5">
        <v>22.60563842494977</v>
      </c>
      <c r="P453" s="5">
        <v>22.60563842494977</v>
      </c>
      <c r="Q453" s="5">
        <v>6.9415867764010798E-9</v>
      </c>
      <c r="R453" s="5">
        <v>0</v>
      </c>
      <c r="S453" s="5">
        <v>3.0336449780988715E-5</v>
      </c>
      <c r="T453" s="5">
        <v>9.012600246587509E-6</v>
      </c>
      <c r="U453" s="5">
        <v>9.012600246587509E-6</v>
      </c>
      <c r="V453" s="5">
        <v>0</v>
      </c>
      <c r="W453" s="5">
        <v>0</v>
      </c>
      <c r="X453" s="5">
        <v>1.9123661121540216</v>
      </c>
      <c r="Y453" s="5">
        <v>3591.6900801100151</v>
      </c>
      <c r="Z453" s="5">
        <f t="shared" ref="Z453:AA453" si="232">Z452+0.0002</f>
        <v>1E-3</v>
      </c>
      <c r="AA453" s="5">
        <f t="shared" si="232"/>
        <v>1.2000000000000001E-3</v>
      </c>
      <c r="AB453" s="4">
        <v>2</v>
      </c>
    </row>
    <row r="457" spans="1:28" x14ac:dyDescent="0.25">
      <c r="A457" s="15" t="s">
        <v>255</v>
      </c>
      <c r="C457" s="10" t="s">
        <v>27</v>
      </c>
      <c r="D457" s="10" t="s">
        <v>28</v>
      </c>
      <c r="E457" s="10" t="s">
        <v>29</v>
      </c>
      <c r="F457" s="10" t="s">
        <v>30</v>
      </c>
      <c r="G457" s="10" t="s">
        <v>31</v>
      </c>
      <c r="H457" s="10" t="s">
        <v>47</v>
      </c>
      <c r="I457" s="10" t="s">
        <v>32</v>
      </c>
      <c r="J457" s="10" t="s">
        <v>33</v>
      </c>
      <c r="K457" s="10" t="s">
        <v>34</v>
      </c>
      <c r="L457" s="10" t="s">
        <v>35</v>
      </c>
      <c r="M457" s="10" t="s">
        <v>36</v>
      </c>
      <c r="N457" s="10" t="s">
        <v>37</v>
      </c>
      <c r="O457" s="10" t="s">
        <v>38</v>
      </c>
      <c r="P457" s="10" t="s">
        <v>39</v>
      </c>
      <c r="Q457" s="10" t="s">
        <v>40</v>
      </c>
      <c r="R457" s="10" t="s">
        <v>41</v>
      </c>
      <c r="S457" s="10" t="s">
        <v>42</v>
      </c>
      <c r="T457" s="10" t="s">
        <v>48</v>
      </c>
      <c r="U457" s="10" t="s">
        <v>77</v>
      </c>
      <c r="V457" s="10" t="s">
        <v>78</v>
      </c>
      <c r="W457" s="10" t="s">
        <v>79</v>
      </c>
      <c r="X457" s="10" t="s">
        <v>49</v>
      </c>
      <c r="Y457" s="10" t="s">
        <v>43</v>
      </c>
      <c r="Z457" s="10" t="s">
        <v>44</v>
      </c>
      <c r="AA457" s="10" t="s">
        <v>45</v>
      </c>
      <c r="AB457" s="10" t="s">
        <v>46</v>
      </c>
    </row>
    <row r="458" spans="1:28" x14ac:dyDescent="0.25">
      <c r="A458" s="12" t="s">
        <v>86</v>
      </c>
      <c r="B458" t="s">
        <v>14</v>
      </c>
      <c r="C458" s="11">
        <v>1</v>
      </c>
      <c r="D458" s="5">
        <v>80072704388.958542</v>
      </c>
      <c r="E458" s="5">
        <v>80072704388.958542</v>
      </c>
      <c r="F458" s="5">
        <v>0.18226449362798691</v>
      </c>
      <c r="G458" s="5">
        <v>0</v>
      </c>
      <c r="H458" s="5">
        <v>28724999999.999805</v>
      </c>
      <c r="I458" s="5">
        <v>23654999999.999985</v>
      </c>
      <c r="J458" s="5">
        <v>23654999999.999985</v>
      </c>
      <c r="K458" s="5">
        <v>2.1955433746423904E-11</v>
      </c>
      <c r="L458" s="5">
        <v>2.1955433746423904E-11</v>
      </c>
      <c r="M458" s="5">
        <v>0</v>
      </c>
      <c r="N458" s="5">
        <v>2.0000000000000001E-4</v>
      </c>
      <c r="O458" s="5">
        <v>100.37012987012766</v>
      </c>
      <c r="P458" s="5">
        <v>100.37012987012766</v>
      </c>
      <c r="Q458" s="5">
        <v>-3.9848527777775472E-9</v>
      </c>
      <c r="R458" s="5">
        <v>0</v>
      </c>
      <c r="S458" s="5">
        <v>1.1107499999999766E-4</v>
      </c>
      <c r="T458" s="5">
        <v>2.9325000000000884E-6</v>
      </c>
      <c r="U458" s="5">
        <v>2.9325000000000884E-6</v>
      </c>
      <c r="V458" s="5">
        <v>0</v>
      </c>
      <c r="W458" s="5">
        <v>0</v>
      </c>
      <c r="X458" s="5">
        <v>0.93250000000001076</v>
      </c>
      <c r="Y458" s="5">
        <v>2247.5000000000077</v>
      </c>
      <c r="Z458" s="5">
        <v>-1.1999999999999999E-3</v>
      </c>
      <c r="AA458" s="5">
        <v>-1E-3</v>
      </c>
      <c r="AB458" s="4">
        <v>2</v>
      </c>
    </row>
    <row r="459" spans="1:28" x14ac:dyDescent="0.25">
      <c r="C459" s="4">
        <v>2</v>
      </c>
      <c r="D459" s="5">
        <v>93617809130.439117</v>
      </c>
      <c r="E459" s="5">
        <v>93617809130.439117</v>
      </c>
      <c r="F459" s="5">
        <v>0.2160133155874783</v>
      </c>
      <c r="G459" s="5">
        <v>0</v>
      </c>
      <c r="H459" s="5">
        <v>33774999988.824127</v>
      </c>
      <c r="I459" s="5">
        <v>28844999999.441208</v>
      </c>
      <c r="J459" s="5">
        <v>28844999999.441208</v>
      </c>
      <c r="K459" s="5">
        <v>1.796353662726571E-11</v>
      </c>
      <c r="L459" s="5">
        <v>1.796353662726571E-11</v>
      </c>
      <c r="M459" s="5">
        <v>0</v>
      </c>
      <c r="N459" s="5">
        <v>2.0000000000000001E-4</v>
      </c>
      <c r="O459" s="5">
        <v>107.29220766327403</v>
      </c>
      <c r="P459" s="5">
        <v>107.29220766327403</v>
      </c>
      <c r="Q459" s="5">
        <v>-3.2434249863630573E-9</v>
      </c>
      <c r="R459" s="5">
        <v>0</v>
      </c>
      <c r="S459" s="5">
        <v>1.1942499986309556E-4</v>
      </c>
      <c r="T459" s="5">
        <v>4.2175000053085383E-6</v>
      </c>
      <c r="U459" s="5">
        <v>4.2175000053085383E-6</v>
      </c>
      <c r="V459" s="5">
        <v>0</v>
      </c>
      <c r="W459" s="5">
        <v>0</v>
      </c>
      <c r="X459" s="5">
        <v>1.2175000006519257</v>
      </c>
      <c r="Y459" s="5">
        <v>2802.5000004656613</v>
      </c>
      <c r="Z459" s="5">
        <f t="shared" ref="Z459:AA459" si="233">Z458+0.0002</f>
        <v>-9.999999999999998E-4</v>
      </c>
      <c r="AA459" s="5">
        <f t="shared" si="233"/>
        <v>-8.0000000000000004E-4</v>
      </c>
      <c r="AB459" s="4">
        <v>2</v>
      </c>
    </row>
    <row r="460" spans="1:28" x14ac:dyDescent="0.25">
      <c r="C460" s="4">
        <v>3</v>
      </c>
      <c r="D460" s="5">
        <v>107162908053.36063</v>
      </c>
      <c r="E460" s="5">
        <v>107162908053.36063</v>
      </c>
      <c r="F460" s="5">
        <v>0.24976212829715905</v>
      </c>
      <c r="G460" s="5">
        <v>0</v>
      </c>
      <c r="H460" s="5">
        <v>38824998151.715286</v>
      </c>
      <c r="I460" s="5">
        <v>34034999907.585762</v>
      </c>
      <c r="J460" s="5">
        <v>34034999907.585762</v>
      </c>
      <c r="K460" s="5">
        <v>1.3971627359878852E-11</v>
      </c>
      <c r="L460" s="5">
        <v>1.3971627359878852E-11</v>
      </c>
      <c r="M460" s="5">
        <v>0</v>
      </c>
      <c r="N460" s="5">
        <v>2.0000000000000001E-4</v>
      </c>
      <c r="O460" s="5">
        <v>114.21426439100097</v>
      </c>
      <c r="P460" s="5">
        <v>114.21426439100097</v>
      </c>
      <c r="Q460" s="5">
        <v>-2.5019949669212528E-9</v>
      </c>
      <c r="R460" s="5">
        <v>0</v>
      </c>
      <c r="S460" s="5">
        <v>1.2777497735851222E-4</v>
      </c>
      <c r="T460" s="5">
        <v>5.5025008779352404E-6</v>
      </c>
      <c r="U460" s="5">
        <v>5.5025008779352404E-6</v>
      </c>
      <c r="V460" s="5">
        <v>0</v>
      </c>
      <c r="W460" s="5">
        <v>0</v>
      </c>
      <c r="X460" s="5">
        <v>1.5025001078166085</v>
      </c>
      <c r="Y460" s="5">
        <v>3357.5000770118631</v>
      </c>
      <c r="Z460" s="5">
        <f t="shared" ref="Z460:AA460" si="234">Z459+0.0002</f>
        <v>-7.9999999999999982E-4</v>
      </c>
      <c r="AA460" s="5">
        <f t="shared" si="234"/>
        <v>-6.0000000000000006E-4</v>
      </c>
      <c r="AB460" s="4">
        <v>2</v>
      </c>
    </row>
    <row r="461" spans="1:28" x14ac:dyDescent="0.25">
      <c r="C461" s="4">
        <v>4</v>
      </c>
      <c r="D461" s="5">
        <v>120707848355.46564</v>
      </c>
      <c r="E461" s="5">
        <v>120707848355.46564</v>
      </c>
      <c r="F461" s="5">
        <v>0.28351068884604058</v>
      </c>
      <c r="G461" s="5">
        <v>0</v>
      </c>
      <c r="H461" s="5">
        <v>43874946537.504211</v>
      </c>
      <c r="I461" s="5">
        <v>39224997326.875214</v>
      </c>
      <c r="J461" s="5">
        <v>39224997326.875214</v>
      </c>
      <c r="K461" s="5">
        <v>9.979386917379844E-12</v>
      </c>
      <c r="L461" s="5">
        <v>9.979386917379844E-12</v>
      </c>
      <c r="M461" s="5">
        <v>0</v>
      </c>
      <c r="N461" s="5">
        <v>2.0000000000000001E-4</v>
      </c>
      <c r="O461" s="5">
        <v>121.13574685042731</v>
      </c>
      <c r="P461" s="5">
        <v>121.13574685042731</v>
      </c>
      <c r="Q461" s="5">
        <v>-1.760504208814048E-9</v>
      </c>
      <c r="R461" s="5">
        <v>0</v>
      </c>
      <c r="S461" s="5">
        <v>1.3612434508442656E-4</v>
      </c>
      <c r="T461" s="5">
        <v>6.7875253946855006E-6</v>
      </c>
      <c r="U461" s="5">
        <v>6.7875253946855006E-6</v>
      </c>
      <c r="V461" s="5">
        <v>0</v>
      </c>
      <c r="W461" s="5">
        <v>0</v>
      </c>
      <c r="X461" s="5">
        <v>1.7875031186455881</v>
      </c>
      <c r="Y461" s="5">
        <v>3912.5022276039917</v>
      </c>
      <c r="Z461" s="5">
        <f t="shared" ref="Z461:AA461" si="235">Z460+0.0002</f>
        <v>-5.9999999999999984E-4</v>
      </c>
      <c r="AA461" s="5">
        <f t="shared" si="235"/>
        <v>-4.0000000000000007E-4</v>
      </c>
      <c r="AB461" s="4">
        <v>2</v>
      </c>
    </row>
    <row r="462" spans="1:28" x14ac:dyDescent="0.25">
      <c r="C462" s="4">
        <v>5</v>
      </c>
      <c r="D462" s="5">
        <v>134251020568.89566</v>
      </c>
      <c r="E462" s="5">
        <v>134251020568.89566</v>
      </c>
      <c r="F462" s="5">
        <v>0.31725643865000547</v>
      </c>
      <c r="G462" s="5">
        <v>0</v>
      </c>
      <c r="H462" s="5">
        <v>48924340075.999496</v>
      </c>
      <c r="I462" s="5">
        <v>44414967003.799973</v>
      </c>
      <c r="J462" s="5">
        <v>44414967003.799973</v>
      </c>
      <c r="K462" s="5">
        <v>5.9834549860945333E-12</v>
      </c>
      <c r="L462" s="5">
        <v>5.9834549860945333E-12</v>
      </c>
      <c r="M462" s="5">
        <v>0</v>
      </c>
      <c r="N462" s="5">
        <v>2.0000000000000001E-4</v>
      </c>
      <c r="O462" s="5">
        <v>128.050828149518</v>
      </c>
      <c r="P462" s="5">
        <v>128.050828149518</v>
      </c>
      <c r="Q462" s="5">
        <v>-1.0183364188466844E-9</v>
      </c>
      <c r="R462" s="5">
        <v>0</v>
      </c>
      <c r="S462" s="5">
        <v>1.4446691593099386E-4</v>
      </c>
      <c r="T462" s="5">
        <v>8.072813463900237E-6</v>
      </c>
      <c r="U462" s="5">
        <v>8.072813463900237E-6</v>
      </c>
      <c r="V462" s="5">
        <v>0</v>
      </c>
      <c r="W462" s="5">
        <v>0</v>
      </c>
      <c r="X462" s="5">
        <v>2.0725384955666959</v>
      </c>
      <c r="Y462" s="5">
        <v>4467.5274968333542</v>
      </c>
      <c r="Z462" s="5">
        <f t="shared" ref="Z462:AA462" si="236">Z461+0.0002</f>
        <v>-3.9999999999999986E-4</v>
      </c>
      <c r="AA462" s="5">
        <f t="shared" si="236"/>
        <v>-2.0000000000000006E-4</v>
      </c>
      <c r="AB462" s="4">
        <v>2</v>
      </c>
    </row>
    <row r="463" spans="1:28" x14ac:dyDescent="0.25">
      <c r="C463" s="4">
        <v>6</v>
      </c>
      <c r="D463" s="5">
        <v>147782585050.90228</v>
      </c>
      <c r="E463" s="5">
        <v>147782585050.90228</v>
      </c>
      <c r="F463" s="5">
        <v>0.35098373554911749</v>
      </c>
      <c r="G463" s="5">
        <v>0</v>
      </c>
      <c r="H463" s="5">
        <v>53970090970.06385</v>
      </c>
      <c r="I463" s="5">
        <v>49604754548.503189</v>
      </c>
      <c r="J463" s="5">
        <v>49604754548.503189</v>
      </c>
      <c r="K463" s="5">
        <v>1.9632879522440136E-12</v>
      </c>
      <c r="L463" s="5">
        <v>1.9632879522440136E-12</v>
      </c>
      <c r="M463" s="5">
        <v>0</v>
      </c>
      <c r="N463" s="5">
        <v>2.0000000000000001E-4</v>
      </c>
      <c r="O463" s="5">
        <v>134.92388500095308</v>
      </c>
      <c r="P463" s="5">
        <v>134.92388500095308</v>
      </c>
      <c r="Q463" s="5">
        <v>-2.7172382692522849E-10</v>
      </c>
      <c r="R463" s="5">
        <v>0</v>
      </c>
      <c r="S463" s="5">
        <v>1.5276486438328218E-4</v>
      </c>
      <c r="T463" s="5">
        <v>9.3598317892196718E-6</v>
      </c>
      <c r="U463" s="5">
        <v>9.3598317892196718E-6</v>
      </c>
      <c r="V463" s="5">
        <v>0</v>
      </c>
      <c r="W463" s="5">
        <v>0</v>
      </c>
      <c r="X463" s="5">
        <v>2.3577863600796087</v>
      </c>
      <c r="Y463" s="5">
        <v>5022.7045429140062</v>
      </c>
      <c r="Z463" s="5">
        <f t="shared" ref="Z463:AA463" si="237">Z462+0.0002</f>
        <v>-1.9999999999999985E-4</v>
      </c>
      <c r="AA463" s="5">
        <f t="shared" si="237"/>
        <v>0</v>
      </c>
      <c r="AB463" s="4">
        <v>2</v>
      </c>
    </row>
    <row r="464" spans="1:28" x14ac:dyDescent="0.25">
      <c r="C464" s="4">
        <v>7</v>
      </c>
      <c r="D464" s="5">
        <v>147715083889.98022</v>
      </c>
      <c r="E464" s="5">
        <v>147715083889.98022</v>
      </c>
      <c r="F464" s="5">
        <v>0.35087642840575567</v>
      </c>
      <c r="G464" s="5">
        <v>0</v>
      </c>
      <c r="H464" s="5">
        <v>53948908301.46595</v>
      </c>
      <c r="I464" s="5">
        <v>49603695415.073296</v>
      </c>
      <c r="J464" s="5">
        <v>49603695415.073296</v>
      </c>
      <c r="K464" s="5">
        <v>1.8223562319489559E-12</v>
      </c>
      <c r="L464" s="5">
        <v>1.8223562319489559E-12</v>
      </c>
      <c r="M464" s="5">
        <v>0</v>
      </c>
      <c r="N464" s="5">
        <v>2.0000000000000001E-4</v>
      </c>
      <c r="O464" s="5">
        <v>134.67950486323272</v>
      </c>
      <c r="P464" s="5">
        <v>134.67950486323272</v>
      </c>
      <c r="Q464" s="5">
        <v>-2.4587646011192155E-10</v>
      </c>
      <c r="R464" s="5">
        <v>0</v>
      </c>
      <c r="S464" s="5">
        <v>1.525053766929579E-4</v>
      </c>
      <c r="T464" s="5">
        <v>9.3698935568036748E-6</v>
      </c>
      <c r="U464" s="5">
        <v>9.3698935568036748E-6</v>
      </c>
      <c r="V464" s="5">
        <v>0</v>
      </c>
      <c r="W464" s="5">
        <v>0</v>
      </c>
      <c r="X464" s="5">
        <v>2.3590220157478194</v>
      </c>
      <c r="Y464" s="5">
        <v>5023.5871541055849</v>
      </c>
      <c r="Z464" s="5">
        <f t="shared" ref="Z464:AA464" si="238">Z463+0.0002</f>
        <v>0</v>
      </c>
      <c r="AA464" s="5">
        <f t="shared" si="238"/>
        <v>2.0000000000000001E-4</v>
      </c>
      <c r="AB464" s="4">
        <v>2</v>
      </c>
    </row>
    <row r="465" spans="1:28" x14ac:dyDescent="0.25">
      <c r="C465" s="4">
        <v>8</v>
      </c>
      <c r="D465" s="5">
        <v>133905337582.03961</v>
      </c>
      <c r="E465" s="5">
        <v>133905337582.03961</v>
      </c>
      <c r="F465" s="5">
        <v>0.31670690360021403</v>
      </c>
      <c r="G465" s="5">
        <v>0</v>
      </c>
      <c r="H465" s="5">
        <v>48815860635.787247</v>
      </c>
      <c r="I465" s="5">
        <v>44409543031.78936</v>
      </c>
      <c r="J465" s="5">
        <v>44409543031.78936</v>
      </c>
      <c r="K465" s="5">
        <v>5.2617237247523099E-12</v>
      </c>
      <c r="L465" s="5">
        <v>5.2617237247523099E-12</v>
      </c>
      <c r="M465" s="5">
        <v>0</v>
      </c>
      <c r="N465" s="5">
        <v>2.0000000000000001E-4</v>
      </c>
      <c r="O465" s="5">
        <v>126.79932291936368</v>
      </c>
      <c r="P465" s="5">
        <v>126.79932291936368</v>
      </c>
      <c r="Q465" s="5">
        <v>-8.8596839968473159E-10</v>
      </c>
      <c r="R465" s="5">
        <v>0</v>
      </c>
      <c r="S465" s="5">
        <v>1.431380427883938E-4</v>
      </c>
      <c r="T465" s="5">
        <v>8.124341198001058E-6</v>
      </c>
      <c r="U465" s="5">
        <v>8.124341198001058E-6</v>
      </c>
      <c r="V465" s="5">
        <v>0</v>
      </c>
      <c r="W465" s="5">
        <v>0</v>
      </c>
      <c r="X465" s="5">
        <v>2.0788664629124103</v>
      </c>
      <c r="Y465" s="5">
        <v>4472.0474735088646</v>
      </c>
      <c r="Z465" s="5">
        <f t="shared" ref="Z465:AA465" si="239">Z464+0.0002</f>
        <v>2.0000000000000001E-4</v>
      </c>
      <c r="AA465" s="5">
        <f t="shared" si="239"/>
        <v>4.0000000000000002E-4</v>
      </c>
      <c r="AB465" s="4">
        <v>2</v>
      </c>
    </row>
    <row r="466" spans="1:28" x14ac:dyDescent="0.25">
      <c r="C466" s="4">
        <v>9</v>
      </c>
      <c r="D466" s="5">
        <v>119492144604.32648</v>
      </c>
      <c r="E466" s="5">
        <v>119492144604.32648</v>
      </c>
      <c r="F466" s="5">
        <v>0.28157807472612117</v>
      </c>
      <c r="G466" s="5">
        <v>0</v>
      </c>
      <c r="H466" s="5">
        <v>43493444214.850327</v>
      </c>
      <c r="I466" s="5">
        <v>39205922210.742516</v>
      </c>
      <c r="J466" s="5">
        <v>39205922210.742516</v>
      </c>
      <c r="K466" s="5">
        <v>7.4411902600663093E-12</v>
      </c>
      <c r="L466" s="5">
        <v>7.4411902600663093E-12</v>
      </c>
      <c r="M466" s="5">
        <v>0</v>
      </c>
      <c r="N466" s="5">
        <v>2.0000000000000001E-4</v>
      </c>
      <c r="O466" s="5">
        <v>116.73443217565416</v>
      </c>
      <c r="P466" s="5">
        <v>116.73443217565416</v>
      </c>
      <c r="Q466" s="5">
        <v>-1.2949901293112996E-9</v>
      </c>
      <c r="R466" s="5">
        <v>0</v>
      </c>
      <c r="S466" s="5">
        <v>1.3145094163191648E-4</v>
      </c>
      <c r="T466" s="5">
        <v>6.9687389979460958E-6</v>
      </c>
      <c r="U466" s="5">
        <v>6.9687389979460958E-6</v>
      </c>
      <c r="V466" s="5">
        <v>0</v>
      </c>
      <c r="W466" s="5">
        <v>0</v>
      </c>
      <c r="X466" s="5">
        <v>1.8097574208003979</v>
      </c>
      <c r="Y466" s="5">
        <v>3928.3981577145696</v>
      </c>
      <c r="Z466" s="5">
        <f t="shared" ref="Z466:AA466" si="240">Z465+0.0002</f>
        <v>4.0000000000000002E-4</v>
      </c>
      <c r="AA466" s="5">
        <f t="shared" si="240"/>
        <v>6.0000000000000006E-4</v>
      </c>
      <c r="AB466" s="4">
        <v>2</v>
      </c>
    </row>
    <row r="467" spans="1:28" x14ac:dyDescent="0.25">
      <c r="C467" s="4">
        <v>10</v>
      </c>
      <c r="D467" s="5">
        <v>103465182137.43744</v>
      </c>
      <c r="E467" s="5">
        <v>103465182137.43744</v>
      </c>
      <c r="F467" s="5">
        <v>0.24388382339762349</v>
      </c>
      <c r="G467" s="5">
        <v>0</v>
      </c>
      <c r="H467" s="5">
        <v>37664607699.567482</v>
      </c>
      <c r="I467" s="5">
        <v>33976980384.978371</v>
      </c>
      <c r="J467" s="5">
        <v>33976980384.978371</v>
      </c>
      <c r="K467" s="5">
        <v>6.2513619986317484E-12</v>
      </c>
      <c r="L467" s="5">
        <v>6.2513619986317484E-12</v>
      </c>
      <c r="M467" s="5">
        <v>0</v>
      </c>
      <c r="N467" s="5">
        <v>2.0000000000000001E-4</v>
      </c>
      <c r="O467" s="5">
        <v>100.82707584133044</v>
      </c>
      <c r="P467" s="5">
        <v>100.82707584133044</v>
      </c>
      <c r="Q467" s="5">
        <v>-1.0860714951120487E-9</v>
      </c>
      <c r="R467" s="5">
        <v>0</v>
      </c>
      <c r="S467" s="5">
        <v>1.1356019431970161E-4</v>
      </c>
      <c r="T467" s="5">
        <v>6.0536863427054471E-6</v>
      </c>
      <c r="U467" s="5">
        <v>6.0536863427054471E-6</v>
      </c>
      <c r="V467" s="5">
        <v>0</v>
      </c>
      <c r="W467" s="5">
        <v>0</v>
      </c>
      <c r="X467" s="5">
        <v>1.5701895508585637</v>
      </c>
      <c r="Y467" s="5">
        <v>3405.8496791846883</v>
      </c>
      <c r="Z467" s="5">
        <f t="shared" ref="Z467:AA467" si="241">Z466+0.0002</f>
        <v>6.0000000000000006E-4</v>
      </c>
      <c r="AA467" s="5">
        <f t="shared" si="241"/>
        <v>8.0000000000000004E-4</v>
      </c>
      <c r="AB467" s="4">
        <v>2</v>
      </c>
    </row>
    <row r="468" spans="1:28" x14ac:dyDescent="0.25">
      <c r="C468" s="4">
        <v>11</v>
      </c>
      <c r="D468" s="5">
        <v>83557939672.708771</v>
      </c>
      <c r="E468" s="5">
        <v>83557939672.708771</v>
      </c>
      <c r="F468" s="5">
        <v>0.20002105946394647</v>
      </c>
      <c r="G468" s="5">
        <v>0</v>
      </c>
      <c r="H468" s="5">
        <v>30618093086.034058</v>
      </c>
      <c r="I468" s="5">
        <v>28687154654.301704</v>
      </c>
      <c r="J468" s="5">
        <v>28687154654.301704</v>
      </c>
      <c r="K468" s="5">
        <v>-3.0398755993523588E-12</v>
      </c>
      <c r="L468" s="5">
        <v>-3.0398755993523588E-12</v>
      </c>
      <c r="M468" s="5">
        <v>0</v>
      </c>
      <c r="N468" s="5">
        <v>2.0000000000000001E-4</v>
      </c>
      <c r="O468" s="5">
        <v>70.871615040176479</v>
      </c>
      <c r="P468" s="5">
        <v>70.871615040176479</v>
      </c>
      <c r="Q468" s="5">
        <v>6.0867373928864477E-10</v>
      </c>
      <c r="R468" s="5">
        <v>0</v>
      </c>
      <c r="S468" s="5">
        <v>8.0752890303917221E-5</v>
      </c>
      <c r="T468" s="5">
        <v>5.7170307841338205E-6</v>
      </c>
      <c r="U468" s="5">
        <v>5.7170307841338205E-6</v>
      </c>
      <c r="V468" s="5">
        <v>0</v>
      </c>
      <c r="W468" s="5">
        <v>0</v>
      </c>
      <c r="X468" s="5">
        <v>1.4016529033146801</v>
      </c>
      <c r="Y468" s="5">
        <v>2934.0377880819142</v>
      </c>
      <c r="Z468" s="5">
        <f t="shared" ref="Z468:AA468" si="242">Z467+0.0002</f>
        <v>8.0000000000000004E-4</v>
      </c>
      <c r="AA468" s="5">
        <f t="shared" si="242"/>
        <v>1E-3</v>
      </c>
      <c r="AB468" s="4">
        <v>2</v>
      </c>
    </row>
    <row r="469" spans="1:28" x14ac:dyDescent="0.25">
      <c r="B469" t="s">
        <v>190</v>
      </c>
      <c r="C469" s="11">
        <v>12</v>
      </c>
      <c r="D469" s="5">
        <v>55087796108.229065</v>
      </c>
      <c r="E469" s="5">
        <v>55087796108.229065</v>
      </c>
      <c r="F469" s="5">
        <v>0.14254578215491337</v>
      </c>
      <c r="G469" s="5">
        <v>0</v>
      </c>
      <c r="H469" s="5">
        <v>20884438077.359623</v>
      </c>
      <c r="I469" s="5">
        <v>23262971903.867973</v>
      </c>
      <c r="J469" s="5">
        <v>23262971903.867973</v>
      </c>
      <c r="K469" s="5">
        <v>-3.0209092867900489E-11</v>
      </c>
      <c r="L469" s="5">
        <v>-3.0209092867900489E-11</v>
      </c>
      <c r="M469" s="5">
        <v>0</v>
      </c>
      <c r="N469" s="5">
        <v>2.0000000000000001E-4</v>
      </c>
      <c r="O469" s="5">
        <v>9.9151622344735841</v>
      </c>
      <c r="P469" s="5">
        <v>9.9151622344735841</v>
      </c>
      <c r="Q469" s="5">
        <v>5.5823025171418206E-9</v>
      </c>
      <c r="R469" s="5">
        <v>0</v>
      </c>
      <c r="S469" s="5">
        <v>1.5028116447655384E-5</v>
      </c>
      <c r="T469" s="5">
        <v>6.656766913254176E-6</v>
      </c>
      <c r="U469" s="5">
        <v>6.656766913254176E-6</v>
      </c>
      <c r="V469" s="5">
        <v>0</v>
      </c>
      <c r="W469" s="5">
        <v>0</v>
      </c>
      <c r="X469" s="5">
        <v>1.3898661121540217</v>
      </c>
      <c r="Y469" s="5">
        <v>2574.1900801100151</v>
      </c>
      <c r="Z469" s="5">
        <f t="shared" ref="Z469:AA469" si="243">Z468+0.0002</f>
        <v>1E-3</v>
      </c>
      <c r="AA469" s="5">
        <f t="shared" si="243"/>
        <v>1.2000000000000001E-3</v>
      </c>
      <c r="AB469" s="4">
        <v>2</v>
      </c>
    </row>
    <row r="472" spans="1:28" x14ac:dyDescent="0.25">
      <c r="A472" s="15" t="s">
        <v>256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x14ac:dyDescent="0.25">
      <c r="A473" s="12" t="s">
        <v>86</v>
      </c>
      <c r="C473" s="10" t="s">
        <v>27</v>
      </c>
      <c r="D473" s="10" t="s">
        <v>28</v>
      </c>
      <c r="E473" s="10" t="s">
        <v>29</v>
      </c>
      <c r="F473" s="10" t="s">
        <v>30</v>
      </c>
      <c r="G473" s="10" t="s">
        <v>31</v>
      </c>
      <c r="H473" s="10" t="s">
        <v>47</v>
      </c>
      <c r="I473" s="10" t="s">
        <v>32</v>
      </c>
      <c r="J473" s="10" t="s">
        <v>33</v>
      </c>
      <c r="K473" s="10" t="s">
        <v>34</v>
      </c>
      <c r="L473" s="10" t="s">
        <v>35</v>
      </c>
      <c r="M473" s="10" t="s">
        <v>36</v>
      </c>
      <c r="N473" s="10" t="s">
        <v>37</v>
      </c>
      <c r="O473" s="10" t="s">
        <v>38</v>
      </c>
      <c r="P473" s="10" t="s">
        <v>39</v>
      </c>
      <c r="Q473" s="10" t="s">
        <v>40</v>
      </c>
      <c r="R473" s="10" t="s">
        <v>41</v>
      </c>
      <c r="S473" s="10" t="s">
        <v>42</v>
      </c>
      <c r="T473" s="10" t="s">
        <v>48</v>
      </c>
      <c r="U473" s="10" t="s">
        <v>77</v>
      </c>
      <c r="V473" s="10" t="s">
        <v>78</v>
      </c>
      <c r="W473" s="10" t="s">
        <v>79</v>
      </c>
      <c r="X473" s="10" t="s">
        <v>49</v>
      </c>
      <c r="Y473" s="10" t="s">
        <v>43</v>
      </c>
      <c r="Z473" s="10" t="s">
        <v>44</v>
      </c>
      <c r="AA473" s="10" t="s">
        <v>45</v>
      </c>
      <c r="AB473" s="10" t="s">
        <v>46</v>
      </c>
    </row>
    <row r="474" spans="1:28" x14ac:dyDescent="0.25">
      <c r="B474" t="s">
        <v>14</v>
      </c>
      <c r="C474" s="11">
        <v>1</v>
      </c>
      <c r="D474" s="5">
        <v>55240012297.620941</v>
      </c>
      <c r="E474" s="5">
        <v>55240012297.620941</v>
      </c>
      <c r="F474" s="5">
        <v>0.12039165326512749</v>
      </c>
      <c r="G474" s="5">
        <v>0</v>
      </c>
      <c r="H474" s="5">
        <v>19466666666.666466</v>
      </c>
      <c r="I474" s="5">
        <v>14139999999.999985</v>
      </c>
      <c r="J474" s="5">
        <v>14139999999.999985</v>
      </c>
      <c r="K474" s="5">
        <v>2.9273911661898961E-11</v>
      </c>
      <c r="L474" s="5">
        <v>2.9273911661898961E-11</v>
      </c>
      <c r="M474" s="5">
        <v>0</v>
      </c>
      <c r="N474" s="5">
        <v>2.0000000000000001E-4</v>
      </c>
      <c r="O474" s="5">
        <v>87.679653679651466</v>
      </c>
      <c r="P474" s="5">
        <v>87.679653679651466</v>
      </c>
      <c r="Q474" s="5">
        <v>-5.3441370370368072E-9</v>
      </c>
      <c r="R474" s="5">
        <v>0</v>
      </c>
      <c r="S474" s="5">
        <v>9.5766666666664314E-5</v>
      </c>
      <c r="T474" s="5">
        <v>5.7666666666675375E-7</v>
      </c>
      <c r="U474" s="5">
        <v>5.7666666666675375E-7</v>
      </c>
      <c r="V474" s="5">
        <v>0</v>
      </c>
      <c r="W474" s="5">
        <v>0</v>
      </c>
      <c r="X474" s="5">
        <v>0.41000000000001036</v>
      </c>
      <c r="Y474" s="5">
        <v>1230.0000000000073</v>
      </c>
      <c r="Z474" s="5">
        <v>-1.1999999999999999E-3</v>
      </c>
      <c r="AA474" s="5">
        <v>-1E-3</v>
      </c>
      <c r="AB474" s="4">
        <v>2</v>
      </c>
    </row>
    <row r="475" spans="1:28" x14ac:dyDescent="0.25">
      <c r="C475" s="4">
        <v>2</v>
      </c>
      <c r="D475" s="5">
        <v>73300151964.799255</v>
      </c>
      <c r="E475" s="5">
        <v>73300151964.799255</v>
      </c>
      <c r="F475" s="5">
        <v>0.16539008256332061</v>
      </c>
      <c r="G475" s="5">
        <v>0</v>
      </c>
      <c r="H475" s="5">
        <v>26199999988.824127</v>
      </c>
      <c r="I475" s="5">
        <v>21059999999.441208</v>
      </c>
      <c r="J475" s="5">
        <v>21059999999.441208</v>
      </c>
      <c r="K475" s="5">
        <v>2.3951382194472574E-11</v>
      </c>
      <c r="L475" s="5">
        <v>2.3951382194472574E-11</v>
      </c>
      <c r="M475" s="5">
        <v>0</v>
      </c>
      <c r="N475" s="5">
        <v>2.0000000000000001E-4</v>
      </c>
      <c r="O475" s="5">
        <v>96.909090780157129</v>
      </c>
      <c r="P475" s="5">
        <v>96.909090780157129</v>
      </c>
      <c r="Q475" s="5">
        <v>-4.3555666530297254E-9</v>
      </c>
      <c r="R475" s="5">
        <v>0</v>
      </c>
      <c r="S475" s="5">
        <v>1.0689999986309557E-4</v>
      </c>
      <c r="T475" s="5">
        <v>2.2900000053085385E-6</v>
      </c>
      <c r="U475" s="5">
        <v>2.2900000053085385E-6</v>
      </c>
      <c r="V475" s="5">
        <v>0</v>
      </c>
      <c r="W475" s="5">
        <v>0</v>
      </c>
      <c r="X475" s="5">
        <v>0.79000000065192544</v>
      </c>
      <c r="Y475" s="5">
        <v>1970.0000004656613</v>
      </c>
      <c r="Z475" s="5">
        <f t="shared" ref="Z475:AA475" si="244">Z474+0.0002</f>
        <v>-9.999999999999998E-4</v>
      </c>
      <c r="AA475" s="5">
        <f t="shared" si="244"/>
        <v>-8.0000000000000004E-4</v>
      </c>
      <c r="AB475" s="4">
        <v>2</v>
      </c>
    </row>
    <row r="476" spans="1:28" x14ac:dyDescent="0.25">
      <c r="C476" s="4">
        <v>3</v>
      </c>
      <c r="D476" s="5">
        <v>91360285813.418518</v>
      </c>
      <c r="E476" s="5">
        <v>91360285813.418518</v>
      </c>
      <c r="F476" s="5">
        <v>0.21038850261170305</v>
      </c>
      <c r="G476" s="5">
        <v>0</v>
      </c>
      <c r="H476" s="5">
        <v>32933331485.048618</v>
      </c>
      <c r="I476" s="5">
        <v>27979999907.585762</v>
      </c>
      <c r="J476" s="5">
        <v>27979999907.585762</v>
      </c>
      <c r="K476" s="5">
        <v>1.8628840578817524E-11</v>
      </c>
      <c r="L476" s="5">
        <v>1.8628840578817524E-11</v>
      </c>
      <c r="M476" s="5">
        <v>0</v>
      </c>
      <c r="N476" s="5">
        <v>2.0000000000000001E-4</v>
      </c>
      <c r="O476" s="5">
        <v>106.13850681524337</v>
      </c>
      <c r="P476" s="5">
        <v>106.13850681524337</v>
      </c>
      <c r="Q476" s="5">
        <v>-3.366994040995327E-9</v>
      </c>
      <c r="R476" s="5">
        <v>0</v>
      </c>
      <c r="S476" s="5">
        <v>1.1803331069184554E-4</v>
      </c>
      <c r="T476" s="5">
        <v>4.0033342112685729E-6</v>
      </c>
      <c r="U476" s="5">
        <v>4.0033342112685729E-6</v>
      </c>
      <c r="V476" s="5">
        <v>0</v>
      </c>
      <c r="W476" s="5">
        <v>0</v>
      </c>
      <c r="X476" s="5">
        <v>1.1700001078166082</v>
      </c>
      <c r="Y476" s="5">
        <v>2710.0000770118631</v>
      </c>
      <c r="Z476" s="5">
        <f t="shared" ref="Z476:AA476" si="245">Z475+0.0002</f>
        <v>-7.9999999999999982E-4</v>
      </c>
      <c r="AA476" s="5">
        <f t="shared" si="245"/>
        <v>-6.0000000000000006E-4</v>
      </c>
      <c r="AB476" s="4">
        <v>2</v>
      </c>
    </row>
    <row r="477" spans="1:28" x14ac:dyDescent="0.25">
      <c r="C477" s="4">
        <v>4</v>
      </c>
      <c r="D477" s="5">
        <v>109420261041.22128</v>
      </c>
      <c r="E477" s="5">
        <v>109420261041.22128</v>
      </c>
      <c r="F477" s="5">
        <v>0.25538667049928632</v>
      </c>
      <c r="G477" s="5">
        <v>0</v>
      </c>
      <c r="H477" s="5">
        <v>39666613204.170876</v>
      </c>
      <c r="I477" s="5">
        <v>34899997326.875214</v>
      </c>
      <c r="J477" s="5">
        <v>34899997326.875214</v>
      </c>
      <c r="K477" s="5">
        <v>1.3305967788050324E-11</v>
      </c>
      <c r="L477" s="5">
        <v>1.3305967788050324E-11</v>
      </c>
      <c r="M477" s="5">
        <v>0</v>
      </c>
      <c r="N477" s="5">
        <v>2.0000000000000001E-4</v>
      </c>
      <c r="O477" s="5">
        <v>115.36734858202904</v>
      </c>
      <c r="P477" s="5">
        <v>115.36734858202904</v>
      </c>
      <c r="Q477" s="5">
        <v>-2.3783606902955297E-9</v>
      </c>
      <c r="R477" s="5">
        <v>0</v>
      </c>
      <c r="S477" s="5">
        <v>1.2916601175109324E-4</v>
      </c>
      <c r="T477" s="5">
        <v>5.7166920613521664E-6</v>
      </c>
      <c r="U477" s="5">
        <v>5.7166920613521664E-6</v>
      </c>
      <c r="V477" s="5">
        <v>0</v>
      </c>
      <c r="W477" s="5">
        <v>0</v>
      </c>
      <c r="X477" s="5">
        <v>1.5500031186455878</v>
      </c>
      <c r="Y477" s="5">
        <v>3450.0022276039917</v>
      </c>
      <c r="Z477" s="5">
        <f t="shared" ref="Z477:AA477" si="246">Z476+0.0002</f>
        <v>-5.9999999999999984E-4</v>
      </c>
      <c r="AA477" s="5">
        <f t="shared" si="246"/>
        <v>-4.0000000000000007E-4</v>
      </c>
      <c r="AB477" s="4">
        <v>2</v>
      </c>
    </row>
    <row r="478" spans="1:28" x14ac:dyDescent="0.25">
      <c r="C478" s="4">
        <v>5</v>
      </c>
      <c r="D478" s="5">
        <v>127478468180.34904</v>
      </c>
      <c r="E478" s="5">
        <v>127478468180.34904</v>
      </c>
      <c r="F478" s="5">
        <v>0.30038202764195288</v>
      </c>
      <c r="G478" s="5">
        <v>0</v>
      </c>
      <c r="H478" s="5">
        <v>46399340075.999496</v>
      </c>
      <c r="I478" s="5">
        <v>41819967003.799973</v>
      </c>
      <c r="J478" s="5">
        <v>41819967003.799973</v>
      </c>
      <c r="K478" s="5">
        <v>7.9794035084968212E-12</v>
      </c>
      <c r="L478" s="5">
        <v>7.9794035084968212E-12</v>
      </c>
      <c r="M478" s="5">
        <v>0</v>
      </c>
      <c r="N478" s="5">
        <v>2.0000000000000001E-4</v>
      </c>
      <c r="O478" s="5">
        <v>124.58978918847903</v>
      </c>
      <c r="P478" s="5">
        <v>124.58978918847903</v>
      </c>
      <c r="Q478" s="5">
        <v>-1.3890503077355736E-9</v>
      </c>
      <c r="R478" s="5">
        <v>0</v>
      </c>
      <c r="S478" s="5">
        <v>1.4029191593099385E-4</v>
      </c>
      <c r="T478" s="5">
        <v>7.4303134639002377E-6</v>
      </c>
      <c r="U478" s="5">
        <v>7.4303134639002377E-6</v>
      </c>
      <c r="V478" s="5">
        <v>0</v>
      </c>
      <c r="W478" s="5">
        <v>0</v>
      </c>
      <c r="X478" s="5">
        <v>1.9300384955666958</v>
      </c>
      <c r="Y478" s="5">
        <v>4190.0274968333542</v>
      </c>
      <c r="Z478" s="5">
        <f t="shared" ref="Z478:AA478" si="247">Z477+0.0002</f>
        <v>-3.9999999999999986E-4</v>
      </c>
      <c r="AA478" s="5">
        <f t="shared" si="247"/>
        <v>-2.0000000000000006E-4</v>
      </c>
      <c r="AB478" s="4">
        <v>2</v>
      </c>
    </row>
    <row r="479" spans="1:28" x14ac:dyDescent="0.25">
      <c r="C479" s="4">
        <v>6</v>
      </c>
      <c r="D479" s="5">
        <v>145525067588.05341</v>
      </c>
      <c r="E479" s="5">
        <v>145525067588.05341</v>
      </c>
      <c r="F479" s="5">
        <v>0.34535893187976663</v>
      </c>
      <c r="G479" s="5">
        <v>0</v>
      </c>
      <c r="H479" s="5">
        <v>53128424303.397186</v>
      </c>
      <c r="I479" s="5">
        <v>48739754548.503189</v>
      </c>
      <c r="J479" s="5">
        <v>48739754548.503189</v>
      </c>
      <c r="K479" s="5">
        <v>2.6286041263781098E-12</v>
      </c>
      <c r="L479" s="5">
        <v>2.6286041263781098E-12</v>
      </c>
      <c r="M479" s="5">
        <v>0</v>
      </c>
      <c r="N479" s="5">
        <v>2.0000000000000001E-4</v>
      </c>
      <c r="O479" s="5">
        <v>133.77020534727342</v>
      </c>
      <c r="P479" s="5">
        <v>133.77020534727342</v>
      </c>
      <c r="Q479" s="5">
        <v>-3.9529512322152484E-10</v>
      </c>
      <c r="R479" s="5">
        <v>0</v>
      </c>
      <c r="S479" s="5">
        <v>1.5137319771661552E-4</v>
      </c>
      <c r="T479" s="5">
        <v>9.1456651225530048E-6</v>
      </c>
      <c r="U479" s="5">
        <v>9.1456651225530048E-6</v>
      </c>
      <c r="V479" s="5">
        <v>0</v>
      </c>
      <c r="W479" s="5">
        <v>0</v>
      </c>
      <c r="X479" s="5">
        <v>2.3102863600796089</v>
      </c>
      <c r="Y479" s="5">
        <v>4930.2045429140062</v>
      </c>
      <c r="Z479" s="5">
        <f t="shared" ref="Z479:AA479" si="248">Z478+0.0002</f>
        <v>-1.9999999999999985E-4</v>
      </c>
      <c r="AA479" s="5">
        <f t="shared" si="248"/>
        <v>0</v>
      </c>
      <c r="AB479" s="4">
        <v>2</v>
      </c>
    </row>
    <row r="480" spans="1:28" x14ac:dyDescent="0.25">
      <c r="C480" s="4">
        <v>7</v>
      </c>
      <c r="D480" s="5">
        <v>145457566427.13138</v>
      </c>
      <c r="E480" s="5">
        <v>145457566427.13138</v>
      </c>
      <c r="F480" s="5">
        <v>0.34525162473640481</v>
      </c>
      <c r="G480" s="5">
        <v>0</v>
      </c>
      <c r="H480" s="5">
        <v>53107241634.799286</v>
      </c>
      <c r="I480" s="5">
        <v>48738695415.073296</v>
      </c>
      <c r="J480" s="5">
        <v>48738695415.073296</v>
      </c>
      <c r="K480" s="5">
        <v>2.4876724060830521E-12</v>
      </c>
      <c r="L480" s="5">
        <v>2.4876724060830521E-12</v>
      </c>
      <c r="M480" s="5">
        <v>0</v>
      </c>
      <c r="N480" s="5">
        <v>2.0000000000000001E-4</v>
      </c>
      <c r="O480" s="5">
        <v>133.52582520955306</v>
      </c>
      <c r="P480" s="5">
        <v>133.52582520955306</v>
      </c>
      <c r="Q480" s="5">
        <v>-3.6944775640821784E-10</v>
      </c>
      <c r="R480" s="5">
        <v>0</v>
      </c>
      <c r="S480" s="5">
        <v>1.5111371002629124E-4</v>
      </c>
      <c r="T480" s="5">
        <v>9.1557268901370078E-6</v>
      </c>
      <c r="U480" s="5">
        <v>9.1557268901370078E-6</v>
      </c>
      <c r="V480" s="5">
        <v>0</v>
      </c>
      <c r="W480" s="5">
        <v>0</v>
      </c>
      <c r="X480" s="5">
        <v>2.3115220157478196</v>
      </c>
      <c r="Y480" s="5">
        <v>4931.0871541055849</v>
      </c>
      <c r="Z480" s="5">
        <f t="shared" ref="Z480:AA480" si="249">Z479+0.0002</f>
        <v>0</v>
      </c>
      <c r="AA480" s="5">
        <f t="shared" si="249"/>
        <v>2.0000000000000001E-4</v>
      </c>
      <c r="AB480" s="4">
        <v>2</v>
      </c>
    </row>
    <row r="481" spans="1:28" x14ac:dyDescent="0.25">
      <c r="C481" s="4">
        <v>8</v>
      </c>
      <c r="D481" s="5">
        <v>127132785193.493</v>
      </c>
      <c r="E481" s="5">
        <v>127132785193.493</v>
      </c>
      <c r="F481" s="5">
        <v>0.29983249259216144</v>
      </c>
      <c r="G481" s="5">
        <v>0</v>
      </c>
      <c r="H481" s="5">
        <v>46290860635.787247</v>
      </c>
      <c r="I481" s="5">
        <v>41814543031.78936</v>
      </c>
      <c r="J481" s="5">
        <v>41814543031.78936</v>
      </c>
      <c r="K481" s="5">
        <v>7.2576722471545978E-12</v>
      </c>
      <c r="L481" s="5">
        <v>7.2576722471545978E-12</v>
      </c>
      <c r="M481" s="5">
        <v>0</v>
      </c>
      <c r="N481" s="5">
        <v>2.0000000000000001E-4</v>
      </c>
      <c r="O481" s="5">
        <v>123.33828395832471</v>
      </c>
      <c r="P481" s="5">
        <v>123.33828395832471</v>
      </c>
      <c r="Q481" s="5">
        <v>-1.2566822885736208E-9</v>
      </c>
      <c r="R481" s="5">
        <v>0</v>
      </c>
      <c r="S481" s="5">
        <v>1.3896304278839379E-4</v>
      </c>
      <c r="T481" s="5">
        <v>7.4818411980010569E-6</v>
      </c>
      <c r="U481" s="5">
        <v>7.4818411980010569E-6</v>
      </c>
      <c r="V481" s="5">
        <v>0</v>
      </c>
      <c r="W481" s="5">
        <v>0</v>
      </c>
      <c r="X481" s="5">
        <v>1.9363664629124102</v>
      </c>
      <c r="Y481" s="5">
        <v>4194.5474735088646</v>
      </c>
      <c r="Z481" s="5">
        <f t="shared" ref="Z481:AA481" si="250">Z480+0.0002</f>
        <v>2.0000000000000001E-4</v>
      </c>
      <c r="AA481" s="5">
        <f t="shared" si="250"/>
        <v>4.0000000000000002E-4</v>
      </c>
      <c r="AB481" s="4">
        <v>2</v>
      </c>
    </row>
    <row r="482" spans="1:28" x14ac:dyDescent="0.25">
      <c r="C482" s="4">
        <v>9</v>
      </c>
      <c r="D482" s="5">
        <v>108204557290.08212</v>
      </c>
      <c r="E482" s="5">
        <v>108204557290.08212</v>
      </c>
      <c r="F482" s="5">
        <v>0.25345405637936691</v>
      </c>
      <c r="G482" s="5">
        <v>0</v>
      </c>
      <c r="H482" s="5">
        <v>39285110881.516991</v>
      </c>
      <c r="I482" s="5">
        <v>34880922210.742516</v>
      </c>
      <c r="J482" s="5">
        <v>34880922210.742516</v>
      </c>
      <c r="K482" s="5">
        <v>1.0767771130736789E-11</v>
      </c>
      <c r="L482" s="5">
        <v>1.0767771130736789E-11</v>
      </c>
      <c r="M482" s="5">
        <v>0</v>
      </c>
      <c r="N482" s="5">
        <v>2.0000000000000001E-4</v>
      </c>
      <c r="O482" s="5">
        <v>110.96603390725589</v>
      </c>
      <c r="P482" s="5">
        <v>110.96603390725589</v>
      </c>
      <c r="Q482" s="5">
        <v>-1.9128466107927815E-9</v>
      </c>
      <c r="R482" s="5">
        <v>0</v>
      </c>
      <c r="S482" s="5">
        <v>1.2449260829858316E-4</v>
      </c>
      <c r="T482" s="5">
        <v>5.8979056646127615E-6</v>
      </c>
      <c r="U482" s="5">
        <v>5.8979056646127615E-6</v>
      </c>
      <c r="V482" s="5">
        <v>0</v>
      </c>
      <c r="W482" s="5">
        <v>0</v>
      </c>
      <c r="X482" s="5">
        <v>1.5722574208003977</v>
      </c>
      <c r="Y482" s="5">
        <v>3465.8981577145696</v>
      </c>
      <c r="Z482" s="5">
        <f t="shared" ref="Z482:AA482" si="251">Z481+0.0002</f>
        <v>4.0000000000000002E-4</v>
      </c>
      <c r="AA482" s="5">
        <f t="shared" si="251"/>
        <v>6.0000000000000006E-4</v>
      </c>
      <c r="AB482" s="4">
        <v>2</v>
      </c>
    </row>
    <row r="483" spans="1:28" x14ac:dyDescent="0.25">
      <c r="C483" s="4">
        <v>10</v>
      </c>
      <c r="D483" s="5">
        <v>87662559897.495331</v>
      </c>
      <c r="E483" s="5">
        <v>87662559897.495331</v>
      </c>
      <c r="F483" s="5">
        <v>0.2045101977121675</v>
      </c>
      <c r="G483" s="5">
        <v>0</v>
      </c>
      <c r="H483" s="5">
        <v>31772941032.900814</v>
      </c>
      <c r="I483" s="5">
        <v>27921980384.978371</v>
      </c>
      <c r="J483" s="5">
        <v>27921980384.978371</v>
      </c>
      <c r="K483" s="5">
        <v>1.090857521757042E-11</v>
      </c>
      <c r="L483" s="5">
        <v>1.090857521757042E-11</v>
      </c>
      <c r="M483" s="5">
        <v>0</v>
      </c>
      <c r="N483" s="5">
        <v>2.0000000000000001E-4</v>
      </c>
      <c r="O483" s="5">
        <v>92.751318265572849</v>
      </c>
      <c r="P483" s="5">
        <v>92.751318265572849</v>
      </c>
      <c r="Q483" s="5">
        <v>-1.9510705691861232E-9</v>
      </c>
      <c r="R483" s="5">
        <v>0</v>
      </c>
      <c r="S483" s="5">
        <v>1.0381852765303494E-4</v>
      </c>
      <c r="T483" s="5">
        <v>4.5545196760387797E-6</v>
      </c>
      <c r="U483" s="5">
        <v>4.5545196760387797E-6</v>
      </c>
      <c r="V483" s="5">
        <v>0</v>
      </c>
      <c r="W483" s="5">
        <v>0</v>
      </c>
      <c r="X483" s="5">
        <v>1.2376895508585635</v>
      </c>
      <c r="Y483" s="5">
        <v>2758.3496791846883</v>
      </c>
      <c r="Z483" s="5">
        <f t="shared" ref="Z483:AA483" si="252">Z482+0.0002</f>
        <v>6.0000000000000006E-4</v>
      </c>
      <c r="AA483" s="5">
        <f t="shared" si="252"/>
        <v>8.0000000000000004E-4</v>
      </c>
      <c r="AB483" s="4">
        <v>2</v>
      </c>
    </row>
    <row r="484" spans="1:28" x14ac:dyDescent="0.25">
      <c r="C484" s="4">
        <v>11</v>
      </c>
      <c r="D484" s="5">
        <v>63240282507.068909</v>
      </c>
      <c r="E484" s="5">
        <v>63240282507.068909</v>
      </c>
      <c r="F484" s="5">
        <v>0.14939782643978877</v>
      </c>
      <c r="G484" s="5">
        <v>0</v>
      </c>
      <c r="H484" s="5">
        <v>23043093086.034058</v>
      </c>
      <c r="I484" s="5">
        <v>20902154654.301704</v>
      </c>
      <c r="J484" s="5">
        <v>20902154654.301704</v>
      </c>
      <c r="K484" s="5">
        <v>2.9479699678545057E-12</v>
      </c>
      <c r="L484" s="5">
        <v>2.9479699678545057E-12</v>
      </c>
      <c r="M484" s="5">
        <v>0</v>
      </c>
      <c r="N484" s="5">
        <v>2.0000000000000001E-4</v>
      </c>
      <c r="O484" s="5">
        <v>60.488498157059588</v>
      </c>
      <c r="P484" s="5">
        <v>60.488498157059588</v>
      </c>
      <c r="Q484" s="5">
        <v>-5.0346792737802295E-10</v>
      </c>
      <c r="R484" s="5">
        <v>0</v>
      </c>
      <c r="S484" s="5">
        <v>6.8227890303917228E-5</v>
      </c>
      <c r="T484" s="5">
        <v>3.7895307841338208E-6</v>
      </c>
      <c r="U484" s="5">
        <v>3.7895307841338208E-6</v>
      </c>
      <c r="V484" s="5">
        <v>0</v>
      </c>
      <c r="W484" s="5">
        <v>0</v>
      </c>
      <c r="X484" s="5">
        <v>0.97415290331467985</v>
      </c>
      <c r="Y484" s="5">
        <v>2101.5377880819142</v>
      </c>
      <c r="Z484" s="5">
        <f t="shared" ref="Z484:AA484" si="253">Z483+0.0002</f>
        <v>8.0000000000000004E-4</v>
      </c>
      <c r="AA484" s="5">
        <f t="shared" si="253"/>
        <v>1E-3</v>
      </c>
      <c r="AB484" s="4">
        <v>2</v>
      </c>
    </row>
    <row r="485" spans="1:28" x14ac:dyDescent="0.25">
      <c r="B485" t="s">
        <v>190</v>
      </c>
      <c r="C485" s="11">
        <v>12</v>
      </c>
      <c r="D485" s="5">
        <v>30255104016.891449</v>
      </c>
      <c r="E485" s="5">
        <v>30255104016.891449</v>
      </c>
      <c r="F485" s="5">
        <v>8.0672941792053948E-2</v>
      </c>
      <c r="G485" s="5">
        <v>0</v>
      </c>
      <c r="H485" s="5">
        <v>11626104744.026283</v>
      </c>
      <c r="I485" s="5">
        <v>13747971903.867973</v>
      </c>
      <c r="J485" s="5">
        <v>13747971903.867973</v>
      </c>
      <c r="K485" s="5">
        <v>-2.2890614952425428E-11</v>
      </c>
      <c r="L485" s="5">
        <v>-2.2890614952425428E-11</v>
      </c>
      <c r="M485" s="5">
        <v>0</v>
      </c>
      <c r="N485" s="5">
        <v>2.0000000000000001E-4</v>
      </c>
      <c r="O485" s="5">
        <v>-2.7753139560026128</v>
      </c>
      <c r="P485" s="5">
        <v>-2.7753139560026128</v>
      </c>
      <c r="Q485" s="5">
        <v>4.2230182578825606E-9</v>
      </c>
      <c r="R485" s="5">
        <v>0</v>
      </c>
      <c r="S485" s="5">
        <v>-2.802168856779597E-7</v>
      </c>
      <c r="T485" s="5">
        <v>4.3009335799208414E-6</v>
      </c>
      <c r="U485" s="5">
        <v>4.3009335799208414E-6</v>
      </c>
      <c r="V485" s="5">
        <v>0</v>
      </c>
      <c r="W485" s="5">
        <v>0</v>
      </c>
      <c r="X485" s="5">
        <v>0.86736611215402126</v>
      </c>
      <c r="Y485" s="5">
        <v>1556.6900801100146</v>
      </c>
      <c r="Z485" s="5">
        <f t="shared" ref="Z485:AA485" si="254">Z484+0.0002</f>
        <v>1E-3</v>
      </c>
      <c r="AA485" s="5">
        <f t="shared" si="254"/>
        <v>1.2000000000000001E-3</v>
      </c>
      <c r="AB485" s="4">
        <v>2</v>
      </c>
    </row>
    <row r="493" spans="1:28" x14ac:dyDescent="0.25">
      <c r="A493" t="s">
        <v>200</v>
      </c>
    </row>
    <row r="494" spans="1:28" x14ac:dyDescent="0.25">
      <c r="A494" t="s">
        <v>200</v>
      </c>
    </row>
    <row r="495" spans="1:28" x14ac:dyDescent="0.25">
      <c r="A495" t="s">
        <v>200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"/>
  <sheetViews>
    <sheetView workbookViewId="0">
      <selection activeCell="R18" sqref="R18"/>
    </sheetView>
  </sheetViews>
  <sheetFormatPr defaultRowHeight="14" x14ac:dyDescent="0.25"/>
  <cols>
    <col min="2" max="3" width="10.26953125" bestFit="1" customWidth="1"/>
    <col min="4" max="4" width="11.90625" customWidth="1"/>
    <col min="5" max="5" width="10.26953125" bestFit="1" customWidth="1"/>
    <col min="7" max="10" width="10.26953125" bestFit="1" customWidth="1"/>
    <col min="12" max="15" width="10.26953125" bestFit="1" customWidth="1"/>
    <col min="17" max="20" width="10.26953125" bestFit="1" customWidth="1"/>
  </cols>
  <sheetData>
    <row r="1" spans="1:20" x14ac:dyDescent="0.25">
      <c r="A1" s="2" t="s">
        <v>173</v>
      </c>
    </row>
    <row r="3" spans="1:20" x14ac:dyDescent="0.25">
      <c r="A3" t="s">
        <v>174</v>
      </c>
      <c r="B3" s="32" t="s">
        <v>175</v>
      </c>
      <c r="C3" s="32"/>
      <c r="D3" s="32"/>
      <c r="E3" s="32"/>
      <c r="G3" s="32" t="s">
        <v>176</v>
      </c>
      <c r="H3" s="32"/>
      <c r="I3" s="32"/>
      <c r="J3" s="32"/>
      <c r="L3" s="32" t="s">
        <v>177</v>
      </c>
      <c r="M3" s="32"/>
      <c r="N3" s="32"/>
      <c r="O3" s="32"/>
      <c r="Q3" s="32" t="s">
        <v>178</v>
      </c>
      <c r="R3" s="32"/>
      <c r="S3" s="32"/>
      <c r="T3" s="32"/>
    </row>
    <row r="4" spans="1:20" x14ac:dyDescent="0.25">
      <c r="B4" s="16">
        <v>0</v>
      </c>
      <c r="C4" s="16">
        <v>0.2</v>
      </c>
      <c r="D4" s="16">
        <v>0.3</v>
      </c>
      <c r="E4" s="16">
        <v>0.4</v>
      </c>
      <c r="G4" s="16">
        <v>0</v>
      </c>
      <c r="H4" s="16">
        <v>0.2</v>
      </c>
      <c r="I4" s="16">
        <v>0.3</v>
      </c>
      <c r="J4" s="16">
        <v>0.4</v>
      </c>
      <c r="L4" s="16">
        <v>0</v>
      </c>
      <c r="M4" s="16">
        <v>0.2</v>
      </c>
      <c r="N4" s="16">
        <v>0.3</v>
      </c>
      <c r="O4" s="16">
        <v>0.4</v>
      </c>
      <c r="Q4" s="16">
        <v>0</v>
      </c>
      <c r="R4" s="16">
        <v>0.2</v>
      </c>
      <c r="S4" s="16">
        <v>0.3</v>
      </c>
      <c r="T4" s="16">
        <v>0.4</v>
      </c>
    </row>
    <row r="5" spans="1:20" x14ac:dyDescent="0.25">
      <c r="A5">
        <v>1</v>
      </c>
      <c r="B5">
        <v>753.32064912261706</v>
      </c>
      <c r="C5">
        <v>724.57576236744205</v>
      </c>
      <c r="D5">
        <v>708.96269047979001</v>
      </c>
      <c r="E5">
        <v>691.36162967864095</v>
      </c>
      <c r="G5">
        <v>777.768491599497</v>
      </c>
      <c r="H5">
        <v>753.48247447441997</v>
      </c>
      <c r="I5">
        <v>741.12747366963902</v>
      </c>
      <c r="J5">
        <v>727.95857946804199</v>
      </c>
      <c r="L5">
        <v>821.24822294426303</v>
      </c>
      <c r="M5">
        <v>804.94439460317096</v>
      </c>
      <c r="N5">
        <v>798.70079963883302</v>
      </c>
      <c r="O5">
        <v>793.76171786806401</v>
      </c>
      <c r="Q5">
        <v>864.071947333411</v>
      </c>
      <c r="R5" s="18">
        <v>857.75426195865805</v>
      </c>
      <c r="S5">
        <v>855.19346147497595</v>
      </c>
      <c r="T5">
        <v>854.60523876031004</v>
      </c>
    </row>
    <row r="6" spans="1:20" x14ac:dyDescent="0.25">
      <c r="A6">
        <v>2</v>
      </c>
      <c r="B6">
        <v>946.94644796720695</v>
      </c>
      <c r="C6">
        <v>916.20147913569997</v>
      </c>
      <c r="D6">
        <v>898.24496296326095</v>
      </c>
      <c r="E6">
        <v>877.22101154766005</v>
      </c>
      <c r="G6">
        <v>976.93921230927594</v>
      </c>
      <c r="H6">
        <v>952.76131879888896</v>
      </c>
      <c r="I6">
        <v>939.499634311205</v>
      </c>
      <c r="J6">
        <v>924.76935516116703</v>
      </c>
      <c r="L6">
        <v>1038.7013555582701</v>
      </c>
      <c r="M6">
        <v>1027.5343141451201</v>
      </c>
      <c r="N6">
        <v>1023.73191490818</v>
      </c>
      <c r="O6">
        <v>1021.63448057475</v>
      </c>
      <c r="Q6">
        <v>1088.0875649227401</v>
      </c>
      <c r="R6">
        <v>1097.5829361015501</v>
      </c>
      <c r="S6">
        <v>1086.69538164716</v>
      </c>
      <c r="T6">
        <v>1089.9879500546299</v>
      </c>
    </row>
    <row r="7" spans="1:20" x14ac:dyDescent="0.25">
      <c r="A7">
        <v>3</v>
      </c>
      <c r="B7">
        <v>1340.06086423089</v>
      </c>
      <c r="C7">
        <v>1287.93685072064</v>
      </c>
      <c r="D7">
        <v>1260.37252396393</v>
      </c>
      <c r="E7">
        <v>1229.7297166487399</v>
      </c>
      <c r="G7">
        <v>1386.9004279456001</v>
      </c>
      <c r="H7">
        <v>1342.2239934956001</v>
      </c>
      <c r="I7">
        <v>1320.2137297638999</v>
      </c>
      <c r="J7">
        <v>1297.23794046679</v>
      </c>
      <c r="L7">
        <v>1462.4922462244899</v>
      </c>
      <c r="M7">
        <v>1430.4109917291401</v>
      </c>
      <c r="N7">
        <v>1418.36590068636</v>
      </c>
      <c r="O7">
        <v>1408.81413077603</v>
      </c>
      <c r="Q7">
        <v>1535.2077791997301</v>
      </c>
      <c r="R7">
        <v>1519.12334969176</v>
      </c>
      <c r="S7">
        <v>1516.1305903867801</v>
      </c>
      <c r="T7">
        <v>1514.0623909809301</v>
      </c>
    </row>
    <row r="8" spans="1:20" x14ac:dyDescent="0.25">
      <c r="A8">
        <v>4</v>
      </c>
      <c r="B8">
        <v>1397.1265139448301</v>
      </c>
      <c r="C8">
        <v>1342.2057203576501</v>
      </c>
      <c r="D8">
        <v>1311.98443476237</v>
      </c>
      <c r="E8">
        <v>1277.8328368964101</v>
      </c>
      <c r="G8">
        <v>1440.99915069894</v>
      </c>
      <c r="H8">
        <v>1394.4788671092499</v>
      </c>
      <c r="I8">
        <v>1370.32108748109</v>
      </c>
      <c r="J8">
        <v>1344.3182074475501</v>
      </c>
      <c r="L8">
        <v>1524.1808162741099</v>
      </c>
      <c r="M8">
        <v>1493.3683374288701</v>
      </c>
      <c r="N8">
        <v>1480.98770090015</v>
      </c>
      <c r="O8">
        <v>1470.8825469995199</v>
      </c>
      <c r="Q8">
        <v>1603.6366399626099</v>
      </c>
      <c r="R8">
        <v>1588.8995801262199</v>
      </c>
      <c r="S8">
        <v>1586.4980434449301</v>
      </c>
      <c r="T8">
        <v>1584.4935073650599</v>
      </c>
    </row>
    <row r="9" spans="1:20" x14ac:dyDescent="0.25">
      <c r="A9">
        <v>5</v>
      </c>
      <c r="B9">
        <v>1607.76483528843</v>
      </c>
      <c r="C9">
        <v>1561.2344755674501</v>
      </c>
      <c r="D9">
        <v>1533.38610452894</v>
      </c>
      <c r="E9">
        <v>1500.07479653467</v>
      </c>
      <c r="G9">
        <v>1657.9781030060001</v>
      </c>
      <c r="H9">
        <v>1623.07149732431</v>
      </c>
      <c r="I9">
        <v>1603.5042054529599</v>
      </c>
      <c r="J9">
        <v>1581.3206099915401</v>
      </c>
      <c r="L9">
        <v>1760.6343123521101</v>
      </c>
      <c r="M9">
        <v>1748.37501782452</v>
      </c>
      <c r="N9">
        <v>1745.33520141948</v>
      </c>
      <c r="O9">
        <v>1745.13083887376</v>
      </c>
      <c r="Q9">
        <v>1847.0214363591599</v>
      </c>
      <c r="R9">
        <v>1878.5741930853101</v>
      </c>
      <c r="S9">
        <v>1852.0232049134199</v>
      </c>
      <c r="T9">
        <v>1861.4988718304101</v>
      </c>
    </row>
    <row r="10" spans="1:20" x14ac:dyDescent="0.25">
      <c r="A10">
        <v>6</v>
      </c>
      <c r="B10">
        <v>1813.2434513109899</v>
      </c>
      <c r="C10">
        <v>1736.88935785688</v>
      </c>
      <c r="D10">
        <v>1696.2037731647099</v>
      </c>
      <c r="E10">
        <v>1651.13102976094</v>
      </c>
      <c r="G10">
        <v>1874.14546415474</v>
      </c>
      <c r="H10">
        <v>1807.6724380558801</v>
      </c>
      <c r="I10">
        <v>1774.2732238967101</v>
      </c>
      <c r="J10">
        <v>1739.1338639657799</v>
      </c>
      <c r="L10">
        <v>1976.8605820442799</v>
      </c>
      <c r="M10">
        <v>1927.6327063751901</v>
      </c>
      <c r="N10">
        <v>1907.6179764011199</v>
      </c>
      <c r="O10">
        <v>1890.5705876361001</v>
      </c>
      <c r="Q10">
        <v>2077.9545473937001</v>
      </c>
      <c r="R10">
        <v>2041.0237603693899</v>
      </c>
      <c r="S10">
        <v>2045.8994928070799</v>
      </c>
      <c r="T10">
        <v>2039.08667134904</v>
      </c>
    </row>
    <row r="11" spans="1:20" x14ac:dyDescent="0.25">
      <c r="A11">
        <v>7</v>
      </c>
      <c r="B11">
        <v>2116.7596148886801</v>
      </c>
      <c r="C11">
        <v>2056.1194400488598</v>
      </c>
      <c r="D11">
        <v>2010.80519562573</v>
      </c>
      <c r="E11">
        <v>1959.58868125771</v>
      </c>
      <c r="G11">
        <v>2182.4292112335002</v>
      </c>
      <c r="H11">
        <v>2136.6600873655698</v>
      </c>
      <c r="I11">
        <v>2100.6232917368402</v>
      </c>
      <c r="J11">
        <v>2061.92971586665</v>
      </c>
      <c r="L11">
        <v>2311.6844688904998</v>
      </c>
      <c r="M11">
        <v>2285.6812394385702</v>
      </c>
      <c r="N11">
        <v>2267.4340489702299</v>
      </c>
      <c r="O11">
        <v>2252.7228210686699</v>
      </c>
      <c r="Q11">
        <v>2430.0805345382601</v>
      </c>
      <c r="R11">
        <v>2433.8938012932699</v>
      </c>
      <c r="S11">
        <v>2428.3679177039398</v>
      </c>
      <c r="T11">
        <v>2426.0855859396002</v>
      </c>
    </row>
    <row r="12" spans="1:20" x14ac:dyDescent="0.25">
      <c r="A12">
        <v>8</v>
      </c>
      <c r="B12">
        <v>2138.75450292708</v>
      </c>
      <c r="C12">
        <v>2055.7689087448698</v>
      </c>
      <c r="D12">
        <v>2019.96188233762</v>
      </c>
      <c r="E12">
        <v>1977.28794022383</v>
      </c>
      <c r="G12">
        <v>2206.4917124200601</v>
      </c>
      <c r="H12">
        <v>2136.4101397396298</v>
      </c>
      <c r="I12">
        <v>2111.3382542187901</v>
      </c>
      <c r="J12">
        <v>2083.1868233230498</v>
      </c>
      <c r="L12">
        <v>2331.9543231294501</v>
      </c>
      <c r="M12">
        <v>2293.9243568758602</v>
      </c>
      <c r="N12">
        <v>2289.79612925435</v>
      </c>
      <c r="O12">
        <v>2289.51135192323</v>
      </c>
      <c r="Q12">
        <v>2453.6191442925401</v>
      </c>
      <c r="R12">
        <v>2470.81643717924</v>
      </c>
      <c r="S12">
        <v>2435.0441400124801</v>
      </c>
      <c r="T12">
        <v>2447.6141838605399</v>
      </c>
    </row>
    <row r="13" spans="1:20" x14ac:dyDescent="0.25">
      <c r="A13">
        <v>9</v>
      </c>
      <c r="B13">
        <v>2270.64133245109</v>
      </c>
      <c r="C13">
        <v>2184.6282349805201</v>
      </c>
      <c r="D13">
        <v>2139.2221872138798</v>
      </c>
      <c r="E13">
        <v>2088.6732882460501</v>
      </c>
      <c r="G13">
        <v>2351.2878800399099</v>
      </c>
      <c r="H13">
        <v>2277.9342681192102</v>
      </c>
      <c r="I13">
        <v>2241.9956483518499</v>
      </c>
      <c r="J13">
        <v>2204.5538544323399</v>
      </c>
      <c r="L13">
        <v>2479.4161938996599</v>
      </c>
      <c r="M13">
        <v>2427.3296492750501</v>
      </c>
      <c r="N13">
        <v>2408.3007311408001</v>
      </c>
      <c r="O13">
        <v>2393.6151702965899</v>
      </c>
      <c r="Q13">
        <v>2600.1312848081702</v>
      </c>
      <c r="R13">
        <v>2578.4939533392098</v>
      </c>
      <c r="S13">
        <v>2570.2230597848502</v>
      </c>
      <c r="T13">
        <v>2568.1879235964698</v>
      </c>
    </row>
    <row r="14" spans="1:20" x14ac:dyDescent="0.25">
      <c r="A14">
        <v>10</v>
      </c>
      <c r="B14">
        <v>2560.54064746221</v>
      </c>
      <c r="C14">
        <v>2450.65144392399</v>
      </c>
      <c r="D14">
        <v>2391.9597594823699</v>
      </c>
      <c r="E14">
        <v>2326.9857596791398</v>
      </c>
      <c r="G14">
        <v>2645.27755489117</v>
      </c>
      <c r="H14">
        <v>2549.2166271203</v>
      </c>
      <c r="I14">
        <v>2500.6810551868102</v>
      </c>
      <c r="J14">
        <v>2449.4894588581801</v>
      </c>
      <c r="L14">
        <v>2790.41432325803</v>
      </c>
      <c r="M14">
        <v>2718.78314590328</v>
      </c>
      <c r="N14">
        <v>2689.0902030481002</v>
      </c>
      <c r="O14">
        <v>2663.4050754083401</v>
      </c>
      <c r="Q14">
        <v>2933.5331956222599</v>
      </c>
      <c r="R14">
        <v>2875.4581865423502</v>
      </c>
      <c r="S14">
        <v>2885.9345945299501</v>
      </c>
      <c r="T14">
        <v>2874.7327718165402</v>
      </c>
    </row>
    <row r="18" spans="1:20" x14ac:dyDescent="0.25">
      <c r="A18" s="2" t="s">
        <v>179</v>
      </c>
    </row>
    <row r="20" spans="1:20" x14ac:dyDescent="0.25">
      <c r="A20" t="s">
        <v>174</v>
      </c>
      <c r="B20" s="32" t="s">
        <v>175</v>
      </c>
      <c r="C20" s="32"/>
      <c r="D20" s="32"/>
      <c r="E20" s="32"/>
      <c r="G20" s="32" t="s">
        <v>176</v>
      </c>
      <c r="H20" s="32"/>
      <c r="I20" s="32"/>
      <c r="J20" s="32"/>
      <c r="L20" s="32" t="s">
        <v>177</v>
      </c>
      <c r="M20" s="32"/>
      <c r="N20" s="32"/>
      <c r="O20" s="32"/>
      <c r="Q20" s="32" t="s">
        <v>178</v>
      </c>
      <c r="R20" s="32"/>
      <c r="S20" s="32"/>
      <c r="T20" s="32"/>
    </row>
    <row r="21" spans="1:20" x14ac:dyDescent="0.25">
      <c r="B21" s="16">
        <v>0</v>
      </c>
      <c r="C21" s="16">
        <v>0.2</v>
      </c>
      <c r="D21" s="16">
        <v>0.3</v>
      </c>
      <c r="E21" s="16">
        <v>0.4</v>
      </c>
      <c r="G21" s="16">
        <v>0</v>
      </c>
      <c r="H21" s="16">
        <v>0.2</v>
      </c>
      <c r="I21" s="16">
        <v>0.3</v>
      </c>
      <c r="J21" s="16">
        <v>0.6</v>
      </c>
      <c r="L21" s="16">
        <v>0</v>
      </c>
      <c r="M21" s="16">
        <v>0.2</v>
      </c>
      <c r="N21" s="16">
        <v>0.3</v>
      </c>
      <c r="O21" s="16">
        <v>0.4</v>
      </c>
      <c r="Q21" s="16">
        <v>0</v>
      </c>
      <c r="R21" s="16">
        <v>0.2</v>
      </c>
      <c r="S21" s="16">
        <v>0.3</v>
      </c>
      <c r="T21" s="16">
        <v>0.4</v>
      </c>
    </row>
    <row r="22" spans="1:20" x14ac:dyDescent="0.25">
      <c r="A22">
        <v>1</v>
      </c>
      <c r="B22">
        <v>753.32064912261706</v>
      </c>
      <c r="C22">
        <v>704.57357939868405</v>
      </c>
      <c r="D22">
        <v>667.33398363705498</v>
      </c>
      <c r="E22">
        <v>607.749558091224</v>
      </c>
      <c r="G22">
        <v>777.768491599497</v>
      </c>
      <c r="H22">
        <v>731.16873463062097</v>
      </c>
      <c r="I22">
        <v>696.12112893806204</v>
      </c>
      <c r="J22">
        <v>640.70060000728495</v>
      </c>
      <c r="L22">
        <v>821.24822294426303</v>
      </c>
      <c r="M22">
        <v>783.05485520552804</v>
      </c>
      <c r="N22">
        <v>756.022104959481</v>
      </c>
      <c r="O22">
        <v>714.93394045713399</v>
      </c>
      <c r="Q22">
        <v>864.071947333411</v>
      </c>
      <c r="R22">
        <v>837.96885982339199</v>
      </c>
      <c r="S22">
        <v>821.94657825751995</v>
      </c>
      <c r="T22">
        <v>798.90793630213398</v>
      </c>
    </row>
    <row r="23" spans="1:20" x14ac:dyDescent="0.25">
      <c r="A23">
        <v>2</v>
      </c>
      <c r="B23">
        <v>946.94644796720695</v>
      </c>
      <c r="C23">
        <v>911.23326904399596</v>
      </c>
      <c r="D23">
        <v>891.84004472334595</v>
      </c>
      <c r="E23">
        <v>869.88555858675397</v>
      </c>
      <c r="G23">
        <v>976.93921230927594</v>
      </c>
      <c r="H23">
        <v>948.10058606701796</v>
      </c>
      <c r="I23">
        <v>933.82660776504804</v>
      </c>
      <c r="J23">
        <v>918.76157152265796</v>
      </c>
      <c r="L23">
        <v>1038.7013555582701</v>
      </c>
      <c r="M23">
        <v>1023.40416893007</v>
      </c>
      <c r="N23">
        <v>1018.9846009069799</v>
      </c>
      <c r="O23">
        <v>1017.38354349683</v>
      </c>
      <c r="Q23">
        <v>1088.0875649227401</v>
      </c>
      <c r="R23">
        <v>1081.7049398955101</v>
      </c>
      <c r="S23">
        <v>1084.0939035515501</v>
      </c>
      <c r="T23">
        <v>1091.80937775338</v>
      </c>
    </row>
    <row r="24" spans="1:20" x14ac:dyDescent="0.25">
      <c r="A24">
        <v>3</v>
      </c>
      <c r="B24">
        <v>1340.06086423089</v>
      </c>
      <c r="C24">
        <v>1257.4901644715801</v>
      </c>
      <c r="D24">
        <v>1185.2020841532001</v>
      </c>
      <c r="E24">
        <v>1056.6746314448001</v>
      </c>
      <c r="G24">
        <v>1386.9004279456001</v>
      </c>
      <c r="H24">
        <v>1306.5936235754</v>
      </c>
      <c r="I24">
        <v>1237.14570123915</v>
      </c>
      <c r="J24">
        <v>1115.0376397894299</v>
      </c>
      <c r="L24">
        <v>1462.4922462244899</v>
      </c>
      <c r="M24">
        <v>1395.6485953703</v>
      </c>
      <c r="N24">
        <v>1340.3735852473601</v>
      </c>
      <c r="O24">
        <v>1246.35335140341</v>
      </c>
      <c r="Q24">
        <v>1535.2077791997301</v>
      </c>
      <c r="R24">
        <v>1493.51978423382</v>
      </c>
      <c r="S24">
        <v>1462.25433632715</v>
      </c>
      <c r="T24">
        <v>1409.9226485986801</v>
      </c>
    </row>
    <row r="25" spans="1:20" x14ac:dyDescent="0.25">
      <c r="A25">
        <v>4</v>
      </c>
      <c r="B25">
        <v>1397.1265139448301</v>
      </c>
      <c r="C25">
        <v>1311.60362082857</v>
      </c>
      <c r="D25">
        <v>1251.95757493677</v>
      </c>
      <c r="E25">
        <v>1163.7200409531199</v>
      </c>
      <c r="G25">
        <v>1440.99915069894</v>
      </c>
      <c r="H25">
        <v>1361.13256380864</v>
      </c>
      <c r="I25">
        <v>1306.56240426928</v>
      </c>
      <c r="J25">
        <v>1226.94587155412</v>
      </c>
      <c r="L25">
        <v>1524.1808162741099</v>
      </c>
      <c r="M25">
        <v>1461.1741169965101</v>
      </c>
      <c r="N25">
        <v>1421.47489297689</v>
      </c>
      <c r="O25">
        <v>1366.3407278058301</v>
      </c>
      <c r="Q25">
        <v>1603.6366399626099</v>
      </c>
      <c r="R25">
        <v>1560.01069624761</v>
      </c>
      <c r="S25">
        <v>1537.2804823922299</v>
      </c>
      <c r="T25">
        <v>1508.6127210055899</v>
      </c>
    </row>
    <row r="26" spans="1:20" x14ac:dyDescent="0.25">
      <c r="A26">
        <v>5</v>
      </c>
      <c r="B26">
        <v>1607.76483528843</v>
      </c>
      <c r="C26">
        <v>1541.70849047556</v>
      </c>
      <c r="D26">
        <v>1502.70908777762</v>
      </c>
      <c r="E26">
        <v>1431.2055205404999</v>
      </c>
      <c r="G26">
        <v>1657.9781030060001</v>
      </c>
      <c r="H26">
        <v>1602.93533073146</v>
      </c>
      <c r="I26">
        <v>1572.4431014053901</v>
      </c>
      <c r="J26">
        <v>1508.6473882815801</v>
      </c>
      <c r="L26">
        <v>1760.6343123521101</v>
      </c>
      <c r="M26">
        <v>1728.9465358656701</v>
      </c>
      <c r="N26">
        <v>1715.9251166696799</v>
      </c>
      <c r="O26">
        <v>1684.20792243137</v>
      </c>
      <c r="Q26">
        <v>1847.0214363591599</v>
      </c>
      <c r="R26">
        <v>1832.4259972053701</v>
      </c>
      <c r="S26">
        <v>1832.6559026268301</v>
      </c>
      <c r="T26">
        <v>1895.97557581347</v>
      </c>
    </row>
    <row r="27" spans="1:20" x14ac:dyDescent="0.25">
      <c r="A27">
        <v>6</v>
      </c>
      <c r="B27">
        <v>1813.2434513109899</v>
      </c>
      <c r="C27">
        <v>1692.26998201423</v>
      </c>
      <c r="D27">
        <v>1594.4711929116299</v>
      </c>
      <c r="E27">
        <v>1454.5527752098601</v>
      </c>
      <c r="G27">
        <v>1874.14546415474</v>
      </c>
      <c r="H27">
        <v>1756.7208876945399</v>
      </c>
      <c r="I27">
        <v>1663.0654028973499</v>
      </c>
      <c r="J27">
        <v>1536.09783291492</v>
      </c>
      <c r="L27">
        <v>1976.8605820442799</v>
      </c>
      <c r="M27">
        <v>1877.9267155016501</v>
      </c>
      <c r="N27">
        <v>1803.03884964693</v>
      </c>
      <c r="O27">
        <v>1704.14820280143</v>
      </c>
      <c r="Q27">
        <v>2077.9545473937001</v>
      </c>
      <c r="R27">
        <v>2010.6254432664</v>
      </c>
      <c r="S27">
        <v>1965.2067503016499</v>
      </c>
      <c r="T27">
        <v>1839.3830827368899</v>
      </c>
    </row>
    <row r="28" spans="1:20" x14ac:dyDescent="0.25">
      <c r="A28">
        <v>7</v>
      </c>
      <c r="B28">
        <v>2116.7596148886801</v>
      </c>
      <c r="C28">
        <v>2004.5407184773701</v>
      </c>
      <c r="D28">
        <v>1907.4779009326401</v>
      </c>
      <c r="E28">
        <v>1759.27085224493</v>
      </c>
      <c r="G28">
        <v>2182.4292112335002</v>
      </c>
      <c r="H28">
        <v>2079.9312701383201</v>
      </c>
      <c r="I28">
        <v>1990.0527462570401</v>
      </c>
      <c r="J28">
        <v>1854.54710131096</v>
      </c>
      <c r="L28">
        <v>2311.6844688904998</v>
      </c>
      <c r="M28">
        <v>2230.4945826826402</v>
      </c>
      <c r="N28">
        <v>2163.41711607448</v>
      </c>
      <c r="O28">
        <v>2066.6600618489101</v>
      </c>
      <c r="Q28">
        <v>2430.0805345382601</v>
      </c>
      <c r="R28">
        <v>2383.64721366208</v>
      </c>
      <c r="S28">
        <v>2344.5611241965898</v>
      </c>
      <c r="T28">
        <v>2292.3304560356401</v>
      </c>
    </row>
    <row r="29" spans="1:20" x14ac:dyDescent="0.25">
      <c r="A29">
        <v>8</v>
      </c>
      <c r="B29">
        <v>2138.75450292708</v>
      </c>
      <c r="C29">
        <v>2008.21820896247</v>
      </c>
      <c r="D29">
        <v>1936.10822190102</v>
      </c>
      <c r="E29">
        <v>1800.3820110849699</v>
      </c>
      <c r="G29">
        <v>2206.4917124200601</v>
      </c>
      <c r="H29">
        <v>2085.3351575546999</v>
      </c>
      <c r="I29">
        <v>2022.84763846551</v>
      </c>
      <c r="J29">
        <v>1900.8597179163701</v>
      </c>
      <c r="L29">
        <v>2331.9543231294501</v>
      </c>
      <c r="M29">
        <v>2243.46522724648</v>
      </c>
      <c r="N29">
        <v>2204.34731259003</v>
      </c>
      <c r="O29">
        <v>2125.0322903645801</v>
      </c>
      <c r="Q29">
        <v>2453.6191442925401</v>
      </c>
      <c r="R29">
        <v>2388.6973221600902</v>
      </c>
      <c r="S29">
        <v>2371.6869814635102</v>
      </c>
      <c r="T29">
        <v>2353.9962473730302</v>
      </c>
    </row>
    <row r="30" spans="1:20" x14ac:dyDescent="0.25">
      <c r="A30">
        <v>9</v>
      </c>
      <c r="B30">
        <v>2270.64133245109</v>
      </c>
      <c r="C30">
        <v>2139.1199205860999</v>
      </c>
      <c r="D30">
        <v>2019.3031829844599</v>
      </c>
      <c r="E30">
        <v>1835.29524329179</v>
      </c>
      <c r="G30">
        <v>2351.2878800399099</v>
      </c>
      <c r="H30">
        <v>2223.6950594279701</v>
      </c>
      <c r="I30">
        <v>2108.7429246105098</v>
      </c>
      <c r="J30">
        <v>1936.6119787308801</v>
      </c>
      <c r="L30">
        <v>2479.4161938996599</v>
      </c>
      <c r="M30">
        <v>2374.7986255671899</v>
      </c>
      <c r="N30">
        <v>2284.1854740641902</v>
      </c>
      <c r="O30">
        <v>2153.76543660986</v>
      </c>
      <c r="Q30">
        <v>2600.1312848081702</v>
      </c>
      <c r="R30">
        <v>2539.14303497736</v>
      </c>
      <c r="S30">
        <v>2490.43885432247</v>
      </c>
      <c r="T30">
        <v>2404.6654533994802</v>
      </c>
    </row>
    <row r="31" spans="1:20" x14ac:dyDescent="0.25">
      <c r="A31">
        <v>10</v>
      </c>
      <c r="B31">
        <v>2560.54064746221</v>
      </c>
      <c r="C31">
        <v>2388.6399974406499</v>
      </c>
      <c r="D31">
        <v>2252.6154826072798</v>
      </c>
      <c r="E31">
        <v>2029.52529298595</v>
      </c>
      <c r="G31">
        <v>2645.27755489117</v>
      </c>
      <c r="H31">
        <v>2478.81270918876</v>
      </c>
      <c r="I31">
        <v>2348.8917189056201</v>
      </c>
      <c r="J31">
        <v>2138.5106468170802</v>
      </c>
      <c r="L31">
        <v>2790.41432325803</v>
      </c>
      <c r="M31">
        <v>2650.3288696637701</v>
      </c>
      <c r="N31">
        <v>2546.7944958905</v>
      </c>
      <c r="O31">
        <v>2385.61291984533</v>
      </c>
      <c r="Q31">
        <v>2933.5331956222599</v>
      </c>
      <c r="R31">
        <v>2836.83301804953</v>
      </c>
      <c r="S31">
        <v>2773.45337261035</v>
      </c>
      <c r="T31">
        <v>2679.1400757010301</v>
      </c>
    </row>
    <row r="34" spans="1:20" x14ac:dyDescent="0.25">
      <c r="A34" s="2" t="s">
        <v>193</v>
      </c>
    </row>
    <row r="36" spans="1:20" x14ac:dyDescent="0.25">
      <c r="A36" t="s">
        <v>194</v>
      </c>
      <c r="B36" s="32" t="s">
        <v>195</v>
      </c>
      <c r="C36" s="32"/>
      <c r="D36" s="32"/>
      <c r="E36" s="32"/>
      <c r="G36" s="32" t="s">
        <v>196</v>
      </c>
      <c r="H36" s="32"/>
      <c r="I36" s="32"/>
      <c r="J36" s="32"/>
      <c r="L36" s="32" t="s">
        <v>197</v>
      </c>
      <c r="M36" s="32"/>
      <c r="N36" s="32"/>
      <c r="O36" s="32"/>
      <c r="Q36" s="32" t="s">
        <v>198</v>
      </c>
      <c r="R36" s="32"/>
      <c r="S36" s="32"/>
      <c r="T36" s="32"/>
    </row>
    <row r="37" spans="1:20" x14ac:dyDescent="0.25">
      <c r="B37" s="16">
        <v>0</v>
      </c>
      <c r="C37" s="16">
        <v>0.2</v>
      </c>
      <c r="D37" s="16">
        <v>0.3</v>
      </c>
      <c r="E37" s="16">
        <v>0.4</v>
      </c>
      <c r="G37" s="16">
        <v>0</v>
      </c>
      <c r="H37" s="16">
        <v>0.2</v>
      </c>
      <c r="I37" s="16">
        <v>0.3</v>
      </c>
      <c r="J37" s="16">
        <v>0.4</v>
      </c>
      <c r="L37" s="16">
        <v>0</v>
      </c>
      <c r="M37" s="16">
        <v>0.2</v>
      </c>
      <c r="N37" s="16">
        <v>0.3</v>
      </c>
      <c r="O37" s="16">
        <v>0.4</v>
      </c>
      <c r="Q37" s="16">
        <v>0</v>
      </c>
      <c r="R37" s="16">
        <v>0.2</v>
      </c>
      <c r="S37" s="16">
        <v>0.3</v>
      </c>
      <c r="T37" s="16">
        <v>0.4</v>
      </c>
    </row>
    <row r="38" spans="1:20" x14ac:dyDescent="0.25">
      <c r="A38">
        <v>1</v>
      </c>
      <c r="B38">
        <v>753.32064912261706</v>
      </c>
      <c r="C38">
        <v>769.23898803677105</v>
      </c>
      <c r="D38">
        <v>782.78834878682699</v>
      </c>
      <c r="E38">
        <v>801.78869027718099</v>
      </c>
      <c r="G38">
        <v>777.768491599497</v>
      </c>
      <c r="H38">
        <v>797.71086073762797</v>
      </c>
      <c r="I38">
        <v>814.09405466375097</v>
      </c>
      <c r="J38">
        <v>836.84121165621195</v>
      </c>
      <c r="L38">
        <v>821.24822294426303</v>
      </c>
      <c r="M38">
        <v>848.46173315606995</v>
      </c>
      <c r="N38">
        <v>870.38542353749006</v>
      </c>
      <c r="O38">
        <v>900.51602016331697</v>
      </c>
      <c r="Q38">
        <v>864.071947333411</v>
      </c>
      <c r="R38">
        <v>899.24569291440798</v>
      </c>
      <c r="S38">
        <v>926.74336267452099</v>
      </c>
      <c r="T38" s="18">
        <v>964.66403905984396</v>
      </c>
    </row>
    <row r="39" spans="1:20" x14ac:dyDescent="0.25">
      <c r="A39">
        <v>2</v>
      </c>
      <c r="B39">
        <v>946.94644796720695</v>
      </c>
      <c r="C39">
        <v>923.37179483805403</v>
      </c>
      <c r="D39">
        <v>911.54435682712403</v>
      </c>
      <c r="E39">
        <v>899.16706389304602</v>
      </c>
      <c r="G39">
        <v>976.93921230927594</v>
      </c>
      <c r="H39">
        <v>959.581061511538</v>
      </c>
      <c r="I39">
        <v>952.17018992824705</v>
      </c>
      <c r="J39">
        <v>945.73159245623197</v>
      </c>
      <c r="L39">
        <v>1038.7013555582701</v>
      </c>
      <c r="M39">
        <v>1033.3356696308001</v>
      </c>
      <c r="N39">
        <v>1034.7012430417999</v>
      </c>
      <c r="O39">
        <v>1039.9687955148399</v>
      </c>
      <c r="Q39">
        <v>1088.0875649227401</v>
      </c>
      <c r="R39">
        <v>1092.7338567157201</v>
      </c>
      <c r="S39">
        <v>1101.15248068238</v>
      </c>
      <c r="T39">
        <v>1116.0721376244901</v>
      </c>
    </row>
    <row r="40" spans="1:20" x14ac:dyDescent="0.25">
      <c r="A40">
        <v>3</v>
      </c>
      <c r="B40">
        <v>1340.06086423089</v>
      </c>
      <c r="C40">
        <v>1387.6992186346699</v>
      </c>
      <c r="D40">
        <v>1418.69840029337</v>
      </c>
      <c r="E40">
        <v>1438.82682469623</v>
      </c>
      <c r="G40">
        <v>1386.9004279456001</v>
      </c>
      <c r="H40">
        <v>1441.6089341608299</v>
      </c>
      <c r="I40">
        <v>1475.4589582890601</v>
      </c>
      <c r="J40">
        <v>1502.6798208913699</v>
      </c>
      <c r="L40">
        <v>1462.4922462244899</v>
      </c>
      <c r="M40">
        <v>1529.15213818861</v>
      </c>
      <c r="N40">
        <v>1579.8766023512701</v>
      </c>
      <c r="O40">
        <v>1624.52380283607</v>
      </c>
      <c r="Q40">
        <v>1535.2077791997301</v>
      </c>
      <c r="R40">
        <v>1615.2364768800001</v>
      </c>
      <c r="S40">
        <v>1675.5473471846101</v>
      </c>
      <c r="T40">
        <v>1743.2321220175299</v>
      </c>
    </row>
    <row r="41" spans="1:20" x14ac:dyDescent="0.25">
      <c r="A41">
        <v>4</v>
      </c>
      <c r="B41">
        <v>1397.1265139448301</v>
      </c>
      <c r="C41">
        <v>1406.1626052249201</v>
      </c>
      <c r="D41">
        <v>1424.1694888623199</v>
      </c>
      <c r="E41">
        <v>1473.0582301837701</v>
      </c>
      <c r="G41">
        <v>1440.99915069894</v>
      </c>
      <c r="H41">
        <v>1457.6433972217101</v>
      </c>
      <c r="I41">
        <v>1483.0434288842</v>
      </c>
      <c r="J41">
        <v>1538.3059328602701</v>
      </c>
      <c r="L41">
        <v>1524.1808162741099</v>
      </c>
      <c r="M41">
        <v>1554.88443394196</v>
      </c>
      <c r="N41">
        <v>1583.2828468725099</v>
      </c>
      <c r="O41">
        <v>1647.64705533352</v>
      </c>
      <c r="Q41">
        <v>1603.6366399626099</v>
      </c>
      <c r="R41">
        <v>1649.0542804458601</v>
      </c>
      <c r="S41">
        <v>1687.68732750196</v>
      </c>
      <c r="T41">
        <v>1756.9012731999801</v>
      </c>
    </row>
    <row r="42" spans="1:20" x14ac:dyDescent="0.25">
      <c r="A42">
        <v>5</v>
      </c>
      <c r="B42">
        <v>1607.76483528843</v>
      </c>
      <c r="C42">
        <v>1583.57866311164</v>
      </c>
      <c r="D42">
        <v>1572.22059805749</v>
      </c>
      <c r="E42">
        <v>1560.8937306405801</v>
      </c>
      <c r="G42">
        <v>1657.9781030060001</v>
      </c>
      <c r="H42">
        <v>1644.4434441984099</v>
      </c>
      <c r="I42">
        <v>1640.70355781326</v>
      </c>
      <c r="J42">
        <v>1639.61813067907</v>
      </c>
      <c r="L42">
        <v>1760.6343123521101</v>
      </c>
      <c r="M42">
        <v>1767.9910196012399</v>
      </c>
      <c r="N42">
        <v>1779.5570401207301</v>
      </c>
      <c r="O42">
        <v>1798.8478998565399</v>
      </c>
      <c r="Q42">
        <v>1847.0214363591599</v>
      </c>
      <c r="R42">
        <v>1872.5488490395901</v>
      </c>
      <c r="S42">
        <v>1896.8028123510901</v>
      </c>
      <c r="T42">
        <v>1933.3736275389499</v>
      </c>
    </row>
    <row r="43" spans="1:20" x14ac:dyDescent="0.25">
      <c r="A43">
        <v>6</v>
      </c>
      <c r="B43">
        <v>1813.2434513109899</v>
      </c>
      <c r="C43">
        <v>1864.6342683479199</v>
      </c>
      <c r="D43">
        <v>1906.25817762153</v>
      </c>
      <c r="E43">
        <v>1963.4104898160499</v>
      </c>
      <c r="G43">
        <v>1874.14546415474</v>
      </c>
      <c r="H43">
        <v>1934.8355758492701</v>
      </c>
      <c r="I43">
        <v>1982.93445048437</v>
      </c>
      <c r="J43">
        <v>2048.5766375216699</v>
      </c>
      <c r="L43">
        <v>1976.8605820442799</v>
      </c>
      <c r="M43">
        <v>2053.6473146339699</v>
      </c>
      <c r="N43">
        <v>2114.14878217756</v>
      </c>
      <c r="O43">
        <v>2196.4169682879001</v>
      </c>
      <c r="Q43">
        <v>2077.9545473937001</v>
      </c>
      <c r="R43">
        <v>2172.8692678872599</v>
      </c>
      <c r="S43">
        <v>2246.2396107198001</v>
      </c>
      <c r="T43">
        <v>2346.6847371807198</v>
      </c>
    </row>
    <row r="44" spans="1:20" x14ac:dyDescent="0.25">
      <c r="A44">
        <v>7</v>
      </c>
      <c r="B44">
        <v>2116.7596148886801</v>
      </c>
      <c r="C44">
        <v>2119.12247881845</v>
      </c>
      <c r="D44">
        <v>2126.3278421535401</v>
      </c>
      <c r="E44">
        <v>2139.0699817777299</v>
      </c>
      <c r="G44">
        <v>2182.4292112335002</v>
      </c>
      <c r="H44">
        <v>2197.9297342617601</v>
      </c>
      <c r="I44">
        <v>2214.58431378255</v>
      </c>
      <c r="J44">
        <v>2239.93859140225</v>
      </c>
      <c r="L44">
        <v>2311.6844688904998</v>
      </c>
      <c r="M44">
        <v>2352.8739656873199</v>
      </c>
      <c r="N44">
        <v>2388.5090384324299</v>
      </c>
      <c r="O44">
        <v>2439.0486983670899</v>
      </c>
      <c r="Q44">
        <v>2430.0805345382601</v>
      </c>
      <c r="R44">
        <v>2495.7968961681499</v>
      </c>
      <c r="S44">
        <v>2548.4363016072998</v>
      </c>
      <c r="T44">
        <v>2622.11958062146</v>
      </c>
    </row>
    <row r="45" spans="1:20" x14ac:dyDescent="0.25">
      <c r="A45">
        <v>8</v>
      </c>
      <c r="B45">
        <v>2138.75450292708</v>
      </c>
      <c r="C45">
        <v>2165.1075573155299</v>
      </c>
      <c r="D45">
        <v>2191.8631027481201</v>
      </c>
      <c r="E45">
        <v>2231.6545411092802</v>
      </c>
      <c r="G45">
        <v>2206.4917124200601</v>
      </c>
      <c r="H45">
        <v>2244.37067741585</v>
      </c>
      <c r="I45">
        <v>2279.1692683219399</v>
      </c>
      <c r="J45">
        <v>2329.69936045441</v>
      </c>
      <c r="L45">
        <v>2331.9543231294501</v>
      </c>
      <c r="M45">
        <v>2391.0040170295702</v>
      </c>
      <c r="N45">
        <v>2441.7952239885399</v>
      </c>
      <c r="O45">
        <v>2513.54309706504</v>
      </c>
      <c r="Q45">
        <v>2453.6191442925401</v>
      </c>
      <c r="R45">
        <v>2535.2460904795698</v>
      </c>
      <c r="S45">
        <v>2601.7585048286501</v>
      </c>
      <c r="T45">
        <v>2695.4524055377501</v>
      </c>
    </row>
    <row r="46" spans="1:20" x14ac:dyDescent="0.25">
      <c r="A46">
        <v>9</v>
      </c>
      <c r="B46">
        <v>2270.64133245109</v>
      </c>
      <c r="C46">
        <v>2354.7085415970901</v>
      </c>
      <c r="D46">
        <v>2418.3832429752301</v>
      </c>
      <c r="E46">
        <v>2503.2683564365898</v>
      </c>
      <c r="G46">
        <v>2351.2878800399099</v>
      </c>
      <c r="H46">
        <v>2447.51931078092</v>
      </c>
      <c r="I46">
        <v>2519.6970221562301</v>
      </c>
      <c r="J46">
        <v>2615.4010824254501</v>
      </c>
      <c r="L46">
        <v>2479.4161938996599</v>
      </c>
      <c r="M46">
        <v>2595.9287424410199</v>
      </c>
      <c r="N46">
        <v>2683.8892967536899</v>
      </c>
      <c r="O46">
        <v>2800.8489197540198</v>
      </c>
      <c r="Q46">
        <v>2600.1312848081702</v>
      </c>
      <c r="R46">
        <v>2739.0131560336799</v>
      </c>
      <c r="S46">
        <v>2843.0924033194401</v>
      </c>
      <c r="T46">
        <v>2982.9682124604801</v>
      </c>
    </row>
    <row r="47" spans="1:20" x14ac:dyDescent="0.25">
      <c r="A47">
        <v>10</v>
      </c>
      <c r="B47">
        <v>2560.54064746221</v>
      </c>
      <c r="C47">
        <v>2625.43376731525</v>
      </c>
      <c r="D47">
        <v>2679.6279663801602</v>
      </c>
      <c r="E47">
        <v>2754.9181148525799</v>
      </c>
      <c r="G47">
        <v>2645.27755489117</v>
      </c>
      <c r="H47">
        <v>2723.1879455684998</v>
      </c>
      <c r="I47">
        <v>2786.39137389094</v>
      </c>
      <c r="J47">
        <v>2873.56824171264</v>
      </c>
      <c r="L47">
        <v>2790.41432325803</v>
      </c>
      <c r="M47">
        <v>2890.9760115858699</v>
      </c>
      <c r="N47">
        <v>2971.5855993751902</v>
      </c>
      <c r="O47">
        <v>3082.04713847324</v>
      </c>
      <c r="Q47">
        <v>2933.5331956222599</v>
      </c>
      <c r="R47">
        <v>3059.55398712951</v>
      </c>
      <c r="S47">
        <v>3158.1829579710702</v>
      </c>
      <c r="T47">
        <v>3294.1093636167898</v>
      </c>
    </row>
    <row r="50" spans="1:20" x14ac:dyDescent="0.25">
      <c r="A50" s="2" t="s">
        <v>199</v>
      </c>
    </row>
    <row r="52" spans="1:20" x14ac:dyDescent="0.25">
      <c r="A52" t="s">
        <v>194</v>
      </c>
      <c r="B52" s="32" t="s">
        <v>195</v>
      </c>
      <c r="C52" s="32"/>
      <c r="D52" s="32"/>
      <c r="E52" s="32"/>
      <c r="G52" s="32" t="s">
        <v>196</v>
      </c>
      <c r="H52" s="32"/>
      <c r="I52" s="32"/>
      <c r="J52" s="32"/>
      <c r="L52" s="32" t="s">
        <v>197</v>
      </c>
      <c r="M52" s="32"/>
      <c r="N52" s="32"/>
      <c r="O52" s="32"/>
      <c r="Q52" s="32" t="s">
        <v>198</v>
      </c>
      <c r="R52" s="32"/>
      <c r="S52" s="32"/>
      <c r="T52" s="32"/>
    </row>
    <row r="53" spans="1:20" x14ac:dyDescent="0.25">
      <c r="B53" s="16">
        <v>0</v>
      </c>
      <c r="C53" s="16">
        <v>0.2</v>
      </c>
      <c r="D53" s="16">
        <v>0.3</v>
      </c>
      <c r="E53" s="16">
        <v>0.4</v>
      </c>
      <c r="G53" s="16">
        <v>0</v>
      </c>
      <c r="H53" s="16">
        <v>0.2</v>
      </c>
      <c r="I53" s="16">
        <v>0.3</v>
      </c>
      <c r="J53" s="16">
        <v>0.4</v>
      </c>
      <c r="L53" s="16">
        <v>0</v>
      </c>
      <c r="M53" s="16">
        <v>0.2</v>
      </c>
      <c r="N53" s="16">
        <v>0.3</v>
      </c>
      <c r="O53" s="16">
        <v>0.4</v>
      </c>
      <c r="Q53" s="16">
        <v>0</v>
      </c>
      <c r="R53" s="16">
        <v>0.2</v>
      </c>
      <c r="S53" s="16">
        <v>0.3</v>
      </c>
      <c r="T53" s="16">
        <v>0.4</v>
      </c>
    </row>
    <row r="54" spans="1:20" x14ac:dyDescent="0.25">
      <c r="A54">
        <v>1</v>
      </c>
      <c r="B54">
        <v>753.32064912261706</v>
      </c>
      <c r="C54">
        <v>682.00531516959597</v>
      </c>
      <c r="D54">
        <v>638.88456839286596</v>
      </c>
      <c r="E54">
        <v>583.94271818332095</v>
      </c>
      <c r="G54">
        <v>777.768491599497</v>
      </c>
      <c r="H54">
        <v>711.69879111542502</v>
      </c>
      <c r="I54">
        <v>672.78034850284098</v>
      </c>
      <c r="J54">
        <v>624.61835016572297</v>
      </c>
      <c r="L54">
        <v>821.24822294426303</v>
      </c>
      <c r="M54">
        <v>764.18788631585198</v>
      </c>
      <c r="N54">
        <v>732.568466641903</v>
      </c>
      <c r="O54">
        <v>694.97287336096394</v>
      </c>
      <c r="Q54">
        <v>864.071947333411</v>
      </c>
      <c r="R54">
        <v>814.03441379469803</v>
      </c>
      <c r="S54">
        <v>788.172177564864</v>
      </c>
      <c r="T54" s="18">
        <v>759.11474929025405</v>
      </c>
    </row>
    <row r="55" spans="1:20" x14ac:dyDescent="0.25">
      <c r="A55">
        <v>2</v>
      </c>
      <c r="B55">
        <v>946.94644796720695</v>
      </c>
      <c r="C55">
        <v>912.909191241445</v>
      </c>
      <c r="D55">
        <v>894.589214097438</v>
      </c>
      <c r="E55">
        <v>873.49093207932799</v>
      </c>
      <c r="G55">
        <v>976.93921230927594</v>
      </c>
      <c r="H55">
        <v>949.83830369266298</v>
      </c>
      <c r="I55">
        <v>936.23564754544896</v>
      </c>
      <c r="J55">
        <v>922.01108654569202</v>
      </c>
      <c r="L55">
        <v>1038.7013555582701</v>
      </c>
      <c r="M55">
        <v>1025.59762317225</v>
      </c>
      <c r="N55">
        <v>1022.0051028591801</v>
      </c>
      <c r="O55">
        <v>1021.04274929182</v>
      </c>
      <c r="Q55">
        <v>1088.0875649227401</v>
      </c>
      <c r="R55">
        <v>1084.4441467075201</v>
      </c>
      <c r="S55">
        <v>1087.7093610777499</v>
      </c>
      <c r="T55">
        <v>1096.1399543898001</v>
      </c>
    </row>
    <row r="56" spans="1:20" x14ac:dyDescent="0.25">
      <c r="A56">
        <v>3</v>
      </c>
      <c r="B56">
        <v>1340.06086423089</v>
      </c>
      <c r="C56">
        <v>1189.28195324903</v>
      </c>
      <c r="D56">
        <v>1094.87295883456</v>
      </c>
      <c r="E56">
        <v>969.69061757888403</v>
      </c>
      <c r="G56">
        <v>1386.9004279456001</v>
      </c>
      <c r="H56">
        <v>1244.69847616729</v>
      </c>
      <c r="I56">
        <v>1157.85272895556</v>
      </c>
      <c r="J56">
        <v>1045.61769964412</v>
      </c>
      <c r="L56">
        <v>1462.4922462244899</v>
      </c>
      <c r="M56">
        <v>1334.3411445215399</v>
      </c>
      <c r="N56">
        <v>1259.7033637088</v>
      </c>
      <c r="O56">
        <v>1166.1778038494799</v>
      </c>
      <c r="Q56">
        <v>1535.2077791997301</v>
      </c>
      <c r="R56">
        <v>1420.4031552327699</v>
      </c>
      <c r="S56">
        <v>1357.3053775928599</v>
      </c>
      <c r="T56">
        <v>1281.74481452962</v>
      </c>
    </row>
    <row r="57" spans="1:20" x14ac:dyDescent="0.25">
      <c r="A57">
        <v>4</v>
      </c>
      <c r="B57">
        <v>1397.1265139448301</v>
      </c>
      <c r="C57">
        <v>1284.01831224287</v>
      </c>
      <c r="D57">
        <v>1218.2076157164299</v>
      </c>
      <c r="E57">
        <v>1137.66843662419</v>
      </c>
      <c r="G57">
        <v>1440.99915069894</v>
      </c>
      <c r="H57">
        <v>1337.50304325361</v>
      </c>
      <c r="I57">
        <v>1278.8244282589601</v>
      </c>
      <c r="J57">
        <v>1209.3490505928</v>
      </c>
      <c r="L57">
        <v>1524.1808162741099</v>
      </c>
      <c r="M57">
        <v>1438.36215980408</v>
      </c>
      <c r="N57">
        <v>1393.3002239618099</v>
      </c>
      <c r="O57">
        <v>1342.86997329166</v>
      </c>
      <c r="Q57">
        <v>1603.6366399626099</v>
      </c>
      <c r="R57">
        <v>1530.51846874637</v>
      </c>
      <c r="S57">
        <v>1495.5252128305201</v>
      </c>
      <c r="T57">
        <v>1459.6031213439101</v>
      </c>
    </row>
    <row r="58" spans="1:20" x14ac:dyDescent="0.25">
      <c r="A58">
        <v>5</v>
      </c>
      <c r="B58">
        <v>1607.76483528843</v>
      </c>
      <c r="C58">
        <v>1544.73079178801</v>
      </c>
      <c r="D58">
        <v>1490.7697551632</v>
      </c>
      <c r="E58">
        <v>1334.21996915926</v>
      </c>
      <c r="G58">
        <v>1657.9781030060001</v>
      </c>
      <c r="H58">
        <v>1607.73339843843</v>
      </c>
      <c r="I58">
        <v>1572.52194763843</v>
      </c>
      <c r="J58">
        <v>1431.81928752917</v>
      </c>
      <c r="L58">
        <v>1760.6343123521101</v>
      </c>
      <c r="M58">
        <v>1734.87073870516</v>
      </c>
      <c r="N58">
        <v>1710.72879103322</v>
      </c>
      <c r="O58">
        <v>1594.18650830864</v>
      </c>
      <c r="Q58">
        <v>1847.0214363591599</v>
      </c>
      <c r="R58">
        <v>1837.46519378366</v>
      </c>
      <c r="S58">
        <v>1842.8942326111801</v>
      </c>
      <c r="T58">
        <v>1747.99667475514</v>
      </c>
    </row>
    <row r="59" spans="1:20" x14ac:dyDescent="0.25">
      <c r="A59">
        <v>6</v>
      </c>
      <c r="B59">
        <v>1813.2434513109899</v>
      </c>
      <c r="C59">
        <v>1612.8365664524999</v>
      </c>
      <c r="D59">
        <v>1508.76457861011</v>
      </c>
      <c r="E59">
        <v>1465.06240730375</v>
      </c>
      <c r="G59">
        <v>1874.14546415474</v>
      </c>
      <c r="H59">
        <v>1685.0973291134201</v>
      </c>
      <c r="I59">
        <v>1580.65815480984</v>
      </c>
      <c r="J59">
        <v>1550.050102469</v>
      </c>
      <c r="L59">
        <v>1976.8605820442799</v>
      </c>
      <c r="M59">
        <v>1807.1227603657001</v>
      </c>
      <c r="N59">
        <v>1725.5770838587</v>
      </c>
      <c r="O59">
        <v>1718.6322131062</v>
      </c>
      <c r="Q59">
        <v>2077.9545473937001</v>
      </c>
      <c r="R59">
        <v>1925.0528918416001</v>
      </c>
      <c r="S59">
        <v>1840.0008488016499</v>
      </c>
      <c r="T59">
        <v>1849.3774801776101</v>
      </c>
    </row>
    <row r="60" spans="1:20" x14ac:dyDescent="0.25">
      <c r="A60">
        <v>7</v>
      </c>
      <c r="B60">
        <v>2116.7596148886801</v>
      </c>
      <c r="C60">
        <v>1954.8106992917001</v>
      </c>
      <c r="D60">
        <v>1845.96951510436</v>
      </c>
      <c r="E60">
        <v>1638.6845285480199</v>
      </c>
      <c r="G60">
        <v>2182.4292112335002</v>
      </c>
      <c r="H60">
        <v>2037.4135150708901</v>
      </c>
      <c r="I60">
        <v>1939.9287393412001</v>
      </c>
      <c r="J60">
        <v>1768.73777769359</v>
      </c>
      <c r="L60">
        <v>2311.6844688904998</v>
      </c>
      <c r="M60">
        <v>2189.4706465888798</v>
      </c>
      <c r="N60">
        <v>2112.85597928993</v>
      </c>
      <c r="O60">
        <v>1973.29090603847</v>
      </c>
      <c r="Q60">
        <v>2430.0805345382601</v>
      </c>
      <c r="R60">
        <v>2330.7826403329</v>
      </c>
      <c r="S60">
        <v>2269.9241516456</v>
      </c>
      <c r="T60">
        <v>2169.6470787583498</v>
      </c>
    </row>
    <row r="61" spans="1:20" x14ac:dyDescent="0.25">
      <c r="A61">
        <v>8</v>
      </c>
      <c r="B61">
        <v>2138.75450292708</v>
      </c>
      <c r="C61">
        <v>1999.46521449336</v>
      </c>
      <c r="D61">
        <v>1854.4345873448499</v>
      </c>
      <c r="E61">
        <v>1710.4575504284301</v>
      </c>
      <c r="G61">
        <v>2206.4917124200601</v>
      </c>
      <c r="H61">
        <v>2082.56652286082</v>
      </c>
      <c r="I61">
        <v>1962.33233138581</v>
      </c>
      <c r="J61">
        <v>1822.2940369190501</v>
      </c>
      <c r="L61">
        <v>2331.9543231294501</v>
      </c>
      <c r="M61">
        <v>2243.05256652351</v>
      </c>
      <c r="N61">
        <v>2134.8638708900799</v>
      </c>
      <c r="O61">
        <v>2024.7745851289201</v>
      </c>
      <c r="Q61">
        <v>2453.6191442925401</v>
      </c>
      <c r="R61">
        <v>2382.2008226211601</v>
      </c>
      <c r="S61">
        <v>2299.31460494567</v>
      </c>
      <c r="T61">
        <v>2204.7801346082001</v>
      </c>
    </row>
    <row r="62" spans="1:20" x14ac:dyDescent="0.25">
      <c r="A62">
        <v>9</v>
      </c>
      <c r="B62">
        <v>2270.64133245109</v>
      </c>
      <c r="C62">
        <v>2015.5306226222201</v>
      </c>
      <c r="D62">
        <v>1929.52559229909</v>
      </c>
      <c r="E62">
        <v>1841.2897426858201</v>
      </c>
      <c r="G62">
        <v>2351.2878800399099</v>
      </c>
      <c r="H62">
        <v>2110.5750936944301</v>
      </c>
      <c r="I62">
        <v>2025.42914049926</v>
      </c>
      <c r="J62">
        <v>1956.57246090544</v>
      </c>
      <c r="L62">
        <v>2479.4161938996599</v>
      </c>
      <c r="M62">
        <v>2262.3676644990901</v>
      </c>
      <c r="N62">
        <v>2209.4712943923601</v>
      </c>
      <c r="O62">
        <v>2172.6878885596898</v>
      </c>
      <c r="Q62">
        <v>2600.1312848081702</v>
      </c>
      <c r="R62">
        <v>2406.4716548783099</v>
      </c>
      <c r="S62">
        <v>2364.2736849624898</v>
      </c>
      <c r="T62">
        <v>2349.5311832945199</v>
      </c>
    </row>
    <row r="63" spans="1:20" x14ac:dyDescent="0.25">
      <c r="A63">
        <v>10</v>
      </c>
      <c r="B63">
        <v>2560.54064746221</v>
      </c>
      <c r="C63">
        <v>2282.09181867494</v>
      </c>
      <c r="D63">
        <v>2114.0343846532701</v>
      </c>
      <c r="E63">
        <v>1900.8502790437101</v>
      </c>
      <c r="G63">
        <v>2645.27755489117</v>
      </c>
      <c r="H63">
        <v>2382.6339426249201</v>
      </c>
      <c r="I63">
        <v>2227.4996752777101</v>
      </c>
      <c r="J63">
        <v>2035.6910903491701</v>
      </c>
      <c r="L63">
        <v>2790.41432325803</v>
      </c>
      <c r="M63">
        <v>2555.15990744481</v>
      </c>
      <c r="N63">
        <v>2422.6702100174798</v>
      </c>
      <c r="O63">
        <v>2264.3619526862799</v>
      </c>
      <c r="Q63">
        <v>2933.5331956222599</v>
      </c>
      <c r="R63">
        <v>2721.6376644657998</v>
      </c>
      <c r="S63">
        <v>2608.7499042148702</v>
      </c>
      <c r="T63">
        <v>2480.0123125863802</v>
      </c>
    </row>
    <row r="66" spans="1:20" x14ac:dyDescent="0.25">
      <c r="A66" t="s">
        <v>233</v>
      </c>
    </row>
    <row r="67" spans="1:20" x14ac:dyDescent="0.25">
      <c r="A67" t="s">
        <v>233</v>
      </c>
    </row>
    <row r="68" spans="1:20" x14ac:dyDescent="0.25">
      <c r="A68" t="s">
        <v>233</v>
      </c>
    </row>
    <row r="69" spans="1:20" x14ac:dyDescent="0.25">
      <c r="A69" t="s">
        <v>233</v>
      </c>
    </row>
    <row r="73" spans="1:20" x14ac:dyDescent="0.25">
      <c r="A73" s="2"/>
    </row>
    <row r="75" spans="1:20" x14ac:dyDescent="0.25">
      <c r="B75" s="32"/>
      <c r="C75" s="32"/>
      <c r="D75" s="32"/>
      <c r="E75" s="32"/>
      <c r="G75" s="32"/>
      <c r="H75" s="32"/>
      <c r="I75" s="32"/>
      <c r="J75" s="32"/>
      <c r="L75" s="32"/>
      <c r="M75" s="32"/>
      <c r="N75" s="32"/>
      <c r="O75" s="32"/>
      <c r="Q75" s="32"/>
      <c r="R75" s="32"/>
      <c r="S75" s="32"/>
      <c r="T75" s="32"/>
    </row>
    <row r="76" spans="1:20" x14ac:dyDescent="0.25">
      <c r="B76" s="16"/>
      <c r="C76" s="16"/>
      <c r="D76" s="16"/>
      <c r="E76" s="16"/>
      <c r="G76" s="16"/>
      <c r="H76" s="16"/>
      <c r="I76" s="16"/>
      <c r="J76" s="16"/>
      <c r="L76" s="16"/>
      <c r="M76" s="16"/>
      <c r="N76" s="16"/>
      <c r="O76" s="16"/>
      <c r="Q76" s="16"/>
      <c r="R76" s="16"/>
      <c r="S76" s="16"/>
      <c r="T76" s="16"/>
    </row>
    <row r="77" spans="1:20" x14ac:dyDescent="0.25">
      <c r="B77" s="17"/>
      <c r="C77" s="17"/>
      <c r="E77" s="4"/>
      <c r="F77" s="4"/>
      <c r="G77" s="17"/>
      <c r="H77" s="4"/>
      <c r="J77" s="17"/>
      <c r="K77" s="4"/>
      <c r="L77" s="17"/>
      <c r="M77" s="4"/>
      <c r="O77" s="17"/>
      <c r="P77" s="4"/>
      <c r="Q77" s="17"/>
      <c r="R77" s="4"/>
      <c r="T77" s="4"/>
    </row>
    <row r="78" spans="1:20" x14ac:dyDescent="0.25">
      <c r="B78" s="4"/>
      <c r="C78" s="4"/>
      <c r="E78" s="4"/>
      <c r="F78" s="4"/>
      <c r="G78" s="4"/>
      <c r="H78" s="4"/>
      <c r="J78" s="4"/>
      <c r="K78" s="4"/>
      <c r="L78" s="4"/>
      <c r="M78" s="4"/>
      <c r="O78" s="4"/>
      <c r="P78" s="4"/>
      <c r="Q78" s="4"/>
      <c r="R78" s="4"/>
      <c r="T78" s="4"/>
    </row>
    <row r="79" spans="1:20" x14ac:dyDescent="0.25">
      <c r="B79" s="4"/>
      <c r="C79" s="4"/>
      <c r="E79" s="4"/>
      <c r="F79" s="4"/>
      <c r="G79" s="4"/>
      <c r="H79" s="4"/>
      <c r="J79" s="4"/>
      <c r="K79" s="4"/>
      <c r="L79" s="4"/>
      <c r="M79" s="4"/>
      <c r="O79" s="4"/>
      <c r="P79" s="4"/>
      <c r="Q79" s="4"/>
      <c r="R79" s="4"/>
      <c r="T79" s="4"/>
    </row>
    <row r="80" spans="1:20" x14ac:dyDescent="0.25">
      <c r="B80" s="4"/>
      <c r="C80" s="4"/>
      <c r="E80" s="4"/>
      <c r="F80" s="4"/>
      <c r="G80" s="4"/>
      <c r="H80" s="4"/>
      <c r="J80" s="4"/>
      <c r="K80" s="4"/>
      <c r="L80" s="4"/>
      <c r="M80" s="4"/>
      <c r="O80" s="4"/>
      <c r="P80" s="4"/>
      <c r="Q80" s="4"/>
      <c r="R80" s="4"/>
      <c r="T80" s="4"/>
    </row>
    <row r="81" spans="1:20" x14ac:dyDescent="0.25">
      <c r="B81" s="4"/>
      <c r="C81" s="4"/>
      <c r="E81" s="4"/>
      <c r="F81" s="4"/>
      <c r="G81" s="4"/>
      <c r="H81" s="4"/>
      <c r="J81" s="4"/>
      <c r="K81" s="4"/>
      <c r="L81" s="4"/>
      <c r="M81" s="4"/>
      <c r="O81" s="4"/>
      <c r="P81" s="4"/>
      <c r="Q81" s="4"/>
      <c r="R81" s="4"/>
      <c r="T81" s="4"/>
    </row>
    <row r="82" spans="1:20" x14ac:dyDescent="0.25">
      <c r="B82" s="4"/>
      <c r="C82" s="4"/>
      <c r="E82" s="4"/>
      <c r="F82" s="4"/>
      <c r="G82" s="4"/>
      <c r="H82" s="4"/>
      <c r="J82" s="4"/>
      <c r="K82" s="4"/>
      <c r="L82" s="4"/>
      <c r="M82" s="4"/>
      <c r="O82" s="4"/>
      <c r="P82" s="4"/>
      <c r="Q82" s="4"/>
      <c r="R82" s="4"/>
      <c r="T82" s="4"/>
    </row>
    <row r="83" spans="1:20" x14ac:dyDescent="0.25">
      <c r="B83" s="4"/>
      <c r="C83" s="4"/>
      <c r="E83" s="4"/>
      <c r="F83" s="4"/>
      <c r="G83" s="4"/>
      <c r="H83" s="4"/>
      <c r="J83" s="4"/>
      <c r="K83" s="4"/>
      <c r="L83" s="4"/>
      <c r="M83" s="4"/>
      <c r="O83" s="4"/>
      <c r="P83" s="4"/>
      <c r="Q83" s="4"/>
      <c r="R83" s="4"/>
      <c r="T83" s="4"/>
    </row>
    <row r="84" spans="1:20" x14ac:dyDescent="0.25">
      <c r="B84" s="4"/>
      <c r="C84" s="4"/>
      <c r="E84" s="4"/>
      <c r="F84" s="4"/>
      <c r="G84" s="4"/>
      <c r="H84" s="4"/>
      <c r="J84" s="4"/>
      <c r="K84" s="4"/>
      <c r="L84" s="4"/>
      <c r="M84" s="4"/>
      <c r="O84" s="4"/>
      <c r="P84" s="4"/>
      <c r="Q84" s="4"/>
      <c r="R84" s="4"/>
      <c r="T84" s="4"/>
    </row>
    <row r="85" spans="1:20" x14ac:dyDescent="0.25">
      <c r="B85" s="4"/>
      <c r="C85" s="4"/>
      <c r="E85" s="4"/>
      <c r="F85" s="4"/>
      <c r="G85" s="4"/>
      <c r="H85" s="4"/>
      <c r="J85" s="4"/>
      <c r="K85" s="4"/>
      <c r="L85" s="4"/>
      <c r="M85" s="4"/>
      <c r="O85" s="4"/>
      <c r="P85" s="4"/>
      <c r="Q85" s="4"/>
      <c r="R85" s="4"/>
      <c r="T85" s="4"/>
    </row>
    <row r="86" spans="1:20" x14ac:dyDescent="0.25">
      <c r="B86" s="4"/>
      <c r="C86" s="4"/>
      <c r="E86" s="4"/>
      <c r="F86" s="4"/>
      <c r="G86" s="4"/>
      <c r="H86" s="4"/>
      <c r="J86" s="4"/>
      <c r="K86" s="4"/>
      <c r="L86" s="4"/>
      <c r="M86" s="4"/>
      <c r="O86" s="4"/>
      <c r="P86" s="4"/>
      <c r="Q86" s="4"/>
      <c r="R86" s="4"/>
      <c r="T86" s="4"/>
    </row>
    <row r="89" spans="1:20" x14ac:dyDescent="0.25">
      <c r="A89" s="2"/>
    </row>
    <row r="91" spans="1:20" x14ac:dyDescent="0.25">
      <c r="B91" s="32"/>
      <c r="C91" s="32"/>
      <c r="D91" s="32"/>
      <c r="E91" s="32"/>
      <c r="G91" s="32"/>
      <c r="H91" s="32"/>
      <c r="I91" s="32"/>
      <c r="J91" s="32"/>
      <c r="L91" s="32"/>
      <c r="M91" s="32"/>
      <c r="N91" s="32"/>
      <c r="O91" s="32"/>
      <c r="Q91" s="32"/>
      <c r="R91" s="32"/>
      <c r="S91" s="32"/>
      <c r="T91" s="32"/>
    </row>
    <row r="92" spans="1:20" x14ac:dyDescent="0.25">
      <c r="B92" s="16"/>
      <c r="C92" s="16"/>
      <c r="D92" s="16"/>
      <c r="E92" s="16"/>
      <c r="G92" s="16"/>
      <c r="H92" s="16"/>
      <c r="I92" s="16"/>
      <c r="J92" s="16"/>
      <c r="L92" s="16"/>
      <c r="M92" s="16"/>
      <c r="N92" s="16"/>
      <c r="O92" s="16"/>
      <c r="Q92" s="16"/>
      <c r="R92" s="16"/>
      <c r="S92" s="16"/>
      <c r="T92" s="16"/>
    </row>
    <row r="93" spans="1:20" x14ac:dyDescent="0.25">
      <c r="B93" s="17"/>
      <c r="C93" s="4"/>
      <c r="E93" s="4"/>
      <c r="F93" s="4"/>
      <c r="G93" s="17"/>
      <c r="H93" s="4"/>
      <c r="J93" s="17"/>
      <c r="K93" s="4"/>
      <c r="P93" s="4"/>
      <c r="Q93" s="17"/>
      <c r="R93" s="4"/>
      <c r="T93" s="4"/>
    </row>
    <row r="94" spans="1:20" x14ac:dyDescent="0.25">
      <c r="B94" s="4"/>
      <c r="C94" s="4"/>
      <c r="E94" s="4"/>
      <c r="F94" s="4"/>
      <c r="G94" s="4"/>
      <c r="H94" s="4"/>
      <c r="J94" s="4"/>
      <c r="K94" s="4"/>
      <c r="P94" s="4"/>
      <c r="Q94" s="17"/>
      <c r="R94" s="4"/>
      <c r="T94" s="4"/>
    </row>
    <row r="95" spans="1:20" x14ac:dyDescent="0.25">
      <c r="B95" s="4"/>
      <c r="C95" s="4"/>
      <c r="E95" s="4"/>
      <c r="F95" s="4"/>
      <c r="G95" s="4"/>
      <c r="H95" s="4"/>
      <c r="J95" s="4"/>
      <c r="K95" s="4"/>
      <c r="P95" s="4"/>
      <c r="Q95" s="17"/>
      <c r="R95" s="4"/>
      <c r="T95" s="4"/>
    </row>
    <row r="96" spans="1:20" x14ac:dyDescent="0.25">
      <c r="B96" s="4"/>
      <c r="C96" s="4"/>
      <c r="E96" s="4"/>
      <c r="F96" s="4"/>
      <c r="G96" s="4"/>
      <c r="H96" s="4"/>
      <c r="J96" s="4"/>
      <c r="K96" s="4"/>
      <c r="P96" s="4"/>
      <c r="Q96" s="17"/>
      <c r="R96" s="4"/>
      <c r="T96" s="4"/>
    </row>
    <row r="97" spans="2:20" x14ac:dyDescent="0.25">
      <c r="B97" s="4"/>
      <c r="C97" s="4"/>
      <c r="E97" s="4"/>
      <c r="F97" s="4"/>
      <c r="G97" s="4"/>
      <c r="H97" s="4"/>
      <c r="J97" s="4"/>
      <c r="K97" s="4"/>
      <c r="P97" s="4"/>
      <c r="Q97" s="17"/>
      <c r="R97" s="4"/>
      <c r="T97" s="4"/>
    </row>
    <row r="98" spans="2:20" x14ac:dyDescent="0.25">
      <c r="B98" s="4"/>
      <c r="C98" s="4"/>
      <c r="E98" s="4"/>
      <c r="F98" s="4"/>
      <c r="G98" s="4"/>
      <c r="H98" s="4"/>
      <c r="J98" s="4"/>
      <c r="K98" s="4"/>
      <c r="P98" s="4"/>
      <c r="Q98" s="17"/>
      <c r="R98" s="4"/>
      <c r="T98" s="4"/>
    </row>
    <row r="99" spans="2:20" x14ac:dyDescent="0.25">
      <c r="B99" s="4"/>
      <c r="C99" s="4"/>
      <c r="E99" s="4"/>
      <c r="F99" s="4"/>
      <c r="G99" s="4"/>
      <c r="H99" s="4"/>
      <c r="J99" s="4"/>
      <c r="K99" s="4"/>
      <c r="P99" s="4"/>
      <c r="Q99" s="17"/>
      <c r="R99" s="4"/>
      <c r="T99" s="4"/>
    </row>
    <row r="100" spans="2:20" x14ac:dyDescent="0.25">
      <c r="B100" s="4"/>
      <c r="C100" s="4"/>
      <c r="E100" s="4"/>
      <c r="F100" s="4"/>
      <c r="G100" s="4"/>
      <c r="H100" s="4"/>
      <c r="J100" s="4"/>
      <c r="K100" s="4"/>
      <c r="P100" s="4"/>
      <c r="Q100" s="17"/>
      <c r="R100" s="4"/>
      <c r="T100" s="4"/>
    </row>
    <row r="101" spans="2:20" x14ac:dyDescent="0.25">
      <c r="B101" s="4"/>
      <c r="C101" s="4"/>
      <c r="E101" s="4"/>
      <c r="F101" s="4"/>
      <c r="G101" s="4"/>
      <c r="H101" s="4"/>
      <c r="J101" s="4"/>
      <c r="K101" s="4"/>
      <c r="P101" s="4"/>
      <c r="Q101" s="17"/>
      <c r="R101" s="4"/>
      <c r="T101" s="4"/>
    </row>
    <row r="102" spans="2:20" x14ac:dyDescent="0.25">
      <c r="B102" s="4"/>
      <c r="C102" s="4"/>
      <c r="E102" s="4"/>
      <c r="F102" s="4"/>
      <c r="G102" s="4"/>
      <c r="H102" s="4"/>
      <c r="J102" s="4"/>
      <c r="K102" s="4"/>
      <c r="P102" s="4"/>
      <c r="Q102" s="17"/>
      <c r="R102" s="4"/>
      <c r="T102" s="4"/>
    </row>
  </sheetData>
  <mergeCells count="24">
    <mergeCell ref="B75:E75"/>
    <mergeCell ref="G75:J75"/>
    <mergeCell ref="L75:O75"/>
    <mergeCell ref="Q75:T75"/>
    <mergeCell ref="B91:E91"/>
    <mergeCell ref="G91:J91"/>
    <mergeCell ref="L91:O91"/>
    <mergeCell ref="Q91:T91"/>
    <mergeCell ref="B36:E36"/>
    <mergeCell ref="G36:J36"/>
    <mergeCell ref="L36:O36"/>
    <mergeCell ref="Q36:T36"/>
    <mergeCell ref="B52:E52"/>
    <mergeCell ref="G52:J52"/>
    <mergeCell ref="L52:O52"/>
    <mergeCell ref="Q52:T52"/>
    <mergeCell ref="B3:E3"/>
    <mergeCell ref="G3:J3"/>
    <mergeCell ref="L3:O3"/>
    <mergeCell ref="Q3:T3"/>
    <mergeCell ref="B20:E20"/>
    <mergeCell ref="G20:J20"/>
    <mergeCell ref="L20:O20"/>
    <mergeCell ref="Q20:T20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J15" sqref="J15"/>
    </sheetView>
  </sheetViews>
  <sheetFormatPr defaultRowHeight="14" x14ac:dyDescent="0.25"/>
  <cols>
    <col min="1" max="1" width="11.26953125" customWidth="1"/>
    <col min="12" max="12" width="10.54296875" customWidth="1"/>
  </cols>
  <sheetData>
    <row r="1" spans="1:5" x14ac:dyDescent="0.25">
      <c r="A1" t="s">
        <v>210</v>
      </c>
    </row>
    <row r="2" spans="1:5" x14ac:dyDescent="0.25">
      <c r="A2" t="s">
        <v>211</v>
      </c>
      <c r="B2" t="s">
        <v>212</v>
      </c>
      <c r="C2" t="s">
        <v>213</v>
      </c>
      <c r="D2" t="s">
        <v>214</v>
      </c>
    </row>
    <row r="3" spans="1:5" x14ac:dyDescent="0.25">
      <c r="A3">
        <v>851.94692989999999</v>
      </c>
      <c r="B3">
        <v>889.25540000000001</v>
      </c>
      <c r="C3">
        <v>958.10508930000003</v>
      </c>
      <c r="D3">
        <v>1036.2130010000001</v>
      </c>
      <c r="E3">
        <v>0.2</v>
      </c>
    </row>
    <row r="4" spans="1:5" x14ac:dyDescent="0.25">
      <c r="A4">
        <v>792.43274759999997</v>
      </c>
      <c r="B4">
        <v>830.93815370000004</v>
      </c>
      <c r="C4">
        <v>902.50369499999999</v>
      </c>
      <c r="D4">
        <v>981.30827859999999</v>
      </c>
      <c r="E4">
        <v>0.5</v>
      </c>
    </row>
    <row r="5" spans="1:5" x14ac:dyDescent="0.25">
      <c r="A5">
        <v>764.9450994</v>
      </c>
      <c r="B5">
        <v>805.92856640000002</v>
      </c>
      <c r="C5">
        <v>882.17566250000004</v>
      </c>
      <c r="D5">
        <v>965.01152879999995</v>
      </c>
      <c r="E5">
        <v>2</v>
      </c>
    </row>
    <row r="6" spans="1:5" x14ac:dyDescent="0.25">
      <c r="A6">
        <v>736.82647980000002</v>
      </c>
      <c r="B6">
        <v>781.74154020000003</v>
      </c>
      <c r="C6">
        <v>865.73929959999998</v>
      </c>
      <c r="D6">
        <v>955.90181610000002</v>
      </c>
      <c r="E6">
        <v>10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4"/>
  <sheetViews>
    <sheetView workbookViewId="0">
      <selection activeCell="D19" sqref="D19"/>
    </sheetView>
  </sheetViews>
  <sheetFormatPr defaultRowHeight="14" x14ac:dyDescent="0.25"/>
  <cols>
    <col min="1" max="1" width="14.7265625" customWidth="1"/>
    <col min="2" max="2" width="12.54296875" customWidth="1"/>
    <col min="3" max="3" width="11.6328125" customWidth="1"/>
    <col min="4" max="4" width="11.08984375" customWidth="1"/>
    <col min="5" max="5" width="10.81640625" customWidth="1"/>
    <col min="6" max="6" width="10.26953125" customWidth="1"/>
    <col min="7" max="7" width="9.7265625" customWidth="1"/>
    <col min="8" max="8" width="9.26953125" bestFit="1" customWidth="1"/>
    <col min="9" max="9" width="9.36328125" customWidth="1"/>
    <col min="10" max="10" width="10.26953125" customWidth="1"/>
    <col min="11" max="11" width="10.1796875" customWidth="1"/>
    <col min="12" max="13" width="10.6328125" customWidth="1"/>
    <col min="14" max="14" width="10.90625" customWidth="1"/>
    <col min="15" max="15" width="9.90625" customWidth="1"/>
    <col min="16" max="16" width="9.26953125" bestFit="1" customWidth="1"/>
    <col min="17" max="17" width="9.6328125" customWidth="1"/>
    <col min="21" max="21" width="14.7265625" customWidth="1"/>
    <col min="22" max="22" width="12.54296875" customWidth="1"/>
    <col min="23" max="23" width="11.6328125" customWidth="1"/>
    <col min="24" max="24" width="11.08984375" customWidth="1"/>
    <col min="25" max="25" width="10.81640625" customWidth="1"/>
    <col min="26" max="26" width="10.26953125" customWidth="1"/>
    <col min="27" max="27" width="9.7265625" customWidth="1"/>
    <col min="28" max="28" width="9.26953125" bestFit="1" customWidth="1"/>
    <col min="29" max="29" width="9.36328125" customWidth="1"/>
    <col min="30" max="30" width="10.26953125" customWidth="1"/>
    <col min="31" max="31" width="10.1796875" customWidth="1"/>
    <col min="32" max="33" width="10.6328125" customWidth="1"/>
    <col min="34" max="34" width="10.90625" customWidth="1"/>
    <col min="36" max="36" width="9.26953125" bestFit="1" customWidth="1"/>
  </cols>
  <sheetData>
    <row r="1" spans="1:39" x14ac:dyDescent="0.25">
      <c r="A1" t="s">
        <v>204</v>
      </c>
      <c r="I1" t="s">
        <v>224</v>
      </c>
    </row>
    <row r="2" spans="1:39" x14ac:dyDescent="0.25">
      <c r="B2" s="2" t="s">
        <v>203</v>
      </c>
      <c r="C2" s="2" t="s">
        <v>173</v>
      </c>
      <c r="D2" s="2" t="s">
        <v>179</v>
      </c>
      <c r="E2" s="2" t="s">
        <v>193</v>
      </c>
      <c r="F2" s="2" t="s">
        <v>199</v>
      </c>
      <c r="J2" s="2" t="s">
        <v>203</v>
      </c>
      <c r="K2" s="2" t="s">
        <v>173</v>
      </c>
      <c r="L2" s="2" t="s">
        <v>179</v>
      </c>
      <c r="M2" s="2" t="s">
        <v>193</v>
      </c>
      <c r="N2" s="2" t="s">
        <v>199</v>
      </c>
      <c r="V2" s="2"/>
      <c r="W2" s="2"/>
      <c r="X2" s="2"/>
      <c r="Y2" s="2"/>
      <c r="Z2" s="2"/>
      <c r="AD2" s="2"/>
      <c r="AE2" s="2"/>
      <c r="AF2" s="2"/>
      <c r="AG2" s="2"/>
      <c r="AH2" s="2"/>
    </row>
    <row r="3" spans="1:39" x14ac:dyDescent="0.25">
      <c r="B3" s="2">
        <v>0</v>
      </c>
      <c r="C3" s="5">
        <v>3.2239930541615599E-3</v>
      </c>
      <c r="D3" s="5">
        <v>3.2239930541615599E-3</v>
      </c>
      <c r="E3" s="5">
        <v>3.2239930541615599E-3</v>
      </c>
      <c r="F3" s="5">
        <v>3.2239930541615599E-3</v>
      </c>
      <c r="J3" s="2">
        <v>0</v>
      </c>
      <c r="K3" s="5">
        <v>3.0233773822861002E-3</v>
      </c>
      <c r="L3" s="5">
        <v>3.0233773822861002E-3</v>
      </c>
      <c r="M3" s="5">
        <v>3.0233773822861002E-3</v>
      </c>
      <c r="N3" s="5">
        <v>3.0233773822861002E-3</v>
      </c>
      <c r="V3" s="2"/>
      <c r="W3" s="5"/>
      <c r="X3" s="5"/>
      <c r="Y3" s="5"/>
      <c r="Z3" s="5"/>
      <c r="AD3" s="2"/>
      <c r="AE3" s="5"/>
      <c r="AF3" s="5"/>
      <c r="AG3" s="5"/>
      <c r="AH3" s="5"/>
      <c r="AJ3" s="1"/>
      <c r="AK3" s="1"/>
      <c r="AL3" s="1"/>
      <c r="AM3" s="1"/>
    </row>
    <row r="4" spans="1:39" x14ac:dyDescent="0.25">
      <c r="B4" s="2">
        <f>B3+0.1</f>
        <v>0.1</v>
      </c>
      <c r="C4" s="5">
        <v>2.8551968278190299E-3</v>
      </c>
      <c r="D4" s="5">
        <v>2.83835229689158E-3</v>
      </c>
      <c r="E4" s="5">
        <v>2.8785829629646102E-3</v>
      </c>
      <c r="F4" s="5">
        <v>2.86646670376829E-3</v>
      </c>
      <c r="J4" s="2">
        <v>0.1</v>
      </c>
      <c r="K4" s="5">
        <v>2.6660338779491899E-3</v>
      </c>
      <c r="L4" s="5">
        <v>2.6760109898814901E-3</v>
      </c>
      <c r="M4" s="5">
        <v>2.67460124086731E-3</v>
      </c>
      <c r="N4" s="5">
        <v>2.6910904578467099E-3</v>
      </c>
      <c r="V4" s="2"/>
      <c r="W4" s="5"/>
      <c r="X4" s="5"/>
      <c r="Y4" s="5"/>
      <c r="Z4" s="5"/>
      <c r="AD4" s="2"/>
      <c r="AE4" s="5"/>
      <c r="AF4" s="5"/>
      <c r="AG4" s="5"/>
      <c r="AH4" s="5"/>
      <c r="AJ4" s="1"/>
      <c r="AK4" s="1"/>
      <c r="AL4" s="1"/>
      <c r="AM4" s="1"/>
    </row>
    <row r="5" spans="1:39" x14ac:dyDescent="0.25">
      <c r="B5" s="2">
        <f t="shared" ref="B5:B7" si="0">B4+0.1</f>
        <v>0.2</v>
      </c>
      <c r="C5" s="5">
        <v>2.5300000000000001E-3</v>
      </c>
      <c r="D5" s="5">
        <v>2.49407688478706E-3</v>
      </c>
      <c r="E5" s="5">
        <v>2.5784920100346202E-3</v>
      </c>
      <c r="F5" s="5">
        <v>2.5504231214361801E-3</v>
      </c>
      <c r="J5" s="2">
        <v>0.2</v>
      </c>
      <c r="K5" s="5">
        <v>2.3129857418997201E-3</v>
      </c>
      <c r="L5" s="5">
        <v>2.3737381111535601E-3</v>
      </c>
      <c r="M5" s="5">
        <v>2.3685159404290201E-3</v>
      </c>
      <c r="N5" s="5">
        <v>2.3982956777806098E-3</v>
      </c>
      <c r="V5" s="2"/>
      <c r="W5" s="5"/>
      <c r="X5" s="5"/>
      <c r="Y5" s="5"/>
      <c r="Z5" s="5"/>
      <c r="AD5" s="2"/>
      <c r="AE5" s="5"/>
      <c r="AF5" s="5"/>
      <c r="AG5" s="5"/>
      <c r="AH5" s="5"/>
      <c r="AJ5" s="1"/>
      <c r="AK5" s="1"/>
      <c r="AL5" s="1"/>
      <c r="AM5" s="1"/>
    </row>
    <row r="6" spans="1:39" x14ac:dyDescent="0.25">
      <c r="B6" s="2">
        <f t="shared" si="0"/>
        <v>0.30000000000000004</v>
      </c>
      <c r="C6" s="5">
        <v>2.2006891850786798E-3</v>
      </c>
      <c r="D6" s="5">
        <v>2.1320587439509799E-3</v>
      </c>
      <c r="E6" s="5">
        <v>2.33124092903176E-3</v>
      </c>
      <c r="F6" s="5">
        <v>2.2817645344217902E-3</v>
      </c>
      <c r="J6" s="2">
        <v>0.30000000000000004</v>
      </c>
      <c r="K6" s="5">
        <v>1.9635511655943798E-3</v>
      </c>
      <c r="L6" s="5">
        <v>2.1285342757924098E-3</v>
      </c>
      <c r="M6" s="5">
        <v>2.11134884288412E-3</v>
      </c>
      <c r="N6" s="5">
        <v>2.1515765088370498E-3</v>
      </c>
      <c r="V6" s="2"/>
      <c r="W6" s="5"/>
      <c r="X6" s="5"/>
      <c r="Y6" s="5"/>
      <c r="Z6" s="5"/>
      <c r="AD6" s="2"/>
      <c r="AE6" s="5"/>
      <c r="AF6" s="5"/>
      <c r="AG6" s="5"/>
      <c r="AH6" s="5"/>
      <c r="AJ6" s="1"/>
      <c r="AK6" s="1"/>
      <c r="AL6" s="1"/>
      <c r="AM6" s="1"/>
    </row>
    <row r="7" spans="1:39" x14ac:dyDescent="0.25">
      <c r="B7" s="2">
        <f t="shared" si="0"/>
        <v>0.4</v>
      </c>
      <c r="C7" s="5">
        <v>1.9715991124445299E-3</v>
      </c>
      <c r="D7" s="5">
        <v>1.77524571327783E-3</v>
      </c>
      <c r="E7" s="5">
        <v>2.1505360394134098E-3</v>
      </c>
      <c r="F7" s="5">
        <v>2.0675738686378102E-3</v>
      </c>
      <c r="J7" s="2">
        <v>0.4</v>
      </c>
      <c r="K7" s="5">
        <v>1.6164899900693601E-3</v>
      </c>
      <c r="L7" s="5">
        <v>1.9609691747861299E-3</v>
      </c>
      <c r="M7" s="5">
        <v>1.91337716669595E-3</v>
      </c>
      <c r="N7" s="5">
        <v>1.9613793668735E-3</v>
      </c>
      <c r="V7" s="2"/>
      <c r="W7" s="5"/>
      <c r="X7" s="5"/>
      <c r="Y7" s="5"/>
      <c r="Z7" s="5"/>
      <c r="AD7" s="2"/>
      <c r="AE7" s="5"/>
      <c r="AF7" s="5"/>
      <c r="AG7" s="5"/>
      <c r="AH7" s="5"/>
      <c r="AJ7" s="1"/>
      <c r="AK7" s="1"/>
      <c r="AL7" s="1"/>
      <c r="AM7" s="1"/>
    </row>
    <row r="9" spans="1:39" x14ac:dyDescent="0.25">
      <c r="D9" s="5"/>
    </row>
    <row r="10" spans="1:39" x14ac:dyDescent="0.25">
      <c r="D10" s="5"/>
    </row>
    <row r="11" spans="1:39" x14ac:dyDescent="0.25">
      <c r="A11" t="s">
        <v>223</v>
      </c>
      <c r="I11" t="s">
        <v>225</v>
      </c>
    </row>
    <row r="12" spans="1:39" x14ac:dyDescent="0.25">
      <c r="B12" s="2" t="s">
        <v>203</v>
      </c>
      <c r="C12" s="2" t="s">
        <v>173</v>
      </c>
      <c r="D12" s="2" t="s">
        <v>179</v>
      </c>
      <c r="E12" s="2" t="s">
        <v>193</v>
      </c>
      <c r="F12" s="2" t="s">
        <v>199</v>
      </c>
      <c r="J12" s="2" t="s">
        <v>203</v>
      </c>
      <c r="K12" s="2" t="s">
        <v>173</v>
      </c>
      <c r="L12" s="2" t="s">
        <v>179</v>
      </c>
      <c r="M12" s="2" t="s">
        <v>193</v>
      </c>
      <c r="N12" s="2" t="s">
        <v>199</v>
      </c>
      <c r="V12" s="2"/>
      <c r="W12" s="2"/>
      <c r="X12" s="2"/>
      <c r="Y12" s="2"/>
      <c r="Z12" s="2"/>
      <c r="AD12" s="2"/>
      <c r="AE12" s="2"/>
      <c r="AF12" s="2"/>
      <c r="AG12" s="2"/>
      <c r="AH12" s="2"/>
    </row>
    <row r="13" spans="1:39" x14ac:dyDescent="0.25">
      <c r="B13" s="2">
        <v>0</v>
      </c>
      <c r="C13" s="5">
        <v>2.86959475508901E-3</v>
      </c>
      <c r="D13" s="5">
        <v>2.86959475508901E-3</v>
      </c>
      <c r="E13" s="5">
        <v>2.86959475508901E-3</v>
      </c>
      <c r="F13" s="5">
        <v>2.86959475508901E-3</v>
      </c>
      <c r="J13" s="2">
        <v>0</v>
      </c>
      <c r="K13" s="5">
        <v>2.6803906141094798E-3</v>
      </c>
      <c r="L13" s="5">
        <v>2.6803906141094798E-3</v>
      </c>
      <c r="M13" s="5">
        <v>2.6803906141094798E-3</v>
      </c>
      <c r="N13" s="5">
        <v>2.6803906141094798E-3</v>
      </c>
      <c r="V13" s="2"/>
      <c r="W13" s="5"/>
      <c r="X13" s="5"/>
      <c r="Y13" s="5"/>
      <c r="Z13" s="5"/>
      <c r="AD13" s="2"/>
      <c r="AE13" s="5"/>
      <c r="AF13" s="5"/>
      <c r="AG13" s="5"/>
      <c r="AH13" s="5"/>
    </row>
    <row r="14" spans="1:39" x14ac:dyDescent="0.25">
      <c r="B14" s="2">
        <f>B13+0.1</f>
        <v>0.1</v>
      </c>
      <c r="C14" s="5">
        <v>2.5421210091385099E-3</v>
      </c>
      <c r="D14" s="5">
        <v>2.4942758739931602E-3</v>
      </c>
      <c r="E14" s="5">
        <v>2.5692788306509902E-3</v>
      </c>
      <c r="F14" s="5">
        <v>2.5460744879551699E-3</v>
      </c>
      <c r="J14" s="2">
        <f>J13+0.1</f>
        <v>0.1</v>
      </c>
      <c r="K14" s="5">
        <v>2.3610066950933701E-3</v>
      </c>
      <c r="L14" s="22">
        <v>2.3385745867455301E-3</v>
      </c>
      <c r="M14" s="22">
        <v>2.37507601734016E-3</v>
      </c>
      <c r="N14" s="5">
        <v>2.37732001752215E-3</v>
      </c>
      <c r="V14" s="2"/>
      <c r="W14" s="5"/>
      <c r="X14" s="5"/>
      <c r="Y14" s="5"/>
      <c r="Z14" s="5"/>
      <c r="AD14" s="2"/>
      <c r="AE14" s="5"/>
      <c r="AF14" s="22"/>
      <c r="AG14" s="22"/>
      <c r="AH14" s="5"/>
    </row>
    <row r="15" spans="1:39" x14ac:dyDescent="0.25">
      <c r="B15" s="2">
        <f t="shared" ref="B15:B17" si="1">B14+0.1</f>
        <v>0.2</v>
      </c>
      <c r="C15" s="5">
        <v>2.2192662363524698E-3</v>
      </c>
      <c r="D15" s="5">
        <v>2.1575702220771498E-3</v>
      </c>
      <c r="E15" s="5">
        <v>2.3092536852633802E-3</v>
      </c>
      <c r="F15" s="5">
        <v>2.2604217529218701E-3</v>
      </c>
      <c r="J15" s="2">
        <f t="shared" ref="J15:J17" si="2">J14+0.1</f>
        <v>0.2</v>
      </c>
      <c r="K15" s="5">
        <v>2.0458228366785E-3</v>
      </c>
      <c r="L15" s="5">
        <v>2.0386331424449302E-3</v>
      </c>
      <c r="M15" s="5">
        <v>2.1076034386662301E-3</v>
      </c>
      <c r="N15" s="5">
        <v>2.1111889441964302E-3</v>
      </c>
      <c r="V15" s="2"/>
      <c r="W15" s="5"/>
      <c r="X15" s="5"/>
      <c r="Y15" s="5"/>
      <c r="Z15" s="5"/>
      <c r="AD15" s="2"/>
      <c r="AE15" s="5"/>
      <c r="AF15" s="5"/>
      <c r="AG15" s="5"/>
      <c r="AH15" s="5"/>
    </row>
    <row r="16" spans="1:39" x14ac:dyDescent="0.25">
      <c r="B16" s="2">
        <f t="shared" si="1"/>
        <v>0.30000000000000004</v>
      </c>
      <c r="C16" s="5">
        <v>1.9008485774817999E-3</v>
      </c>
      <c r="D16" s="5">
        <v>1.8676489847988501E-3</v>
      </c>
      <c r="E16" s="5">
        <v>2.09638509801512E-3</v>
      </c>
      <c r="F16" s="5">
        <v>2.0176272997461599E-3</v>
      </c>
      <c r="J16" s="2">
        <f t="shared" si="2"/>
        <v>0.30000000000000004</v>
      </c>
      <c r="K16" s="5">
        <v>1.7341624622643601E-3</v>
      </c>
      <c r="L16" s="5">
        <v>1.7907056625868401E-3</v>
      </c>
      <c r="M16" s="5">
        <v>1.8835259494764699E-3</v>
      </c>
      <c r="N16" s="5">
        <v>1.88758154805449E-3</v>
      </c>
      <c r="V16" s="2"/>
      <c r="W16" s="5"/>
      <c r="X16" s="5"/>
      <c r="Y16" s="5"/>
      <c r="Z16" s="5"/>
      <c r="AD16" s="2"/>
      <c r="AE16" s="5"/>
      <c r="AF16" s="5"/>
      <c r="AG16" s="5"/>
      <c r="AH16" s="5"/>
    </row>
    <row r="17" spans="1:34" x14ac:dyDescent="0.25">
      <c r="B17" s="2">
        <f t="shared" si="1"/>
        <v>0.4</v>
      </c>
      <c r="C17" s="5">
        <v>1.6363652240398701E-3</v>
      </c>
      <c r="D17" s="5">
        <v>1.58476084664832E-3</v>
      </c>
      <c r="E17" s="5">
        <v>1.9428974930985601E-3</v>
      </c>
      <c r="F17" s="5">
        <v>1.82379427381368E-3</v>
      </c>
      <c r="J17" s="2">
        <f t="shared" si="2"/>
        <v>0.4</v>
      </c>
      <c r="K17" s="5">
        <v>1.42483940611333E-3</v>
      </c>
      <c r="L17" s="5">
        <v>1.6126650451043401E-3</v>
      </c>
      <c r="M17" s="5">
        <v>1.7121671829172301E-3</v>
      </c>
      <c r="N17" s="5">
        <v>1.7155531463378499E-3</v>
      </c>
      <c r="V17" s="2"/>
      <c r="W17" s="5"/>
      <c r="X17" s="5"/>
      <c r="Y17" s="5"/>
      <c r="Z17" s="5"/>
      <c r="AD17" s="2"/>
      <c r="AE17" s="5"/>
      <c r="AF17" s="5"/>
      <c r="AG17" s="5"/>
      <c r="AH17" s="5"/>
    </row>
    <row r="18" spans="1:34" x14ac:dyDescent="0.25">
      <c r="C18" s="5"/>
      <c r="W18" s="5"/>
    </row>
    <row r="21" spans="1:34" x14ac:dyDescent="0.25">
      <c r="A21" t="s">
        <v>227</v>
      </c>
      <c r="I21" t="s">
        <v>226</v>
      </c>
    </row>
    <row r="22" spans="1:34" x14ac:dyDescent="0.25">
      <c r="B22" s="2" t="s">
        <v>203</v>
      </c>
      <c r="C22" s="2" t="s">
        <v>173</v>
      </c>
      <c r="D22" s="2" t="s">
        <v>179</v>
      </c>
      <c r="E22" s="2" t="s">
        <v>193</v>
      </c>
      <c r="F22" s="2" t="s">
        <v>199</v>
      </c>
      <c r="J22" s="2" t="s">
        <v>203</v>
      </c>
      <c r="K22" s="2" t="s">
        <v>173</v>
      </c>
      <c r="L22" s="2" t="s">
        <v>179</v>
      </c>
      <c r="M22" s="2" t="s">
        <v>193</v>
      </c>
      <c r="N22" s="2" t="s">
        <v>199</v>
      </c>
      <c r="V22" s="2"/>
      <c r="W22" s="2"/>
      <c r="X22" s="2"/>
      <c r="Y22" s="2"/>
      <c r="Z22" s="2"/>
      <c r="AD22" s="2"/>
      <c r="AE22" s="2"/>
      <c r="AF22" s="2"/>
      <c r="AG22" s="2"/>
      <c r="AH22" s="2"/>
    </row>
    <row r="23" spans="1:34" x14ac:dyDescent="0.25">
      <c r="B23" s="2">
        <v>0</v>
      </c>
      <c r="C23" s="5">
        <v>2.7614394024128501E-3</v>
      </c>
      <c r="D23" s="5">
        <v>2.7614394024128501E-3</v>
      </c>
      <c r="E23" s="5">
        <v>2.7614394024128501E-3</v>
      </c>
      <c r="F23" s="5">
        <v>2.7614394024128501E-3</v>
      </c>
      <c r="J23" s="2">
        <v>0</v>
      </c>
      <c r="K23" s="5">
        <v>2.5780568848869099E-3</v>
      </c>
      <c r="L23" s="5">
        <v>2.5780568848869099E-3</v>
      </c>
      <c r="M23" s="5">
        <v>2.5780568848869099E-3</v>
      </c>
      <c r="N23" s="5">
        <v>2.5780568848869099E-3</v>
      </c>
      <c r="V23" s="2"/>
      <c r="W23" s="5"/>
      <c r="X23" s="5"/>
      <c r="Y23" s="5"/>
      <c r="Z23" s="5"/>
      <c r="AD23" s="2"/>
      <c r="AE23" s="5"/>
      <c r="AF23" s="5"/>
      <c r="AG23" s="5"/>
      <c r="AH23" s="5"/>
    </row>
    <row r="24" spans="1:34" x14ac:dyDescent="0.25">
      <c r="B24" s="2">
        <f>B23+0.1</f>
        <v>0.1</v>
      </c>
      <c r="C24" s="5">
        <v>2.44642583993532E-3</v>
      </c>
      <c r="D24" s="5">
        <v>2.3969173506755499E-3</v>
      </c>
      <c r="E24" s="5">
        <v>2.4797753013355698E-3</v>
      </c>
      <c r="F24" s="5">
        <v>2.4431759835562999E-3</v>
      </c>
      <c r="J24" s="2">
        <f>J23+0.1</f>
        <v>0.1</v>
      </c>
      <c r="K24" s="5">
        <v>2.2705973268249101E-3</v>
      </c>
      <c r="L24" s="5">
        <v>2.2456698969818899E-3</v>
      </c>
      <c r="M24" s="5">
        <v>2.2909554976711299E-3</v>
      </c>
      <c r="N24" s="5">
        <v>2.2795937054095701E-3</v>
      </c>
      <c r="V24" s="2"/>
      <c r="W24" s="5"/>
      <c r="X24" s="5"/>
      <c r="Y24" s="5"/>
      <c r="Z24" s="5"/>
      <c r="AD24" s="2"/>
      <c r="AE24" s="5"/>
      <c r="AF24" s="5"/>
      <c r="AG24" s="5"/>
      <c r="AH24" s="5"/>
    </row>
    <row r="25" spans="1:34" x14ac:dyDescent="0.25">
      <c r="B25" s="2">
        <f t="shared" ref="B25:B27" si="3">B24+0.1</f>
        <v>0.2</v>
      </c>
      <c r="C25" s="5">
        <v>2.1358649053661899E-3</v>
      </c>
      <c r="D25" s="5">
        <v>2.07049079326398E-3</v>
      </c>
      <c r="E25" s="5">
        <v>2.2364991048810798E-3</v>
      </c>
      <c r="F25" s="5">
        <v>2.1620723049368298E-3</v>
      </c>
      <c r="J25" s="2">
        <f t="shared" ref="J25:J27" si="4">J24+0.1</f>
        <v>0.2</v>
      </c>
      <c r="K25" s="5">
        <v>1.9672008333072501E-3</v>
      </c>
      <c r="L25" s="5">
        <v>1.95458184568923E-3</v>
      </c>
      <c r="M25" s="5">
        <v>2.0397992049182201E-3</v>
      </c>
      <c r="N25" s="5">
        <v>2.0174318173360401E-3</v>
      </c>
      <c r="V25" s="2"/>
      <c r="W25" s="5"/>
      <c r="X25" s="5"/>
      <c r="Y25" s="5"/>
      <c r="Z25" s="5"/>
      <c r="AD25" s="2"/>
      <c r="AE25" s="5"/>
      <c r="AF25" s="5"/>
      <c r="AG25" s="5"/>
      <c r="AH25" s="5"/>
    </row>
    <row r="26" spans="1:34" x14ac:dyDescent="0.25">
      <c r="B26" s="2">
        <f t="shared" si="3"/>
        <v>0.30000000000000004</v>
      </c>
      <c r="C26" s="5">
        <v>1.82958007004E-3</v>
      </c>
      <c r="D26" s="5">
        <v>1.7901385479301001E-3</v>
      </c>
      <c r="E26" s="5">
        <v>2.0382900557904E-3</v>
      </c>
      <c r="F26" s="5">
        <v>1.92291783688089E-3</v>
      </c>
      <c r="J26" s="2">
        <f t="shared" si="4"/>
        <v>0.30000000000000004</v>
      </c>
      <c r="K26" s="5">
        <v>1.71462179020273E-3</v>
      </c>
      <c r="L26" s="5">
        <v>1.6672099367990201E-3</v>
      </c>
      <c r="M26" s="5">
        <v>1.8299595066511699E-3</v>
      </c>
      <c r="N26" s="5">
        <v>1.7969305130192299E-3</v>
      </c>
      <c r="V26" s="2"/>
      <c r="W26" s="5"/>
      <c r="X26" s="5"/>
      <c r="Y26" s="5"/>
      <c r="Z26" s="5"/>
      <c r="AD26" s="2"/>
      <c r="AE26" s="5"/>
      <c r="AF26" s="5"/>
      <c r="AG26" s="5"/>
      <c r="AH26" s="5"/>
    </row>
    <row r="27" spans="1:34" x14ac:dyDescent="0.25">
      <c r="B27" s="2">
        <f t="shared" si="3"/>
        <v>0.4</v>
      </c>
      <c r="C27" s="5">
        <v>1.56754363293493E-3</v>
      </c>
      <c r="D27" s="5">
        <v>1.52552743973507E-3</v>
      </c>
      <c r="E27" s="5">
        <v>1.8969432417950999E-3</v>
      </c>
      <c r="F27" s="5">
        <v>1.73166295783886E-3</v>
      </c>
      <c r="J27" s="2">
        <f t="shared" si="4"/>
        <v>0.4</v>
      </c>
      <c r="K27" s="5">
        <v>1.54323555064247E-3</v>
      </c>
      <c r="L27" s="5">
        <v>1.3694655021367699E-3</v>
      </c>
      <c r="M27" s="5">
        <v>1.6704095184530299E-3</v>
      </c>
      <c r="N27" s="5">
        <v>1.6268433642050799E-3</v>
      </c>
      <c r="V27" s="2"/>
      <c r="W27" s="5"/>
      <c r="X27" s="5"/>
      <c r="Y27" s="5"/>
      <c r="Z27" s="5"/>
      <c r="AD27" s="2"/>
      <c r="AE27" s="5"/>
      <c r="AF27" s="5"/>
      <c r="AG27" s="5"/>
      <c r="AH27" s="5"/>
    </row>
    <row r="31" spans="1:34" x14ac:dyDescent="0.25">
      <c r="A31" t="s">
        <v>228</v>
      </c>
      <c r="I31" t="s">
        <v>205</v>
      </c>
    </row>
    <row r="32" spans="1:34" x14ac:dyDescent="0.25">
      <c r="B32" s="2" t="s">
        <v>203</v>
      </c>
      <c r="C32" s="2" t="s">
        <v>173</v>
      </c>
      <c r="D32" s="2" t="s">
        <v>179</v>
      </c>
      <c r="E32" s="2" t="s">
        <v>193</v>
      </c>
      <c r="F32" s="2" t="s">
        <v>199</v>
      </c>
      <c r="J32" s="2" t="s">
        <v>203</v>
      </c>
      <c r="K32" s="2" t="s">
        <v>173</v>
      </c>
      <c r="L32" s="2" t="s">
        <v>179</v>
      </c>
      <c r="M32" s="2" t="s">
        <v>193</v>
      </c>
      <c r="N32" s="2" t="s">
        <v>199</v>
      </c>
      <c r="V32" s="2"/>
      <c r="W32" s="2"/>
      <c r="X32" s="2"/>
      <c r="Y32" s="2"/>
      <c r="Z32" s="2"/>
      <c r="AD32" s="2"/>
      <c r="AE32" s="2"/>
      <c r="AF32" s="2"/>
      <c r="AG32" s="2"/>
      <c r="AH32" s="2"/>
    </row>
    <row r="33" spans="1:34" x14ac:dyDescent="0.25">
      <c r="B33" s="2">
        <v>0</v>
      </c>
      <c r="C33" s="5">
        <v>2.9195698006121199E-3</v>
      </c>
      <c r="D33" s="5">
        <v>2.9195698006121199E-3</v>
      </c>
      <c r="E33" s="5">
        <v>2.9195698006121199E-3</v>
      </c>
      <c r="F33" s="5">
        <v>2.9195698006121199E-3</v>
      </c>
      <c r="J33" s="2">
        <v>0</v>
      </c>
      <c r="K33" s="5">
        <v>2.6968486687030399E-3</v>
      </c>
      <c r="L33" s="5">
        <v>2.6968486687030399E-3</v>
      </c>
      <c r="M33" s="5">
        <v>2.6968486687030399E-3</v>
      </c>
      <c r="N33" s="5">
        <v>2.6968486687030399E-3</v>
      </c>
      <c r="V33" s="2"/>
      <c r="W33" s="5"/>
      <c r="X33" s="5"/>
      <c r="Y33" s="5"/>
      <c r="Z33" s="5"/>
      <c r="AD33" s="2"/>
      <c r="AE33" s="5"/>
      <c r="AF33" s="5"/>
      <c r="AG33" s="5"/>
      <c r="AH33" s="5"/>
    </row>
    <row r="34" spans="1:34" x14ac:dyDescent="0.25">
      <c r="B34" s="2">
        <f>B33+0.1</f>
        <v>0.1</v>
      </c>
      <c r="C34" s="5">
        <v>2.5880032724431199E-3</v>
      </c>
      <c r="D34" s="5">
        <v>2.52695447880145E-3</v>
      </c>
      <c r="E34" s="5">
        <v>2.6137364208752502E-3</v>
      </c>
      <c r="F34" s="5">
        <v>2.5938728204928699E-3</v>
      </c>
      <c r="J34" s="2">
        <f>J33+0.1</f>
        <v>0.1</v>
      </c>
      <c r="K34" s="5">
        <v>2.3739534469361498E-3</v>
      </c>
      <c r="L34" s="5">
        <v>2.3379016044491399E-3</v>
      </c>
      <c r="M34" s="5">
        <v>2.3912413520750502E-3</v>
      </c>
      <c r="N34" s="5">
        <v>2.3863710218918698E-3</v>
      </c>
      <c r="V34" s="2"/>
      <c r="W34" s="5"/>
      <c r="X34" s="5"/>
      <c r="Y34" s="5"/>
      <c r="Z34" s="5"/>
      <c r="AD34" s="2"/>
      <c r="AE34" s="5"/>
      <c r="AF34" s="5"/>
      <c r="AG34" s="5"/>
      <c r="AH34" s="5"/>
    </row>
    <row r="35" spans="1:34" x14ac:dyDescent="0.25">
      <c r="B35" s="2">
        <f t="shared" ref="B35:B37" si="5">B34+0.1</f>
        <v>0.2</v>
      </c>
      <c r="C35" s="5">
        <v>2.2610774885221999E-3</v>
      </c>
      <c r="D35" s="5">
        <v>2.1729630031914401E-3</v>
      </c>
      <c r="E35" s="5">
        <v>2.3482737996349998E-3</v>
      </c>
      <c r="F35" s="5">
        <v>2.30768259100409E-3</v>
      </c>
      <c r="J35" s="2">
        <f t="shared" ref="J35:J37" si="6">J34+0.1</f>
        <v>0.2</v>
      </c>
      <c r="K35" s="5">
        <v>2.05533631917545E-3</v>
      </c>
      <c r="L35" s="5">
        <v>2.0200411951230798E-3</v>
      </c>
      <c r="M35" s="5">
        <v>2.1231333635838602E-3</v>
      </c>
      <c r="N35" s="5">
        <v>2.1111064503021399E-3</v>
      </c>
      <c r="V35" s="2"/>
      <c r="W35" s="5"/>
      <c r="X35" s="5"/>
      <c r="Y35" s="5"/>
      <c r="Z35" s="5"/>
      <c r="AD35" s="2"/>
      <c r="AE35" s="5"/>
      <c r="AF35" s="5"/>
      <c r="AG35" s="5"/>
      <c r="AH35" s="5"/>
    </row>
    <row r="36" spans="1:34" x14ac:dyDescent="0.25">
      <c r="B36" s="2">
        <f t="shared" si="5"/>
        <v>0.30000000000000004</v>
      </c>
      <c r="C36" s="5">
        <v>1.9385946494735299E-3</v>
      </c>
      <c r="D36" s="5">
        <v>1.86550880390463E-3</v>
      </c>
      <c r="E36" s="5">
        <v>2.1299609539583699E-3</v>
      </c>
      <c r="F36" s="5">
        <v>2.0681086218292798E-3</v>
      </c>
      <c r="J36" s="2">
        <f t="shared" si="6"/>
        <v>0.30000000000000004</v>
      </c>
      <c r="K36" s="5">
        <v>1.7403308060397E-3</v>
      </c>
      <c r="L36" s="5">
        <v>1.7520798161823701E-3</v>
      </c>
      <c r="M36" s="5">
        <v>1.8979724094035099E-3</v>
      </c>
      <c r="N36" s="5">
        <v>1.8740947681055299E-3</v>
      </c>
      <c r="V36" s="2"/>
      <c r="W36" s="5"/>
      <c r="X36" s="5"/>
      <c r="Y36" s="5"/>
      <c r="Z36" s="5"/>
      <c r="AD36" s="2"/>
      <c r="AE36" s="5"/>
      <c r="AF36" s="5"/>
      <c r="AG36" s="5"/>
      <c r="AH36" s="5"/>
    </row>
    <row r="37" spans="1:34" x14ac:dyDescent="0.25">
      <c r="B37" s="2">
        <f t="shared" si="5"/>
        <v>0.4</v>
      </c>
      <c r="C37" s="5">
        <v>1.61838679187249E-3</v>
      </c>
      <c r="D37" s="5">
        <v>1.58E-3</v>
      </c>
      <c r="E37" s="5">
        <v>1.97087583065058E-3</v>
      </c>
      <c r="F37" s="5">
        <v>1.89192969154353E-3</v>
      </c>
      <c r="J37" s="2">
        <f t="shared" si="6"/>
        <v>0.4</v>
      </c>
      <c r="K37" s="5">
        <v>1.4277685824547099E-3</v>
      </c>
      <c r="L37" s="5">
        <v>1.54625408145442E-3</v>
      </c>
      <c r="M37" s="5">
        <v>1.7247527598328401E-3</v>
      </c>
      <c r="N37" s="5">
        <v>1.6723890280270499E-3</v>
      </c>
      <c r="V37" s="2"/>
      <c r="W37" s="5"/>
      <c r="X37" s="5"/>
      <c r="Y37" s="5"/>
      <c r="Z37" s="5"/>
      <c r="AD37" s="2"/>
      <c r="AE37" s="5"/>
      <c r="AF37" s="5"/>
      <c r="AG37" s="5"/>
      <c r="AH37" s="5"/>
    </row>
    <row r="44" spans="1:34" x14ac:dyDescent="0.25">
      <c r="B44" t="s">
        <v>206</v>
      </c>
      <c r="J44" t="s">
        <v>207</v>
      </c>
    </row>
    <row r="45" spans="1:34" x14ac:dyDescent="0.25">
      <c r="A45" t="s">
        <v>229</v>
      </c>
      <c r="C45" s="2" t="s">
        <v>203</v>
      </c>
      <c r="D45" s="2" t="s">
        <v>173</v>
      </c>
      <c r="E45" s="2" t="s">
        <v>179</v>
      </c>
      <c r="F45" s="2" t="s">
        <v>193</v>
      </c>
      <c r="G45" s="2" t="s">
        <v>199</v>
      </c>
      <c r="K45" s="2" t="s">
        <v>203</v>
      </c>
      <c r="L45" s="2" t="s">
        <v>173</v>
      </c>
      <c r="M45" s="2" t="s">
        <v>179</v>
      </c>
      <c r="N45" s="2" t="s">
        <v>193</v>
      </c>
      <c r="O45" s="2" t="s">
        <v>199</v>
      </c>
      <c r="W45" s="2"/>
      <c r="X45" s="2"/>
      <c r="Y45" s="2"/>
      <c r="Z45" s="2"/>
      <c r="AA45" s="2"/>
      <c r="AE45" s="2"/>
      <c r="AF45" s="2"/>
      <c r="AG45" s="2"/>
      <c r="AH45" s="2"/>
    </row>
    <row r="46" spans="1:34" x14ac:dyDescent="0.25">
      <c r="C46" s="2">
        <v>0</v>
      </c>
      <c r="D46" s="1">
        <v>1.3506661848992199E-5</v>
      </c>
      <c r="E46" s="1">
        <v>1.3506661848992199E-5</v>
      </c>
      <c r="F46" s="1">
        <v>1.3506661848992199E-5</v>
      </c>
      <c r="G46" s="1">
        <v>1.3506661848992199E-5</v>
      </c>
      <c r="K46" s="2">
        <v>0</v>
      </c>
      <c r="L46" s="1">
        <v>1.1795724566442299E-5</v>
      </c>
      <c r="M46" s="1">
        <v>1.1795724566442299E-5</v>
      </c>
      <c r="N46" s="1">
        <v>1.1795724566442299E-5</v>
      </c>
      <c r="O46" s="1">
        <v>1.1795724566442299E-5</v>
      </c>
      <c r="W46" s="2"/>
      <c r="X46" s="1"/>
      <c r="Y46" s="1"/>
      <c r="Z46" s="1"/>
      <c r="AA46" s="1"/>
      <c r="AE46" s="2"/>
      <c r="AF46" s="1"/>
      <c r="AG46" s="1"/>
      <c r="AH46" s="1"/>
    </row>
    <row r="47" spans="1:34" x14ac:dyDescent="0.25">
      <c r="C47" s="2">
        <f>C46+0.1</f>
        <v>0.1</v>
      </c>
      <c r="D47" s="1">
        <v>1.1245248332853099E-5</v>
      </c>
      <c r="E47" s="1">
        <v>1.0372565504856599E-5</v>
      </c>
      <c r="F47" s="1">
        <v>1.17850598157726E-5</v>
      </c>
      <c r="G47" s="1">
        <v>1.09295274767208E-5</v>
      </c>
      <c r="K47" s="2">
        <f>K46+0.1</f>
        <v>0.1</v>
      </c>
      <c r="L47" s="1">
        <v>9.6855698063105706E-6</v>
      </c>
      <c r="M47" s="1">
        <v>1.06546020160551E-5</v>
      </c>
      <c r="N47" s="1">
        <v>9.6855271758354894E-6</v>
      </c>
      <c r="O47" s="1">
        <v>9.8887671534564498E-6</v>
      </c>
      <c r="W47" s="2"/>
      <c r="X47" s="1"/>
      <c r="Y47" s="1"/>
      <c r="Z47" s="1"/>
      <c r="AA47" s="1"/>
      <c r="AE47" s="2"/>
      <c r="AF47" s="1"/>
      <c r="AG47" s="1"/>
      <c r="AH47" s="1"/>
    </row>
    <row r="48" spans="1:34" x14ac:dyDescent="0.25">
      <c r="C48" s="2">
        <f>C47+0.1</f>
        <v>0.2</v>
      </c>
      <c r="D48" s="1">
        <v>8.9697680406908301E-6</v>
      </c>
      <c r="E48" s="1">
        <v>7.3102242749139702E-6</v>
      </c>
      <c r="F48" s="1">
        <v>1.03442850059726E-5</v>
      </c>
      <c r="G48" s="1">
        <v>8.5322911533375003E-6</v>
      </c>
      <c r="K48" s="2">
        <f t="shared" ref="K48:K50" si="7">K47+0.1</f>
        <v>0.2</v>
      </c>
      <c r="L48" s="1">
        <v>7.5443137702396397E-6</v>
      </c>
      <c r="M48" s="1">
        <v>1.01433653829028E-5</v>
      </c>
      <c r="N48" s="1">
        <v>7.7775005931735304E-6</v>
      </c>
      <c r="O48" s="1">
        <v>8.1694460092578508E-6</v>
      </c>
      <c r="W48" s="2"/>
      <c r="X48" s="1"/>
      <c r="Y48" s="1"/>
      <c r="Z48" s="1"/>
      <c r="AA48" s="1"/>
      <c r="AE48" s="2"/>
      <c r="AF48" s="1"/>
      <c r="AG48" s="1"/>
      <c r="AH48" s="1"/>
    </row>
    <row r="49" spans="1:34" x14ac:dyDescent="0.25">
      <c r="C49" s="2">
        <f>C48+0.1</f>
        <v>0.30000000000000004</v>
      </c>
      <c r="D49" s="1">
        <v>6.6633692238546303E-6</v>
      </c>
      <c r="E49" s="1">
        <v>4.3243220032983103E-6</v>
      </c>
      <c r="F49" s="1">
        <v>9.2686263650730408E-6</v>
      </c>
      <c r="G49" s="1">
        <v>6.3276072555569597E-6</v>
      </c>
      <c r="K49" s="2">
        <f t="shared" si="7"/>
        <v>0.30000000000000004</v>
      </c>
      <c r="L49" s="1">
        <v>5.3607720158553104E-6</v>
      </c>
      <c r="M49" s="1">
        <v>9.8790745407176702E-6</v>
      </c>
      <c r="N49" s="1">
        <v>6.1200850098754003E-6</v>
      </c>
      <c r="O49" s="1">
        <v>6.7031753994317004E-6</v>
      </c>
      <c r="W49" s="2"/>
      <c r="X49" s="1"/>
      <c r="Y49" s="1"/>
      <c r="Z49" s="1"/>
      <c r="AA49" s="1"/>
      <c r="AE49" s="2"/>
      <c r="AF49" s="1"/>
      <c r="AG49" s="1"/>
      <c r="AH49" s="1"/>
    </row>
    <row r="50" spans="1:34" x14ac:dyDescent="0.25">
      <c r="C50" s="2">
        <f>C49+0.1</f>
        <v>0.4</v>
      </c>
      <c r="D50" s="1">
        <v>4.3000000000000003E-6</v>
      </c>
      <c r="E50" s="1">
        <v>1.45610004971397E-6</v>
      </c>
      <c r="F50" s="1">
        <v>8.66179151720531E-6</v>
      </c>
      <c r="G50" s="1">
        <v>3.9999999999999998E-6</v>
      </c>
      <c r="K50" s="2">
        <f t="shared" si="7"/>
        <v>0.4</v>
      </c>
      <c r="L50" s="1">
        <v>3.12815026703418E-6</v>
      </c>
      <c r="M50" s="1">
        <v>9.6237821970897302E-6</v>
      </c>
      <c r="N50" s="1">
        <v>4.7656915178924597E-6</v>
      </c>
      <c r="O50" s="1">
        <v>5.6034793036810397E-6</v>
      </c>
      <c r="W50" s="2"/>
      <c r="X50" s="1"/>
      <c r="Y50" s="1"/>
      <c r="Z50" s="1"/>
      <c r="AA50" s="1"/>
      <c r="AE50" s="2"/>
      <c r="AF50" s="1"/>
      <c r="AG50" s="1"/>
      <c r="AH50" s="1"/>
    </row>
    <row r="52" spans="1:34" x14ac:dyDescent="0.25">
      <c r="C52" s="1"/>
      <c r="D52" s="1"/>
      <c r="E52" s="1"/>
      <c r="F52" s="1"/>
      <c r="H52" s="1"/>
      <c r="I52" s="1"/>
      <c r="J52" s="1"/>
      <c r="K52" s="1"/>
      <c r="W52" s="1"/>
      <c r="X52" s="1"/>
      <c r="Y52" s="1"/>
      <c r="Z52" s="1"/>
      <c r="AB52" s="1"/>
      <c r="AC52" s="1"/>
      <c r="AD52" s="1"/>
      <c r="AE52" s="1"/>
    </row>
    <row r="53" spans="1:34" x14ac:dyDescent="0.25">
      <c r="B53" t="s">
        <v>215</v>
      </c>
      <c r="J53" t="s">
        <v>216</v>
      </c>
    </row>
    <row r="54" spans="1:34" x14ac:dyDescent="0.25">
      <c r="A54" t="s">
        <v>231</v>
      </c>
      <c r="C54" s="2" t="s">
        <v>203</v>
      </c>
      <c r="D54" s="2" t="s">
        <v>173</v>
      </c>
      <c r="E54" s="2" t="s">
        <v>179</v>
      </c>
      <c r="F54" s="2" t="s">
        <v>193</v>
      </c>
      <c r="G54" s="2" t="s">
        <v>199</v>
      </c>
      <c r="K54" s="2" t="s">
        <v>203</v>
      </c>
      <c r="L54" s="2" t="s">
        <v>173</v>
      </c>
      <c r="M54" s="2" t="s">
        <v>179</v>
      </c>
      <c r="N54" s="2" t="s">
        <v>193</v>
      </c>
      <c r="O54" s="2" t="s">
        <v>199</v>
      </c>
      <c r="W54" s="2"/>
      <c r="X54" s="2"/>
      <c r="Y54" s="2"/>
      <c r="Z54" s="2"/>
      <c r="AA54" s="2"/>
      <c r="AE54" s="2"/>
      <c r="AF54" s="2"/>
      <c r="AG54" s="2"/>
      <c r="AH54" s="2"/>
    </row>
    <row r="55" spans="1:34" x14ac:dyDescent="0.25">
      <c r="C55" s="2">
        <v>0</v>
      </c>
      <c r="D55" s="1"/>
      <c r="E55" s="1"/>
      <c r="F55" s="1"/>
      <c r="G55" s="1"/>
      <c r="K55" s="2">
        <v>0</v>
      </c>
      <c r="L55" s="1"/>
      <c r="M55" s="1"/>
      <c r="N55" s="1"/>
      <c r="O55" s="1"/>
      <c r="W55" s="2"/>
      <c r="X55" s="1"/>
      <c r="Y55" s="1"/>
      <c r="Z55" s="1"/>
      <c r="AA55" s="1"/>
      <c r="AE55" s="2"/>
      <c r="AF55" s="1"/>
      <c r="AG55" s="1"/>
      <c r="AH55" s="1"/>
    </row>
    <row r="56" spans="1:34" x14ac:dyDescent="0.25">
      <c r="C56" s="2">
        <f>C55+0.1</f>
        <v>0.1</v>
      </c>
      <c r="D56" s="1"/>
      <c r="E56" s="1"/>
      <c r="F56" s="1"/>
      <c r="G56" s="1"/>
      <c r="K56" s="2">
        <f>K55+0.1</f>
        <v>0.1</v>
      </c>
      <c r="L56" s="1"/>
      <c r="M56" s="1"/>
      <c r="N56" s="1"/>
      <c r="O56" s="1"/>
      <c r="W56" s="2"/>
      <c r="X56" s="1"/>
      <c r="Y56" s="1"/>
      <c r="Z56" s="1"/>
      <c r="AA56" s="1"/>
      <c r="AE56" s="2"/>
      <c r="AF56" s="1"/>
      <c r="AG56" s="1"/>
      <c r="AH56" s="1"/>
    </row>
    <row r="57" spans="1:34" x14ac:dyDescent="0.25">
      <c r="C57" s="2">
        <f t="shared" ref="C57:C59" si="8">C56+0.1</f>
        <v>0.2</v>
      </c>
      <c r="D57" s="1"/>
      <c r="E57" s="1"/>
      <c r="F57" s="1"/>
      <c r="G57" s="1"/>
      <c r="K57" s="2">
        <f t="shared" ref="K57:K59" si="9">K56+0.1</f>
        <v>0.2</v>
      </c>
      <c r="L57" s="1"/>
      <c r="M57" s="1"/>
      <c r="N57" s="1"/>
      <c r="O57" s="1"/>
      <c r="W57" s="2"/>
      <c r="X57" s="1"/>
      <c r="Y57" s="1"/>
      <c r="Z57" s="1"/>
      <c r="AA57" s="1"/>
      <c r="AE57" s="2"/>
      <c r="AF57" s="1"/>
      <c r="AG57" s="1"/>
      <c r="AH57" s="1"/>
    </row>
    <row r="58" spans="1:34" x14ac:dyDescent="0.25">
      <c r="C58" s="2">
        <f t="shared" si="8"/>
        <v>0.30000000000000004</v>
      </c>
      <c r="D58" s="1"/>
      <c r="E58" s="1"/>
      <c r="F58" s="1"/>
      <c r="G58" s="1"/>
      <c r="K58" s="2">
        <f t="shared" si="9"/>
        <v>0.30000000000000004</v>
      </c>
      <c r="L58" s="1"/>
      <c r="M58" s="1"/>
      <c r="N58" s="1"/>
      <c r="O58" s="1"/>
      <c r="W58" s="2"/>
      <c r="X58" s="1"/>
      <c r="Y58" s="1"/>
      <c r="Z58" s="1"/>
      <c r="AA58" s="1"/>
      <c r="AE58" s="2"/>
      <c r="AF58" s="1"/>
      <c r="AG58" s="1"/>
      <c r="AH58" s="1"/>
    </row>
    <row r="59" spans="1:34" x14ac:dyDescent="0.25">
      <c r="C59" s="2">
        <f t="shared" si="8"/>
        <v>0.4</v>
      </c>
      <c r="D59" s="1"/>
      <c r="E59" s="1"/>
      <c r="F59" s="1"/>
      <c r="G59" s="1"/>
      <c r="K59" s="2">
        <f t="shared" si="9"/>
        <v>0.4</v>
      </c>
      <c r="L59" s="1"/>
      <c r="M59" s="1"/>
      <c r="N59" s="1"/>
      <c r="O59" s="1"/>
      <c r="W59" s="2"/>
      <c r="X59" s="1"/>
      <c r="Y59" s="1"/>
      <c r="Z59" s="1"/>
      <c r="AA59" s="1"/>
      <c r="AE59" s="2"/>
      <c r="AF59" s="1"/>
      <c r="AG59" s="1"/>
      <c r="AH59" s="1"/>
    </row>
    <row r="61" spans="1:34" x14ac:dyDescent="0.25">
      <c r="D61" s="1"/>
      <c r="E61" s="1"/>
      <c r="F61" s="1"/>
      <c r="G61" s="1"/>
      <c r="H61" s="1"/>
      <c r="I61" s="1"/>
      <c r="J61" s="1"/>
      <c r="K61" s="1"/>
      <c r="X61" s="1"/>
      <c r="Y61" s="1"/>
      <c r="Z61" s="1"/>
      <c r="AA61" s="1"/>
      <c r="AB61" s="1"/>
      <c r="AC61" s="1"/>
      <c r="AD61" s="1"/>
      <c r="AE61" s="1"/>
    </row>
    <row r="63" spans="1:34" x14ac:dyDescent="0.25">
      <c r="C63" s="1"/>
      <c r="D63" s="1"/>
      <c r="W63" s="1"/>
      <c r="X63" s="1"/>
    </row>
    <row r="64" spans="1:34" x14ac:dyDescent="0.25">
      <c r="A64" t="s">
        <v>208</v>
      </c>
      <c r="I64" t="s">
        <v>209</v>
      </c>
    </row>
    <row r="65" spans="1:34" x14ac:dyDescent="0.25">
      <c r="B65" s="2" t="s">
        <v>203</v>
      </c>
      <c r="C65" s="2" t="s">
        <v>173</v>
      </c>
      <c r="D65" s="2" t="s">
        <v>179</v>
      </c>
      <c r="E65" s="2" t="s">
        <v>193</v>
      </c>
      <c r="F65" s="2" t="s">
        <v>199</v>
      </c>
      <c r="J65" s="2" t="s">
        <v>203</v>
      </c>
      <c r="K65" s="2" t="s">
        <v>173</v>
      </c>
      <c r="L65" s="2" t="s">
        <v>179</v>
      </c>
      <c r="M65" s="2" t="s">
        <v>193</v>
      </c>
      <c r="N65" s="2" t="s">
        <v>199</v>
      </c>
      <c r="V65" s="2"/>
      <c r="W65" s="2"/>
      <c r="X65" s="2"/>
      <c r="Y65" s="2"/>
      <c r="Z65" s="2"/>
      <c r="AD65" s="2"/>
      <c r="AE65" s="2"/>
      <c r="AF65" s="2"/>
      <c r="AG65" s="2"/>
      <c r="AH65" s="2"/>
    </row>
    <row r="66" spans="1:34" x14ac:dyDescent="0.25">
      <c r="B66" s="2">
        <v>0</v>
      </c>
      <c r="C66" s="5"/>
      <c r="D66" s="1"/>
      <c r="E66" s="5"/>
      <c r="F66" s="5"/>
      <c r="J66" s="2">
        <v>0</v>
      </c>
      <c r="K66" s="5"/>
      <c r="L66" s="5"/>
      <c r="M66" s="5"/>
      <c r="N66" s="5"/>
      <c r="V66" s="2"/>
      <c r="W66" s="5"/>
      <c r="X66" s="1"/>
      <c r="Y66" s="5"/>
      <c r="Z66" s="5"/>
      <c r="AD66" s="2"/>
      <c r="AE66" s="5"/>
      <c r="AF66" s="5"/>
      <c r="AG66" s="5"/>
      <c r="AH66" s="5"/>
    </row>
    <row r="67" spans="1:34" x14ac:dyDescent="0.25">
      <c r="B67" s="2">
        <f>B66+0.1</f>
        <v>0.1</v>
      </c>
      <c r="C67" s="5"/>
      <c r="D67" s="1"/>
      <c r="E67" s="5"/>
      <c r="F67" s="5"/>
      <c r="J67" s="2">
        <f>J66+0.1</f>
        <v>0.1</v>
      </c>
      <c r="K67" s="5"/>
      <c r="L67" s="5"/>
      <c r="M67" s="5"/>
      <c r="N67" s="5"/>
      <c r="V67" s="2"/>
      <c r="W67" s="5"/>
      <c r="X67" s="1"/>
      <c r="Y67" s="5"/>
      <c r="Z67" s="5"/>
      <c r="AD67" s="2"/>
      <c r="AE67" s="5"/>
      <c r="AF67" s="5"/>
      <c r="AG67" s="5"/>
      <c r="AH67" s="5"/>
    </row>
    <row r="68" spans="1:34" x14ac:dyDescent="0.25">
      <c r="B68" s="2">
        <f t="shared" ref="B68:B70" si="10">B67+0.1</f>
        <v>0.2</v>
      </c>
      <c r="C68" s="5"/>
      <c r="D68" s="1"/>
      <c r="E68" s="5"/>
      <c r="F68" s="5"/>
      <c r="J68" s="2">
        <f t="shared" ref="J68:J70" si="11">J67+0.1</f>
        <v>0.2</v>
      </c>
      <c r="K68" s="5"/>
      <c r="L68" s="5"/>
      <c r="M68" s="5"/>
      <c r="N68" s="5"/>
      <c r="V68" s="2"/>
      <c r="W68" s="5"/>
      <c r="X68" s="1"/>
      <c r="Y68" s="5"/>
      <c r="Z68" s="5"/>
      <c r="AD68" s="2"/>
      <c r="AE68" s="5"/>
      <c r="AF68" s="5"/>
      <c r="AG68" s="5"/>
      <c r="AH68" s="5"/>
    </row>
    <row r="69" spans="1:34" x14ac:dyDescent="0.25">
      <c r="B69" s="2">
        <f t="shared" si="10"/>
        <v>0.30000000000000004</v>
      </c>
      <c r="C69" s="5"/>
      <c r="D69" s="1"/>
      <c r="E69" s="5"/>
      <c r="F69" s="5"/>
      <c r="J69" s="2">
        <f t="shared" si="11"/>
        <v>0.30000000000000004</v>
      </c>
      <c r="K69" s="5"/>
      <c r="L69" s="5"/>
      <c r="M69" s="5"/>
      <c r="N69" s="5"/>
      <c r="V69" s="2"/>
      <c r="W69" s="5"/>
      <c r="X69" s="1"/>
      <c r="Y69" s="5"/>
      <c r="Z69" s="5"/>
      <c r="AD69" s="2"/>
      <c r="AE69" s="5"/>
      <c r="AF69" s="5"/>
      <c r="AG69" s="5"/>
      <c r="AH69" s="5"/>
    </row>
    <row r="70" spans="1:34" x14ac:dyDescent="0.25">
      <c r="B70" s="2">
        <f t="shared" si="10"/>
        <v>0.4</v>
      </c>
      <c r="C70" s="5"/>
      <c r="D70" s="1"/>
      <c r="E70" s="5"/>
      <c r="F70" s="5"/>
      <c r="J70" s="2">
        <f t="shared" si="11"/>
        <v>0.4</v>
      </c>
      <c r="K70" s="5"/>
      <c r="L70" s="5"/>
      <c r="M70" s="5"/>
      <c r="N70" s="5"/>
      <c r="V70" s="2"/>
      <c r="W70" s="5"/>
      <c r="X70" s="1"/>
      <c r="Y70" s="5"/>
      <c r="Z70" s="5"/>
      <c r="AD70" s="2"/>
      <c r="AE70" s="5"/>
      <c r="AF70" s="5"/>
      <c r="AG70" s="5"/>
      <c r="AH70" s="5"/>
    </row>
    <row r="73" spans="1:34" x14ac:dyDescent="0.25">
      <c r="A73" t="s">
        <v>230</v>
      </c>
    </row>
    <row r="74" spans="1:34" x14ac:dyDescent="0.25">
      <c r="A74" t="s">
        <v>230</v>
      </c>
    </row>
    <row r="78" spans="1:34" x14ac:dyDescent="0.25">
      <c r="P78" s="1"/>
      <c r="Q78" s="1"/>
      <c r="R78" s="1"/>
      <c r="S78" s="1"/>
    </row>
    <row r="79" spans="1:34" x14ac:dyDescent="0.25">
      <c r="B79" s="2"/>
      <c r="C79" s="2"/>
      <c r="D79" s="2"/>
      <c r="E79" s="2"/>
      <c r="F79" s="2"/>
      <c r="J79" s="2"/>
      <c r="K79" s="2"/>
      <c r="L79" s="2"/>
      <c r="M79" s="2"/>
      <c r="N79" s="2"/>
      <c r="P79" s="1"/>
      <c r="Q79" s="1"/>
      <c r="R79" s="1"/>
      <c r="S79" s="1"/>
      <c r="V79" s="2"/>
      <c r="W79" s="2"/>
      <c r="X79" s="2"/>
      <c r="Y79" s="2"/>
      <c r="Z79" s="2"/>
      <c r="AD79" s="2"/>
      <c r="AE79" s="2"/>
      <c r="AF79" s="2"/>
      <c r="AG79" s="2"/>
      <c r="AH79" s="2"/>
    </row>
    <row r="80" spans="1:34" x14ac:dyDescent="0.25">
      <c r="B80" s="2"/>
      <c r="C80" s="1"/>
      <c r="D80" s="1"/>
      <c r="E80" s="1"/>
      <c r="F80" s="1"/>
      <c r="J80" s="2"/>
      <c r="K80" s="1"/>
      <c r="L80" s="1"/>
      <c r="M80" s="1"/>
      <c r="N80" s="1"/>
      <c r="P80" s="1"/>
      <c r="Q80" s="1"/>
      <c r="R80" s="1"/>
      <c r="S80" s="1"/>
      <c r="V80" s="2"/>
      <c r="W80" s="1"/>
      <c r="X80" s="1"/>
      <c r="Y80" s="1"/>
      <c r="Z80" s="1"/>
      <c r="AD80" s="2"/>
      <c r="AE80" s="1"/>
      <c r="AF80" s="1"/>
      <c r="AG80" s="1"/>
      <c r="AH80" s="1"/>
    </row>
    <row r="81" spans="2:34" x14ac:dyDescent="0.25">
      <c r="B81" s="2"/>
      <c r="C81" s="1"/>
      <c r="D81" s="1"/>
      <c r="E81" s="1"/>
      <c r="F81" s="1"/>
      <c r="J81" s="2"/>
      <c r="K81" s="1"/>
      <c r="L81" s="1"/>
      <c r="M81" s="1"/>
      <c r="N81" s="1"/>
      <c r="P81" s="1"/>
      <c r="Q81" s="1"/>
      <c r="R81" s="1"/>
      <c r="S81" s="1"/>
      <c r="V81" s="2"/>
      <c r="W81" s="1"/>
      <c r="X81" s="1"/>
      <c r="Y81" s="1"/>
      <c r="Z81" s="1"/>
      <c r="AD81" s="2"/>
      <c r="AE81" s="1"/>
      <c r="AF81" s="1"/>
      <c r="AG81" s="1"/>
      <c r="AH81" s="1"/>
    </row>
    <row r="82" spans="2:34" x14ac:dyDescent="0.25">
      <c r="B82" s="2"/>
      <c r="C82" s="1"/>
      <c r="D82" s="1"/>
      <c r="E82" s="1"/>
      <c r="F82" s="1"/>
      <c r="J82" s="2"/>
      <c r="K82" s="1"/>
      <c r="L82" s="1"/>
      <c r="M82" s="1"/>
      <c r="N82" s="1"/>
      <c r="P82" s="1"/>
      <c r="Q82" s="1"/>
      <c r="R82" s="1"/>
      <c r="S82" s="1"/>
      <c r="V82" s="2"/>
      <c r="W82" s="1"/>
      <c r="X82" s="1"/>
      <c r="Y82" s="1"/>
      <c r="Z82" s="1"/>
      <c r="AD82" s="2"/>
      <c r="AE82" s="1"/>
      <c r="AF82" s="1"/>
      <c r="AG82" s="1"/>
      <c r="AH82" s="1"/>
    </row>
    <row r="83" spans="2:34" x14ac:dyDescent="0.25">
      <c r="B83" s="2"/>
      <c r="C83" s="1"/>
      <c r="D83" s="1"/>
      <c r="E83" s="1"/>
      <c r="F83" s="1"/>
      <c r="J83" s="2"/>
      <c r="K83" s="1"/>
      <c r="L83" s="1"/>
      <c r="M83" s="1"/>
      <c r="N83" s="1"/>
      <c r="V83" s="2"/>
      <c r="W83" s="1"/>
      <c r="X83" s="1"/>
      <c r="Y83" s="1"/>
      <c r="Z83" s="1"/>
      <c r="AD83" s="2"/>
      <c r="AE83" s="1"/>
      <c r="AF83" s="1"/>
      <c r="AG83" s="1"/>
      <c r="AH83" s="1"/>
    </row>
    <row r="84" spans="2:34" x14ac:dyDescent="0.25">
      <c r="B84" s="2"/>
      <c r="C84" s="1"/>
      <c r="D84" s="1"/>
      <c r="E84" s="1"/>
      <c r="F84" s="1"/>
      <c r="J84" s="2"/>
      <c r="K84" s="1"/>
      <c r="L84" s="1"/>
      <c r="M84" s="1"/>
      <c r="N84" s="1"/>
      <c r="V84" s="2"/>
      <c r="W84" s="1"/>
      <c r="X84" s="1"/>
      <c r="Y84" s="1"/>
      <c r="Z84" s="1"/>
      <c r="AD84" s="2"/>
      <c r="AE84" s="1"/>
      <c r="AF84" s="1"/>
      <c r="AG84" s="1"/>
      <c r="AH84" s="1"/>
    </row>
    <row r="87" spans="2:34" x14ac:dyDescent="0.25">
      <c r="C87" s="1"/>
      <c r="W87" s="1"/>
    </row>
    <row r="89" spans="2:34" x14ac:dyDescent="0.25">
      <c r="B89" s="2"/>
      <c r="C89" s="2"/>
      <c r="D89" s="2"/>
      <c r="E89" s="2"/>
      <c r="F89" s="2"/>
      <c r="J89" s="2"/>
      <c r="K89" s="2"/>
      <c r="L89" s="2"/>
      <c r="M89" s="2"/>
      <c r="N89" s="2"/>
      <c r="V89" s="2"/>
      <c r="W89" s="2"/>
      <c r="X89" s="2"/>
      <c r="Y89" s="2"/>
      <c r="Z89" s="2"/>
      <c r="AD89" s="2"/>
      <c r="AE89" s="2"/>
      <c r="AF89" s="2"/>
      <c r="AG89" s="2"/>
      <c r="AH89" s="2"/>
    </row>
    <row r="90" spans="2:34" x14ac:dyDescent="0.25">
      <c r="B90" s="2"/>
      <c r="C90" s="1"/>
      <c r="D90" s="1"/>
      <c r="E90" s="1"/>
      <c r="F90" s="1"/>
      <c r="J90" s="2"/>
      <c r="K90" s="1"/>
      <c r="L90" s="1"/>
      <c r="M90" s="1"/>
      <c r="N90" s="1"/>
      <c r="V90" s="2"/>
      <c r="W90" s="1"/>
      <c r="X90" s="1"/>
      <c r="Y90" s="1"/>
      <c r="Z90" s="1"/>
      <c r="AD90" s="2"/>
      <c r="AE90" s="1"/>
      <c r="AF90" s="1"/>
      <c r="AG90" s="1"/>
      <c r="AH90" s="1"/>
    </row>
    <row r="91" spans="2:34" x14ac:dyDescent="0.25">
      <c r="B91" s="2"/>
      <c r="C91" s="1"/>
      <c r="D91" s="1"/>
      <c r="E91" s="1"/>
      <c r="F91" s="1"/>
      <c r="J91" s="2"/>
      <c r="K91" s="1"/>
      <c r="L91" s="1"/>
      <c r="M91" s="19"/>
      <c r="N91" s="1"/>
      <c r="V91" s="2"/>
      <c r="W91" s="1"/>
      <c r="X91" s="1"/>
      <c r="Y91" s="1"/>
      <c r="Z91" s="1"/>
      <c r="AD91" s="2"/>
      <c r="AE91" s="1"/>
      <c r="AF91" s="1"/>
      <c r="AG91" s="19"/>
      <c r="AH91" s="1"/>
    </row>
    <row r="92" spans="2:34" x14ac:dyDescent="0.25">
      <c r="B92" s="2"/>
      <c r="C92" s="1"/>
      <c r="D92" s="1"/>
      <c r="E92" s="1"/>
      <c r="F92" s="1"/>
      <c r="J92" s="2"/>
      <c r="K92" s="1"/>
      <c r="L92" s="1"/>
      <c r="M92" s="1"/>
      <c r="N92" s="1"/>
      <c r="V92" s="2"/>
      <c r="W92" s="1"/>
      <c r="X92" s="1"/>
      <c r="Y92" s="1"/>
      <c r="Z92" s="1"/>
      <c r="AD92" s="2"/>
      <c r="AE92" s="1"/>
      <c r="AF92" s="1"/>
      <c r="AG92" s="1"/>
      <c r="AH92" s="1"/>
    </row>
    <row r="93" spans="2:34" x14ac:dyDescent="0.25">
      <c r="B93" s="2"/>
      <c r="C93" s="1"/>
      <c r="D93" s="1"/>
      <c r="E93" s="1"/>
      <c r="F93" s="1"/>
      <c r="J93" s="2"/>
      <c r="K93" s="1"/>
      <c r="L93" s="1"/>
      <c r="M93" s="1"/>
      <c r="N93" s="1"/>
      <c r="V93" s="2"/>
      <c r="W93" s="1"/>
      <c r="X93" s="1"/>
      <c r="Y93" s="1"/>
      <c r="Z93" s="1"/>
      <c r="AD93" s="2"/>
      <c r="AE93" s="1"/>
      <c r="AF93" s="1"/>
      <c r="AG93" s="1"/>
      <c r="AH93" s="1"/>
    </row>
    <row r="94" spans="2:34" x14ac:dyDescent="0.25">
      <c r="B94" s="2"/>
      <c r="C94" s="1"/>
      <c r="D94" s="1"/>
      <c r="E94" s="1"/>
      <c r="F94" s="1"/>
      <c r="J94" s="2"/>
      <c r="K94" s="1"/>
      <c r="L94" s="1"/>
      <c r="M94" s="1"/>
      <c r="N94" s="1"/>
      <c r="V94" s="2"/>
      <c r="W94" s="1"/>
      <c r="X94" s="1"/>
      <c r="Y94" s="1"/>
      <c r="Z94" s="1"/>
      <c r="AD94" s="2"/>
      <c r="AE94" s="1"/>
      <c r="AF94" s="1"/>
      <c r="AG94" s="1"/>
      <c r="AH9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1"/>
  <sheetViews>
    <sheetView workbookViewId="0">
      <selection activeCell="E17" sqref="E17"/>
    </sheetView>
  </sheetViews>
  <sheetFormatPr defaultRowHeight="14" x14ac:dyDescent="0.25"/>
  <cols>
    <col min="6" max="6" width="9.26953125" bestFit="1" customWidth="1"/>
    <col min="9" max="9" width="11.453125" customWidth="1"/>
    <col min="10" max="10" width="6.1796875" customWidth="1"/>
    <col min="11" max="11" width="3.90625" customWidth="1"/>
    <col min="12" max="12" width="10.26953125" bestFit="1" customWidth="1"/>
    <col min="13" max="13" width="3.54296875" customWidth="1"/>
    <col min="14" max="14" width="10.26953125" bestFit="1" customWidth="1"/>
    <col min="15" max="15" width="3.26953125" customWidth="1"/>
    <col min="16" max="16" width="10.26953125" bestFit="1" customWidth="1"/>
    <col min="17" max="17" width="3.08984375" customWidth="1"/>
    <col min="19" max="19" width="3.1796875" customWidth="1"/>
    <col min="21" max="21" width="2.81640625" customWidth="1"/>
    <col min="23" max="23" width="3.26953125" customWidth="1"/>
    <col min="25" max="25" width="3.08984375" customWidth="1"/>
    <col min="26" max="26" width="7.36328125" customWidth="1"/>
    <col min="27" max="27" width="9.26953125" bestFit="1" customWidth="1"/>
    <col min="28" max="28" width="10.36328125" customWidth="1"/>
    <col min="32" max="32" width="10.26953125" customWidth="1"/>
  </cols>
  <sheetData>
    <row r="1" spans="1:46" ht="15" thickBot="1" x14ac:dyDescent="0.3">
      <c r="A1" s="28">
        <v>0</v>
      </c>
      <c r="B1" s="30" t="s">
        <v>267</v>
      </c>
      <c r="C1" s="4">
        <v>0</v>
      </c>
      <c r="D1" s="30" t="s">
        <v>267</v>
      </c>
      <c r="E1" s="4">
        <v>0</v>
      </c>
      <c r="F1" s="30" t="s">
        <v>267</v>
      </c>
      <c r="G1" s="4">
        <v>0</v>
      </c>
      <c r="H1" s="30" t="s">
        <v>267</v>
      </c>
      <c r="I1" s="4">
        <v>0</v>
      </c>
      <c r="J1" s="30" t="s">
        <v>267</v>
      </c>
      <c r="K1" s="4">
        <v>0</v>
      </c>
      <c r="L1" s="30" t="s">
        <v>267</v>
      </c>
      <c r="M1" s="4">
        <v>0</v>
      </c>
      <c r="N1" s="30" t="s">
        <v>267</v>
      </c>
      <c r="O1" s="4">
        <v>0</v>
      </c>
      <c r="P1" s="30" t="s">
        <v>267</v>
      </c>
      <c r="Q1" s="4">
        <v>0</v>
      </c>
      <c r="R1" s="31" t="s">
        <v>268</v>
      </c>
      <c r="AD1" s="23"/>
      <c r="AE1" s="24"/>
      <c r="AF1" s="24"/>
      <c r="AG1" s="24"/>
      <c r="AH1" s="24"/>
      <c r="AI1" s="24"/>
      <c r="AJ1" s="24"/>
      <c r="AK1" s="23"/>
      <c r="AM1" s="27"/>
      <c r="AN1" s="27"/>
      <c r="AO1" s="27"/>
      <c r="AP1" s="27"/>
      <c r="AQ1" s="27"/>
      <c r="AR1" s="27"/>
      <c r="AS1" s="27"/>
      <c r="AT1" s="27"/>
    </row>
    <row r="2" spans="1:46" ht="15" thickBot="1" x14ac:dyDescent="0.3">
      <c r="A2" s="29">
        <v>0.05</v>
      </c>
      <c r="B2" s="30" t="s">
        <v>267</v>
      </c>
      <c r="C2" s="27">
        <v>0.3478</v>
      </c>
      <c r="D2" s="30" t="s">
        <v>267</v>
      </c>
      <c r="E2" s="27">
        <v>0.25090000000000001</v>
      </c>
      <c r="F2" s="30" t="s">
        <v>267</v>
      </c>
      <c r="G2" s="27">
        <v>0.21279999999999999</v>
      </c>
      <c r="H2" s="30" t="s">
        <v>267</v>
      </c>
      <c r="I2" s="27">
        <v>0.26340000000000002</v>
      </c>
      <c r="J2" s="30" t="s">
        <v>267</v>
      </c>
      <c r="K2" s="27">
        <v>0.3715</v>
      </c>
      <c r="L2" s="30" t="s">
        <v>267</v>
      </c>
      <c r="M2" s="27">
        <v>0.23619999999999999</v>
      </c>
      <c r="N2" s="30" t="s">
        <v>267</v>
      </c>
      <c r="O2" s="27">
        <v>0.1799</v>
      </c>
      <c r="P2" s="30" t="s">
        <v>267</v>
      </c>
      <c r="Q2" s="27">
        <v>0.23319999999999999</v>
      </c>
      <c r="R2" s="31" t="s">
        <v>268</v>
      </c>
      <c r="AD2" s="25"/>
      <c r="AE2" s="26"/>
      <c r="AF2" s="26"/>
      <c r="AG2" s="26"/>
      <c r="AH2" s="26"/>
      <c r="AI2" s="26"/>
      <c r="AJ2" s="26"/>
      <c r="AK2" s="25"/>
      <c r="AM2" s="27"/>
      <c r="AN2" s="27"/>
      <c r="AO2" s="27"/>
      <c r="AP2" s="27"/>
      <c r="AQ2" s="27"/>
      <c r="AR2" s="27"/>
      <c r="AS2" s="27"/>
      <c r="AT2" s="27"/>
    </row>
    <row r="3" spans="1:46" ht="15" thickBot="1" x14ac:dyDescent="0.3">
      <c r="A3" s="29">
        <v>0.1</v>
      </c>
      <c r="B3" s="30" t="s">
        <v>267</v>
      </c>
      <c r="C3" s="27">
        <v>0.68690000000000007</v>
      </c>
      <c r="D3" s="30" t="s">
        <v>267</v>
      </c>
      <c r="E3" s="27">
        <v>0.47169999999999995</v>
      </c>
      <c r="F3" s="30" t="s">
        <v>267</v>
      </c>
      <c r="G3" s="27">
        <v>0.39550000000000002</v>
      </c>
      <c r="H3" s="30" t="s">
        <v>267</v>
      </c>
      <c r="I3" s="27">
        <v>0.49480000000000002</v>
      </c>
      <c r="J3" s="30" t="s">
        <v>267</v>
      </c>
      <c r="K3" s="27">
        <v>0.73249999999999993</v>
      </c>
      <c r="L3" s="30" t="s">
        <v>267</v>
      </c>
      <c r="M3" s="27">
        <v>0.44840000000000002</v>
      </c>
      <c r="N3" s="30" t="s">
        <v>267</v>
      </c>
      <c r="O3" s="27">
        <v>0.33660000000000001</v>
      </c>
      <c r="P3" s="30" t="s">
        <v>267</v>
      </c>
      <c r="Q3" s="27">
        <v>0.44369999999999998</v>
      </c>
      <c r="R3" s="31" t="s">
        <v>268</v>
      </c>
      <c r="AD3" s="25"/>
      <c r="AE3" s="26"/>
      <c r="AF3" s="26"/>
      <c r="AG3" s="26"/>
      <c r="AH3" s="26"/>
      <c r="AI3" s="26"/>
      <c r="AJ3" s="26"/>
      <c r="AK3" s="25"/>
      <c r="AM3" s="27"/>
      <c r="AN3" s="27"/>
      <c r="AO3" s="27"/>
      <c r="AP3" s="27"/>
      <c r="AQ3" s="27"/>
      <c r="AR3" s="27"/>
      <c r="AS3" s="27"/>
      <c r="AT3" s="27"/>
    </row>
    <row r="4" spans="1:46" ht="15" thickBot="1" x14ac:dyDescent="0.3">
      <c r="A4" s="29">
        <v>0.15</v>
      </c>
      <c r="B4" s="30" t="s">
        <v>267</v>
      </c>
      <c r="C4" s="27">
        <v>0.99869999999999992</v>
      </c>
      <c r="D4" s="30" t="s">
        <v>267</v>
      </c>
      <c r="E4" s="27">
        <v>0.65680000000000005</v>
      </c>
      <c r="F4" s="30" t="s">
        <v>267</v>
      </c>
      <c r="G4" s="27">
        <v>0.54500000000000004</v>
      </c>
      <c r="H4" s="30" t="s">
        <v>267</v>
      </c>
      <c r="I4" s="27">
        <v>0.68880000000000008</v>
      </c>
      <c r="J4" s="30" t="s">
        <v>267</v>
      </c>
      <c r="K4" s="27">
        <v>1.0610000000000002</v>
      </c>
      <c r="L4" s="30" t="s">
        <v>267</v>
      </c>
      <c r="M4" s="27">
        <v>0.62809999999999999</v>
      </c>
      <c r="N4" s="30" t="s">
        <v>267</v>
      </c>
      <c r="O4" s="27">
        <v>0.46529999999999999</v>
      </c>
      <c r="P4" s="30" t="s">
        <v>267</v>
      </c>
      <c r="Q4" s="27">
        <v>0.62290000000000001</v>
      </c>
      <c r="R4" s="31" t="s">
        <v>268</v>
      </c>
      <c r="AD4" s="25"/>
      <c r="AE4" s="26"/>
      <c r="AF4" s="26"/>
      <c r="AG4" s="26"/>
      <c r="AH4" s="26"/>
      <c r="AI4" s="26"/>
      <c r="AJ4" s="26"/>
      <c r="AK4" s="25"/>
      <c r="AM4" s="27"/>
      <c r="AN4" s="27"/>
      <c r="AO4" s="27"/>
      <c r="AP4" s="27"/>
      <c r="AQ4" s="27"/>
      <c r="AR4" s="27"/>
      <c r="AS4" s="27"/>
      <c r="AT4" s="27"/>
    </row>
    <row r="5" spans="1:46" ht="15" thickBot="1" x14ac:dyDescent="0.3">
      <c r="A5" s="29">
        <v>0.2</v>
      </c>
      <c r="B5" s="30" t="s">
        <v>267</v>
      </c>
      <c r="C5" s="27">
        <v>1.2709999999999999</v>
      </c>
      <c r="D5" s="30" t="s">
        <v>267</v>
      </c>
      <c r="E5" s="27">
        <v>0.80460000000000009</v>
      </c>
      <c r="F5" s="30" t="s">
        <v>267</v>
      </c>
      <c r="G5" s="27">
        <v>0.66110000000000002</v>
      </c>
      <c r="H5" s="30" t="s">
        <v>267</v>
      </c>
      <c r="I5" s="27">
        <v>0.84340000000000004</v>
      </c>
      <c r="J5" s="30" t="s">
        <v>267</v>
      </c>
      <c r="K5" s="27">
        <v>1.3420000000000001</v>
      </c>
      <c r="L5" s="30" t="s">
        <v>267</v>
      </c>
      <c r="M5" s="27">
        <v>0.77180000000000004</v>
      </c>
      <c r="N5" s="30" t="s">
        <v>267</v>
      </c>
      <c r="O5" s="27">
        <v>0.56499999999999995</v>
      </c>
      <c r="P5" s="30" t="s">
        <v>267</v>
      </c>
      <c r="Q5" s="27">
        <v>0.76670000000000005</v>
      </c>
      <c r="R5" s="31" t="s">
        <v>268</v>
      </c>
      <c r="AD5" s="25"/>
      <c r="AE5" s="26"/>
      <c r="AF5" s="26"/>
      <c r="AG5" s="26"/>
      <c r="AH5" s="26"/>
      <c r="AI5" s="26"/>
      <c r="AJ5" s="26"/>
      <c r="AK5" s="25"/>
      <c r="AM5" s="27"/>
      <c r="AN5" s="27"/>
      <c r="AO5" s="27"/>
      <c r="AP5" s="27"/>
      <c r="AQ5" s="27"/>
      <c r="AR5" s="27"/>
      <c r="AS5" s="27"/>
      <c r="AT5" s="27"/>
    </row>
    <row r="6" spans="1:46" ht="15" thickBot="1" x14ac:dyDescent="0.3">
      <c r="A6" s="29">
        <v>0.25</v>
      </c>
      <c r="B6" s="30" t="s">
        <v>267</v>
      </c>
      <c r="C6" s="27">
        <v>1.4950000000000001</v>
      </c>
      <c r="D6" s="30" t="s">
        <v>267</v>
      </c>
      <c r="E6" s="27">
        <v>0.91549999999999998</v>
      </c>
      <c r="F6" s="30" t="s">
        <v>267</v>
      </c>
      <c r="G6" s="27">
        <v>0.74549999999999994</v>
      </c>
      <c r="H6" s="30" t="s">
        <v>267</v>
      </c>
      <c r="I6" s="27">
        <v>0.95929999999999993</v>
      </c>
      <c r="J6" s="30" t="s">
        <v>267</v>
      </c>
      <c r="K6" s="27">
        <v>1.5669999999999999</v>
      </c>
      <c r="L6" s="30" t="s">
        <v>267</v>
      </c>
      <c r="M6" s="27">
        <v>0.87870000000000004</v>
      </c>
      <c r="N6" s="30" t="s">
        <v>267</v>
      </c>
      <c r="O6" s="27">
        <v>0.6361</v>
      </c>
      <c r="P6" s="30" t="s">
        <v>267</v>
      </c>
      <c r="Q6" s="27">
        <v>0.87429999999999997</v>
      </c>
      <c r="R6" s="31" t="s">
        <v>268</v>
      </c>
      <c r="AD6" s="25"/>
      <c r="AE6" s="26"/>
      <c r="AF6" s="26"/>
      <c r="AG6" s="26"/>
      <c r="AH6" s="26"/>
      <c r="AI6" s="26"/>
      <c r="AJ6" s="26"/>
      <c r="AK6" s="25"/>
      <c r="AM6" s="27"/>
      <c r="AN6" s="27"/>
      <c r="AO6" s="27"/>
      <c r="AP6" s="27"/>
      <c r="AQ6" s="27"/>
      <c r="AR6" s="27"/>
      <c r="AS6" s="27"/>
      <c r="AT6" s="27"/>
    </row>
    <row r="7" spans="1:46" ht="15" thickBot="1" x14ac:dyDescent="0.3">
      <c r="A7" s="29">
        <v>0.3</v>
      </c>
      <c r="B7" s="30" t="s">
        <v>267</v>
      </c>
      <c r="C7" s="27">
        <v>1.671</v>
      </c>
      <c r="D7" s="30" t="s">
        <v>267</v>
      </c>
      <c r="E7" s="27">
        <v>0.99369999999999992</v>
      </c>
      <c r="F7" s="30" t="s">
        <v>267</v>
      </c>
      <c r="G7" s="27">
        <v>0.80279999999999996</v>
      </c>
      <c r="H7" s="30" t="s">
        <v>267</v>
      </c>
      <c r="I7" s="27">
        <v>1.0410000000000001</v>
      </c>
      <c r="J7" s="30" t="s">
        <v>267</v>
      </c>
      <c r="K7" s="27">
        <v>1.7370000000000001</v>
      </c>
      <c r="L7" s="30" t="s">
        <v>267</v>
      </c>
      <c r="M7" s="27">
        <v>0.95250000000000001</v>
      </c>
      <c r="N7" s="30" t="s">
        <v>267</v>
      </c>
      <c r="O7" s="27">
        <v>0.68269999999999997</v>
      </c>
      <c r="P7" s="30" t="s">
        <v>267</v>
      </c>
      <c r="Q7" s="27">
        <v>0.94919999999999993</v>
      </c>
      <c r="R7" s="31" t="s">
        <v>268</v>
      </c>
      <c r="AD7" s="25"/>
      <c r="AE7" s="26"/>
      <c r="AF7" s="26"/>
      <c r="AG7" s="26"/>
      <c r="AH7" s="26"/>
      <c r="AI7" s="26"/>
      <c r="AJ7" s="26"/>
      <c r="AK7" s="25"/>
      <c r="AM7" s="27"/>
      <c r="AN7" s="27"/>
      <c r="AO7" s="27"/>
      <c r="AP7" s="27"/>
      <c r="AQ7" s="27"/>
      <c r="AR7" s="27"/>
      <c r="AS7" s="27"/>
      <c r="AT7" s="27"/>
    </row>
    <row r="8" spans="1:46" ht="15" thickBot="1" x14ac:dyDescent="0.3">
      <c r="A8" s="29">
        <v>0.35</v>
      </c>
      <c r="B8" s="30" t="s">
        <v>267</v>
      </c>
      <c r="C8" s="27">
        <v>1.7989999999999999</v>
      </c>
      <c r="D8" s="30" t="s">
        <v>267</v>
      </c>
      <c r="E8" s="27">
        <v>1.0449999999999999</v>
      </c>
      <c r="F8" s="30" t="s">
        <v>267</v>
      </c>
      <c r="G8" s="27">
        <v>0.83850000000000002</v>
      </c>
      <c r="H8" s="30" t="s">
        <v>267</v>
      </c>
      <c r="I8" s="27">
        <v>1.0939999999999999</v>
      </c>
      <c r="J8" s="30" t="s">
        <v>267</v>
      </c>
      <c r="K8" s="27">
        <v>1.8560000000000001</v>
      </c>
      <c r="L8" s="30" t="s">
        <v>267</v>
      </c>
      <c r="M8" s="27">
        <v>0.99930000000000008</v>
      </c>
      <c r="N8" s="30" t="s">
        <v>267</v>
      </c>
      <c r="O8" s="27">
        <v>0.71020000000000005</v>
      </c>
      <c r="P8" s="30" t="s">
        <v>267</v>
      </c>
      <c r="Q8" s="27">
        <v>0.99709999999999988</v>
      </c>
      <c r="R8" s="31" t="s">
        <v>268</v>
      </c>
      <c r="AD8" s="25"/>
      <c r="AE8" s="26"/>
      <c r="AF8" s="26"/>
      <c r="AG8" s="26"/>
      <c r="AH8" s="26"/>
      <c r="AI8" s="26"/>
      <c r="AJ8" s="26"/>
      <c r="AK8" s="25"/>
      <c r="AM8" s="27"/>
      <c r="AN8" s="27"/>
      <c r="AO8" s="27"/>
      <c r="AP8" s="27"/>
      <c r="AQ8" s="27"/>
      <c r="AR8" s="27"/>
      <c r="AS8" s="27"/>
      <c r="AT8" s="27"/>
    </row>
    <row r="9" spans="1:46" ht="15" thickBot="1" x14ac:dyDescent="0.3">
      <c r="A9" s="29">
        <v>0.4</v>
      </c>
      <c r="B9" s="30" t="s">
        <v>267</v>
      </c>
      <c r="C9" s="27">
        <v>1.885</v>
      </c>
      <c r="D9" s="30" t="s">
        <v>267</v>
      </c>
      <c r="E9" s="27">
        <v>1.0759999999999998</v>
      </c>
      <c r="F9" s="30" t="s">
        <v>267</v>
      </c>
      <c r="G9" s="27">
        <v>0.85840000000000005</v>
      </c>
      <c r="H9" s="30" t="s">
        <v>267</v>
      </c>
      <c r="I9" s="27">
        <v>1.1260000000000001</v>
      </c>
      <c r="J9" s="30" t="s">
        <v>267</v>
      </c>
      <c r="K9" s="27">
        <v>1.9330000000000001</v>
      </c>
      <c r="L9" s="30" t="s">
        <v>267</v>
      </c>
      <c r="M9" s="27">
        <v>1.026</v>
      </c>
      <c r="N9" s="30" t="s">
        <v>267</v>
      </c>
      <c r="O9" s="27">
        <v>0.72420000000000007</v>
      </c>
      <c r="P9" s="30" t="s">
        <v>267</v>
      </c>
      <c r="Q9" s="27">
        <v>1.0250000000000001</v>
      </c>
      <c r="R9" s="31" t="s">
        <v>268</v>
      </c>
      <c r="AD9" s="25"/>
      <c r="AE9" s="26"/>
      <c r="AF9" s="26"/>
      <c r="AG9" s="26"/>
      <c r="AH9" s="26"/>
      <c r="AI9" s="26"/>
      <c r="AJ9" s="26"/>
      <c r="AK9" s="25"/>
      <c r="AM9" s="27"/>
      <c r="AN9" s="27"/>
      <c r="AO9" s="27"/>
      <c r="AP9" s="27"/>
      <c r="AQ9" s="27"/>
      <c r="AR9" s="27"/>
      <c r="AS9" s="27"/>
      <c r="AT9" s="27"/>
    </row>
    <row r="10" spans="1:46" ht="15" thickBot="1" x14ac:dyDescent="0.3">
      <c r="A10" s="29">
        <v>0.45</v>
      </c>
      <c r="B10" s="30" t="s">
        <v>267</v>
      </c>
      <c r="C10" s="27">
        <v>1.9350000000000001</v>
      </c>
      <c r="D10" s="30" t="s">
        <v>267</v>
      </c>
      <c r="E10" s="27">
        <v>1.0920000000000001</v>
      </c>
      <c r="F10" s="30" t="s">
        <v>267</v>
      </c>
      <c r="G10" s="27">
        <v>0.86830000000000007</v>
      </c>
      <c r="H10" s="30" t="s">
        <v>267</v>
      </c>
      <c r="I10" s="27">
        <v>1.143</v>
      </c>
      <c r="J10" s="30" t="s">
        <v>267</v>
      </c>
      <c r="K10" s="27">
        <v>1.9750000000000001</v>
      </c>
      <c r="L10" s="30" t="s">
        <v>267</v>
      </c>
      <c r="M10" s="27">
        <v>1.0389999999999999</v>
      </c>
      <c r="N10" s="30" t="s">
        <v>267</v>
      </c>
      <c r="O10" s="27">
        <v>0.73039999999999994</v>
      </c>
      <c r="P10" s="30" t="s">
        <v>267</v>
      </c>
      <c r="Q10" s="27">
        <v>1.038</v>
      </c>
      <c r="R10" s="31" t="s">
        <v>268</v>
      </c>
      <c r="AD10" s="25"/>
      <c r="AE10" s="26"/>
      <c r="AF10" s="26"/>
      <c r="AG10" s="26"/>
      <c r="AH10" s="26"/>
      <c r="AI10" s="26"/>
      <c r="AJ10" s="26"/>
      <c r="AK10" s="25"/>
      <c r="AM10" s="27"/>
      <c r="AN10" s="27"/>
      <c r="AO10" s="27"/>
      <c r="AP10" s="27"/>
      <c r="AQ10" s="27"/>
      <c r="AR10" s="27"/>
      <c r="AS10" s="27"/>
      <c r="AT10" s="27"/>
    </row>
    <row r="11" spans="1:46" ht="15" thickBot="1" x14ac:dyDescent="0.3">
      <c r="A11" s="29">
        <v>0.5</v>
      </c>
      <c r="B11" s="30" t="s">
        <v>267</v>
      </c>
      <c r="C11" s="27">
        <v>1.95</v>
      </c>
      <c r="D11" s="30" t="s">
        <v>267</v>
      </c>
      <c r="E11" s="27">
        <v>1.0959999999999999</v>
      </c>
      <c r="F11" s="30" t="s">
        <v>267</v>
      </c>
      <c r="G11" s="27">
        <v>0.87090000000000001</v>
      </c>
      <c r="H11" s="30" t="s">
        <v>267</v>
      </c>
      <c r="I11" s="27">
        <v>1.1479999999999999</v>
      </c>
      <c r="J11" s="30" t="s">
        <v>267</v>
      </c>
      <c r="K11" s="27">
        <v>1.9880000000000002</v>
      </c>
      <c r="L11" s="30" t="s">
        <v>267</v>
      </c>
      <c r="M11" s="27">
        <v>1.0430000000000001</v>
      </c>
      <c r="N11" s="30" t="s">
        <v>267</v>
      </c>
      <c r="O11" s="27">
        <v>0.7319</v>
      </c>
      <c r="P11" s="30" t="s">
        <v>267</v>
      </c>
      <c r="Q11" s="27">
        <v>1.042</v>
      </c>
      <c r="R11" s="31" t="s">
        <v>268</v>
      </c>
      <c r="AD11" s="25"/>
      <c r="AE11" s="26"/>
      <c r="AF11" s="26"/>
      <c r="AG11" s="26"/>
      <c r="AH11" s="26"/>
      <c r="AI11" s="26"/>
      <c r="AJ11" s="26"/>
      <c r="AK11" s="25"/>
      <c r="AM11" s="27"/>
      <c r="AN11" s="27"/>
      <c r="AO11" s="27"/>
      <c r="AP11" s="27"/>
      <c r="AQ11" s="27"/>
      <c r="AR11" s="27"/>
      <c r="AS11" s="27"/>
      <c r="AT11" s="27"/>
    </row>
  </sheetData>
  <phoneticPr fontId="1" type="noConversion"/>
  <hyperlinks>
    <hyperlink ref="R1" r:id="rId1"/>
    <hyperlink ref="R2:R11" r:id="rId2" display="\\"/>
  </hyperlinks>
  <pageMargins left="0.7" right="0.7" top="0.75" bottom="0.75" header="0.3" footer="0.3"/>
  <pageSetup paperSize="9"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7" sqref="K7"/>
    </sheetView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FG-MEEP-F-U分布-不同指数</vt:lpstr>
      <vt:lpstr>FG-MEEP-F-V分布-不同指数</vt:lpstr>
      <vt:lpstr>FG-MEEP-F-O分布-不同指数</vt:lpstr>
      <vt:lpstr>FG-MEEP-F-X分布-不同指数</vt:lpstr>
      <vt:lpstr>指数-孔隙率的频率1</vt:lpstr>
      <vt:lpstr>Sheet1</vt:lpstr>
      <vt:lpstr>不同孔隙率下的位移FHFH-面积相等</vt:lpstr>
      <vt:lpstr>Sheet3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2023-02-13T14:03:01Z</dcterms:modified>
</cp:coreProperties>
</file>